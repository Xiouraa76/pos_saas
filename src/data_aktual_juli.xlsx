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T CAM\Downloads\"/>
    </mc:Choice>
  </mc:AlternateContent>
  <xr:revisionPtr revIDLastSave="0" documentId="13_ncr:1_{09E66860-1EEB-40F2-9936-A34552F34C5A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contoh juli 202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48" i="2" l="1"/>
  <c r="M1348" i="2"/>
  <c r="N1347" i="2"/>
  <c r="M1347" i="2"/>
  <c r="M1302" i="2"/>
  <c r="N1301" i="2"/>
  <c r="M1301" i="2"/>
  <c r="N1299" i="2"/>
  <c r="M1299" i="2"/>
  <c r="N1298" i="2"/>
  <c r="M1298" i="2"/>
  <c r="N1297" i="2"/>
  <c r="M1297" i="2"/>
  <c r="M1296" i="2"/>
  <c r="N1295" i="2"/>
  <c r="M1295" i="2"/>
  <c r="N1293" i="2"/>
  <c r="M1293" i="2"/>
  <c r="N1292" i="2"/>
  <c r="M1292" i="2"/>
  <c r="N1253" i="2"/>
  <c r="M1253" i="2"/>
  <c r="N1252" i="2"/>
  <c r="M1252" i="2"/>
  <c r="N1250" i="2"/>
  <c r="M1250" i="2"/>
  <c r="N1249" i="2"/>
  <c r="M1249" i="2"/>
  <c r="N1248" i="2"/>
  <c r="M1248" i="2"/>
  <c r="N1237" i="2"/>
  <c r="M1237" i="2"/>
  <c r="N1236" i="2"/>
  <c r="M1236" i="2"/>
  <c r="N1235" i="2"/>
  <c r="M1235" i="2"/>
  <c r="N1234" i="2"/>
  <c r="M1234" i="2"/>
  <c r="N1233" i="2"/>
  <c r="M1233" i="2"/>
  <c r="N1232" i="2"/>
  <c r="M1232" i="2"/>
  <c r="N1231" i="2"/>
  <c r="M1231" i="2"/>
  <c r="N1230" i="2"/>
  <c r="M1230" i="2"/>
  <c r="N1229" i="2"/>
  <c r="M1229" i="2"/>
  <c r="N1219" i="2"/>
  <c r="M1219" i="2"/>
  <c r="N1204" i="2"/>
  <c r="M1204" i="2"/>
  <c r="N1203" i="2"/>
  <c r="M1203" i="2"/>
  <c r="N1202" i="2"/>
  <c r="M1202" i="2"/>
  <c r="N1201" i="2"/>
  <c r="M1201" i="2"/>
  <c r="N1200" i="2"/>
  <c r="M1200" i="2"/>
  <c r="N1152" i="2"/>
  <c r="M1152" i="2"/>
  <c r="N1151" i="2"/>
  <c r="M1151" i="2"/>
  <c r="N1130" i="2"/>
  <c r="M1130" i="2"/>
  <c r="M1127" i="2"/>
  <c r="N1114" i="2"/>
  <c r="M1114" i="2"/>
  <c r="N1113" i="2"/>
  <c r="N1079" i="2"/>
  <c r="M1079" i="2"/>
  <c r="N1078" i="2"/>
  <c r="M1078" i="2"/>
  <c r="N1072" i="2"/>
  <c r="M1072" i="2"/>
  <c r="N1071" i="2"/>
  <c r="M1071" i="2"/>
  <c r="N1070" i="2"/>
  <c r="M1070" i="2"/>
  <c r="N1069" i="2"/>
  <c r="M1069" i="2"/>
  <c r="N1064" i="2"/>
  <c r="M1064" i="2"/>
  <c r="N1046" i="2"/>
  <c r="M1046" i="2"/>
  <c r="N1027" i="2"/>
  <c r="M1027" i="2"/>
  <c r="N1026" i="2"/>
  <c r="M1026" i="2"/>
  <c r="N1025" i="2"/>
  <c r="M1025" i="2"/>
  <c r="N1024" i="2"/>
  <c r="M1024" i="2"/>
  <c r="N1023" i="2"/>
  <c r="M1023" i="2"/>
  <c r="N1009" i="2"/>
  <c r="M1009" i="2"/>
  <c r="N1008" i="2"/>
  <c r="M1008" i="2"/>
  <c r="N1007" i="2"/>
  <c r="M1007" i="2"/>
  <c r="N1006" i="2"/>
  <c r="M1006" i="2"/>
  <c r="N960" i="2"/>
  <c r="M960" i="2"/>
</calcChain>
</file>

<file path=xl/sharedStrings.xml><?xml version="1.0" encoding="utf-8"?>
<sst xmlns="http://schemas.openxmlformats.org/spreadsheetml/2006/main" count="20959" uniqueCount="3430">
  <si>
    <t>Service</t>
  </si>
  <si>
    <t>Tanggal</t>
  </si>
  <si>
    <t>STT</t>
  </si>
  <si>
    <t>STT/Customer</t>
  </si>
  <si>
    <t>CUSTOMER</t>
  </si>
  <si>
    <t>Origin</t>
  </si>
  <si>
    <t>Alamat Pengirim</t>
  </si>
  <si>
    <t>Kota Tujuan</t>
  </si>
  <si>
    <t>Tujuan</t>
  </si>
  <si>
    <t xml:space="preserve">Alamat Tujuan </t>
  </si>
  <si>
    <t>Qty</t>
  </si>
  <si>
    <t>Berat</t>
  </si>
  <si>
    <t>Volume</t>
  </si>
  <si>
    <t>Darat</t>
  </si>
  <si>
    <t>Laut</t>
  </si>
  <si>
    <t>Udara</t>
  </si>
  <si>
    <t>Nama Penerima</t>
  </si>
  <si>
    <t>Tgl Resi Diterima</t>
  </si>
  <si>
    <t>Tgl Di terima/POD</t>
  </si>
  <si>
    <t>Keterangan</t>
  </si>
  <si>
    <t>Status pengiriman</t>
  </si>
  <si>
    <t>Kode Delivery</t>
  </si>
  <si>
    <t>Kode Customer</t>
  </si>
  <si>
    <t>Rate SLA</t>
  </si>
  <si>
    <t>Rate Komplain</t>
  </si>
  <si>
    <t>Rate KUD</t>
  </si>
  <si>
    <t>Rate Doc Kembali</t>
  </si>
  <si>
    <t>Omset</t>
  </si>
  <si>
    <t>Sidoarjo</t>
  </si>
  <si>
    <t>Yogyakarta</t>
  </si>
  <si>
    <t>No</t>
  </si>
  <si>
    <t xml:space="preserve">Tgl </t>
  </si>
  <si>
    <t>POD di terima Finance</t>
  </si>
  <si>
    <t>TFI</t>
  </si>
  <si>
    <t>Cust</t>
  </si>
  <si>
    <t>Kode Cust</t>
  </si>
  <si>
    <t>Nopol</t>
  </si>
  <si>
    <t>Jenis Unit</t>
  </si>
  <si>
    <t>No Hp Driver</t>
  </si>
  <si>
    <t>Pengirim</t>
  </si>
  <si>
    <t>Alamat Penerima</t>
  </si>
  <si>
    <t>Done</t>
  </si>
  <si>
    <t>Via Darat</t>
  </si>
  <si>
    <t>Monitoring</t>
  </si>
  <si>
    <t>Status Pengiriman</t>
  </si>
  <si>
    <t>Tgl Diterima</t>
  </si>
  <si>
    <t xml:space="preserve">TKBM </t>
  </si>
  <si>
    <t xml:space="preserve">KETERANGAN </t>
  </si>
  <si>
    <t>CAM BKS</t>
  </si>
  <si>
    <t>US JKT</t>
  </si>
  <si>
    <t>W 8081 UO</t>
  </si>
  <si>
    <t>CDD</t>
  </si>
  <si>
    <t>083154726825</t>
  </si>
  <si>
    <t>Ultra Sakti Pangkalan 4</t>
  </si>
  <si>
    <t>LTL</t>
  </si>
  <si>
    <t>Jalan raya narogong Km 12, cikiwul, bantar gebang Bekasi</t>
  </si>
  <si>
    <t>Erfan CAM</t>
  </si>
  <si>
    <t>Blitar</t>
  </si>
  <si>
    <t>Family Food</t>
  </si>
  <si>
    <t>CAM SUB</t>
  </si>
  <si>
    <t>Gresik</t>
  </si>
  <si>
    <t xml:space="preserve">Cirebon </t>
  </si>
  <si>
    <t xml:space="preserve">Sumber Alfaria DC Plumbon </t>
  </si>
  <si>
    <t>Jl. Pangeran Antasari blok Kebuyan Rt.13/5 Ds. Lurah PPlumbon Cirebon</t>
  </si>
  <si>
    <t>APM</t>
  </si>
  <si>
    <t>Di Finance</t>
  </si>
  <si>
    <t>Sign+stamp</t>
  </si>
  <si>
    <t>Sign + Stamp</t>
  </si>
  <si>
    <t>Valided Team Accounting</t>
  </si>
  <si>
    <t>IN</t>
  </si>
  <si>
    <t>VALID</t>
  </si>
  <si>
    <t>FFI</t>
  </si>
  <si>
    <t>SKL</t>
  </si>
  <si>
    <t>Dwi Lintas</t>
  </si>
  <si>
    <t>S 8684 UX</t>
  </si>
  <si>
    <t>081235816900</t>
  </si>
  <si>
    <t xml:space="preserve">Mowilex </t>
  </si>
  <si>
    <t xml:space="preserve">Nganjuk </t>
  </si>
  <si>
    <t>Inti Kayu Cv. Narnia Garden Nganjuk</t>
  </si>
  <si>
    <t xml:space="preserve">Magetan </t>
  </si>
  <si>
    <t>Jl. Waru Jayeng-Kediri Tanjung tani / Prambon Nganjuk</t>
  </si>
  <si>
    <t>Imam S</t>
  </si>
  <si>
    <t>Ari</t>
  </si>
  <si>
    <t>Tanto CAM</t>
  </si>
  <si>
    <t>Yuli</t>
  </si>
  <si>
    <t>MLX</t>
  </si>
  <si>
    <t>S 8136 UW</t>
  </si>
  <si>
    <t xml:space="preserve">IN </t>
  </si>
  <si>
    <t>Imam S/ Done</t>
  </si>
  <si>
    <t>Hamid</t>
  </si>
  <si>
    <t>DONE</t>
  </si>
  <si>
    <t xml:space="preserve">Situbondo </t>
  </si>
  <si>
    <t xml:space="preserve">Cipta Bangun Global Situbondo </t>
  </si>
  <si>
    <t>Tembus Panarukan Rt.1 Rw.1 Kilensari Panarukan Situbondo</t>
  </si>
  <si>
    <t>Hasyim</t>
  </si>
  <si>
    <t>Arif</t>
  </si>
  <si>
    <t>TACO</t>
  </si>
  <si>
    <t>W 8011 US</t>
  </si>
  <si>
    <t>CDE</t>
  </si>
  <si>
    <t>085931020309</t>
  </si>
  <si>
    <t>PT. TACO Krian</t>
  </si>
  <si>
    <t>EBC</t>
  </si>
  <si>
    <t>Jl. Bypass Krian Sidoarjo</t>
  </si>
  <si>
    <t>CAM</t>
  </si>
  <si>
    <t>Surabaya</t>
  </si>
  <si>
    <t>Hasyim/ Done</t>
  </si>
  <si>
    <t>Madiun</t>
  </si>
  <si>
    <t>Leo CAM</t>
  </si>
  <si>
    <t>S 9328 UZ</t>
  </si>
  <si>
    <t>DKSH Narogong</t>
  </si>
  <si>
    <t>Jakarta</t>
  </si>
  <si>
    <t xml:space="preserve">Bandung </t>
  </si>
  <si>
    <t>Ibu Santa Dc Bandung 2</t>
  </si>
  <si>
    <t>Jl. Manjung No.153 Ds. Utama Kec. Cimahi Bandung</t>
  </si>
  <si>
    <t>321.6</t>
  </si>
  <si>
    <t>Unggul</t>
  </si>
  <si>
    <t>Kudus</t>
  </si>
  <si>
    <t>Po Mati 6/7/26</t>
  </si>
  <si>
    <t>IN Bekasi</t>
  </si>
  <si>
    <t>Unggul/ Done</t>
  </si>
  <si>
    <t>Ponorogo</t>
  </si>
  <si>
    <t>Serang</t>
  </si>
  <si>
    <t>Bu Evo Dc Serang</t>
  </si>
  <si>
    <t>Jl. Raya Cilegon Km 3.5 Legok Kel. Dragong Banten Serang</t>
  </si>
  <si>
    <t>Nugi</t>
  </si>
  <si>
    <t>Po Mati 7/7/26</t>
  </si>
  <si>
    <t xml:space="preserve">W 8212 UO </t>
  </si>
  <si>
    <t>CDL</t>
  </si>
  <si>
    <t>082211153697</t>
  </si>
  <si>
    <t>EBC Bali</t>
  </si>
  <si>
    <t>Bali</t>
  </si>
  <si>
    <t>WH SBY</t>
  </si>
  <si>
    <t>Andre CAM</t>
  </si>
  <si>
    <t>CMN Internasional</t>
  </si>
  <si>
    <t>Bojonegoro</t>
  </si>
  <si>
    <t>Jombang</t>
  </si>
  <si>
    <t xml:space="preserve">Cika Jombang </t>
  </si>
  <si>
    <t>Jl. Sentot Prawirodirjo 62 Pulo Jombang</t>
  </si>
  <si>
    <t xml:space="preserve">Sugiono </t>
  </si>
  <si>
    <t>2 Koli Sedang, 1 Koli Besar, 1 Kecil</t>
  </si>
  <si>
    <t>UMUM</t>
  </si>
  <si>
    <t>CII</t>
  </si>
  <si>
    <t>S 8077 UW</t>
  </si>
  <si>
    <t>081315351985</t>
  </si>
  <si>
    <t>Mojokerto</t>
  </si>
  <si>
    <t>Ibu Dona Mojokerto</t>
  </si>
  <si>
    <t>BSP Regency, Jl. Januari No.35 Banjaragung Puri Mojokerto</t>
  </si>
  <si>
    <t>Dona</t>
  </si>
  <si>
    <t>Koli Sedang</t>
  </si>
  <si>
    <t>S 8075 UW</t>
  </si>
  <si>
    <t>Jateng Multidrop</t>
  </si>
  <si>
    <t>Malang</t>
  </si>
  <si>
    <t>Ibu Eka Widiatini Malang</t>
  </si>
  <si>
    <t>Jl. Dr Cipto Gg.4 No.9 Rt.4 Rw.4 Bedali Lawang Malang</t>
  </si>
  <si>
    <t>Dimas</t>
  </si>
  <si>
    <t>Eka</t>
  </si>
  <si>
    <t>1 Koli Sedang, 1 koli Besar</t>
  </si>
  <si>
    <t>Dimas/ Done</t>
  </si>
  <si>
    <t>S 9455 UZ</t>
  </si>
  <si>
    <t>Persada Artha Niaga</t>
  </si>
  <si>
    <t>W 8147 UO</t>
  </si>
  <si>
    <t>085655837308</t>
  </si>
  <si>
    <t>Superindo DC Mojokerto</t>
  </si>
  <si>
    <t>Jl. Raya By pass No.8 Kel. Kedundung Magersari Mojokerto</t>
  </si>
  <si>
    <t>Jatim Multidrop</t>
  </si>
  <si>
    <t>Andri</t>
  </si>
  <si>
    <t>Agung CAM</t>
  </si>
  <si>
    <t>PAN</t>
  </si>
  <si>
    <t>Utama Citra Logistic</t>
  </si>
  <si>
    <t>Bangkalan</t>
  </si>
  <si>
    <t>Jember</t>
  </si>
  <si>
    <t xml:space="preserve">Cobra Dental Jember </t>
  </si>
  <si>
    <t>Ita Dwi</t>
  </si>
  <si>
    <t>Grandmax Box</t>
  </si>
  <si>
    <t>UCL</t>
  </si>
  <si>
    <t>Kediri</t>
  </si>
  <si>
    <t>Cobra dental Kediri</t>
  </si>
  <si>
    <t>26.95</t>
  </si>
  <si>
    <t>Wasis</t>
  </si>
  <si>
    <t>Turun Malang</t>
  </si>
  <si>
    <t>Egi CAM</t>
  </si>
  <si>
    <t>Ilham</t>
  </si>
  <si>
    <t>Cikarang</t>
  </si>
  <si>
    <t>Cobra Dental Malang</t>
  </si>
  <si>
    <t>24.85</t>
  </si>
  <si>
    <t>SPP SUB</t>
  </si>
  <si>
    <t>WB</t>
  </si>
  <si>
    <t>LCL</t>
  </si>
  <si>
    <t>Cobra Dental Depo Saraswati Bali</t>
  </si>
  <si>
    <t>Denpasar</t>
  </si>
  <si>
    <t>Fery</t>
  </si>
  <si>
    <t>Fida</t>
  </si>
  <si>
    <t>W 8145 UO</t>
  </si>
  <si>
    <t>AA 8039 LG</t>
  </si>
  <si>
    <t>0881036852565</t>
  </si>
  <si>
    <t>Sumenep</t>
  </si>
  <si>
    <t>Doni CAM</t>
  </si>
  <si>
    <t>Cobra Dental Denpasar</t>
  </si>
  <si>
    <t>45.65</t>
  </si>
  <si>
    <t>43.8</t>
  </si>
  <si>
    <t>NCS</t>
  </si>
  <si>
    <t>W 8082 UO</t>
  </si>
  <si>
    <t>Zia</t>
  </si>
  <si>
    <t>Radiant</t>
  </si>
  <si>
    <t xml:space="preserve">Guardiant Kediri Mall </t>
  </si>
  <si>
    <t>K</t>
  </si>
  <si>
    <t xml:space="preserve">Denis </t>
  </si>
  <si>
    <t>Tulungagung</t>
  </si>
  <si>
    <t>RDT</t>
  </si>
  <si>
    <t>dDONE</t>
  </si>
  <si>
    <t>Watsons Roxy Jember</t>
  </si>
  <si>
    <t>Putri</t>
  </si>
  <si>
    <t>Natural Nutrindo (Radiant)</t>
  </si>
  <si>
    <t>Guardiant Lippo Jember</t>
  </si>
  <si>
    <t>S</t>
  </si>
  <si>
    <t>Ajeng</t>
  </si>
  <si>
    <t>S 8629 UW</t>
  </si>
  <si>
    <t>081231509818</t>
  </si>
  <si>
    <t>Slamet CAM</t>
  </si>
  <si>
    <t>S 9501 UZ</t>
  </si>
  <si>
    <t>FUSO</t>
  </si>
  <si>
    <t>085808732860</t>
  </si>
  <si>
    <t xml:space="preserve">Guardian Roxy Jember </t>
  </si>
  <si>
    <t>S 8133 UW</t>
  </si>
  <si>
    <t>Yuni</t>
  </si>
  <si>
    <t xml:space="preserve">Bondowoso </t>
  </si>
  <si>
    <t>Guardian City mall Bondowoso</t>
  </si>
  <si>
    <t>Bondowoso</t>
  </si>
  <si>
    <t>Gusti Ayu</t>
  </si>
  <si>
    <t>RH Bali</t>
  </si>
  <si>
    <t>IPM</t>
  </si>
  <si>
    <t>IPM Lingkar Timur SBY</t>
  </si>
  <si>
    <t>Jl. Lingkar Timur Sidoarjo</t>
  </si>
  <si>
    <t>Vitashopindo</t>
  </si>
  <si>
    <t>Madura</t>
  </si>
  <si>
    <t xml:space="preserve">Kf. 419 Trunojoyo Bangkalan </t>
  </si>
  <si>
    <t>WSL</t>
  </si>
  <si>
    <t>S 8631 UW</t>
  </si>
  <si>
    <t>0895325692203</t>
  </si>
  <si>
    <t>PT. Wira Sadana Lestari Surabaya</t>
  </si>
  <si>
    <t>Jl. Raya Bibis No.2, Bibis, Kec. Tandes, Surabaya, Jawa Timur 60186</t>
  </si>
  <si>
    <t>Ferry CAM</t>
  </si>
  <si>
    <t xml:space="preserve">Kf. 163 Bangkalan Madura </t>
  </si>
  <si>
    <t xml:space="preserve">Bangkalan </t>
  </si>
  <si>
    <t>B</t>
  </si>
  <si>
    <t>Nenet</t>
  </si>
  <si>
    <t>Semarang</t>
  </si>
  <si>
    <t>Jamal</t>
  </si>
  <si>
    <t xml:space="preserve">W 8188 PV </t>
  </si>
  <si>
    <t xml:space="preserve">Blitar </t>
  </si>
  <si>
    <t xml:space="preserve">Kf. Blitar 2 </t>
  </si>
  <si>
    <t>Jamal/ Done</t>
  </si>
  <si>
    <t>madiun</t>
  </si>
  <si>
    <t>Guardian Lippo Madiun</t>
  </si>
  <si>
    <t xml:space="preserve">Manado </t>
  </si>
  <si>
    <t>W 8146 UO</t>
  </si>
  <si>
    <t>Kf. Bojonegoro</t>
  </si>
  <si>
    <t>Ap. K-24 Menganti Gresik</t>
  </si>
  <si>
    <t>Budi</t>
  </si>
  <si>
    <t>Ernes</t>
  </si>
  <si>
    <t>Budi/ Done</t>
  </si>
  <si>
    <t>KF. Sidayu Gresik</t>
  </si>
  <si>
    <t>085217097729</t>
  </si>
  <si>
    <t>JKT</t>
  </si>
  <si>
    <t>Balaraja</t>
  </si>
  <si>
    <t xml:space="preserve">Ap. Pahala Batu Mulia Gresik </t>
  </si>
  <si>
    <t>Cikokol</t>
  </si>
  <si>
    <t>KF. Menganti Gresik</t>
  </si>
  <si>
    <t>Najwa</t>
  </si>
  <si>
    <t>Dewi Kartika</t>
  </si>
  <si>
    <t>Pekanbaru</t>
  </si>
  <si>
    <t>Jl Arifin Ahmad Kel Sidomulyo Timur Kec Marpoyan Damai Pekanbaru</t>
  </si>
  <si>
    <t>BYL</t>
  </si>
  <si>
    <t>DRW</t>
  </si>
  <si>
    <t>Watson Matos Malang</t>
  </si>
  <si>
    <t>Erfan</t>
  </si>
  <si>
    <t>Balikpapan</t>
  </si>
  <si>
    <t>Guardiant MOG Malang</t>
  </si>
  <si>
    <t>Jihan</t>
  </si>
  <si>
    <t xml:space="preserve"> </t>
  </si>
  <si>
    <t>Batu</t>
  </si>
  <si>
    <t>Watson Lippo Batu Malang</t>
  </si>
  <si>
    <t>Guardiant MCP Malang</t>
  </si>
  <si>
    <t>Indra</t>
  </si>
  <si>
    <t>SML</t>
  </si>
  <si>
    <t>W 8144 UO</t>
  </si>
  <si>
    <t>PT. Sekar Laut</t>
  </si>
  <si>
    <t>Jenggolo Sidoarjo</t>
  </si>
  <si>
    <t>081230319243</t>
  </si>
  <si>
    <t>Watson MOG Malang</t>
  </si>
  <si>
    <t>Imam CAM</t>
  </si>
  <si>
    <t>retur</t>
  </si>
  <si>
    <t>Watson Lippo Sidoarjo</t>
  </si>
  <si>
    <t xml:space="preserve">Mojokerto </t>
  </si>
  <si>
    <t xml:space="preserve">Surabaya </t>
  </si>
  <si>
    <t xml:space="preserve">Pucang Surabaya </t>
  </si>
  <si>
    <t>Thalita</t>
  </si>
  <si>
    <t xml:space="preserve">Hasyim </t>
  </si>
  <si>
    <t>Kf. 180 Sidoarjo</t>
  </si>
  <si>
    <t>Lia</t>
  </si>
  <si>
    <t>Makasar</t>
  </si>
  <si>
    <t>Dc. Makasar Ruko Komplek Citra Sudiang No.X-5 Kel PAI Biringkanaya Makasar</t>
  </si>
  <si>
    <t>YML</t>
  </si>
  <si>
    <t>Kf. 261 Sidoarjo</t>
  </si>
  <si>
    <t>Fiqih</t>
  </si>
  <si>
    <t>S 8662 UX</t>
  </si>
  <si>
    <t>087744962743</t>
  </si>
  <si>
    <t>Ananta CAM</t>
  </si>
  <si>
    <t>WIKA</t>
  </si>
  <si>
    <t xml:space="preserve">Jember </t>
  </si>
  <si>
    <t>Ananta</t>
  </si>
  <si>
    <t>Guardian Suncity Sidoarjo</t>
  </si>
  <si>
    <t>Yulia</t>
  </si>
  <si>
    <t>Family Food Gresik</t>
  </si>
  <si>
    <t xml:space="preserve">Philos </t>
  </si>
  <si>
    <t xml:space="preserve">Semarang </t>
  </si>
  <si>
    <t xml:space="preserve">PT CMB Semarang </t>
  </si>
  <si>
    <t xml:space="preserve">Perum Graha Candi Golf Jl Bukit Panorama no 27 Kel Jangli Tembalang Semarang </t>
  </si>
  <si>
    <t>Satimen</t>
  </si>
  <si>
    <t>S 8537 UZ</t>
  </si>
  <si>
    <t>PHLS</t>
  </si>
  <si>
    <t>In Semarang</t>
  </si>
  <si>
    <t>Satimen/ Done</t>
  </si>
  <si>
    <t xml:space="preserve">PT Graha Amartha Mandiri Bandung </t>
  </si>
  <si>
    <t xml:space="preserve">Jl Ahmad Yani A5 no 221 Kel Merdeka Kec Sumur Bandung </t>
  </si>
  <si>
    <t>In Bekasi</t>
  </si>
  <si>
    <t>KF. Tranding-Distribusion Madiun</t>
  </si>
  <si>
    <t>Jl. Sukosari I Desa Rt.18/VI Kwangseng Jiwan Madiun</t>
  </si>
  <si>
    <t>Wahyu</t>
  </si>
  <si>
    <t>Rindang</t>
  </si>
  <si>
    <t>Bekasi</t>
  </si>
  <si>
    <t xml:space="preserve">Alim CAM - Erfan CAM </t>
  </si>
  <si>
    <t>Amanda</t>
  </si>
  <si>
    <t>Dino Logistic</t>
  </si>
  <si>
    <t>TETRA</t>
  </si>
  <si>
    <t>Imam Syafi'i CAM</t>
  </si>
  <si>
    <t>DINO</t>
  </si>
  <si>
    <t>Jebsen &amp; Jessen</t>
  </si>
  <si>
    <t>Cikande</t>
  </si>
  <si>
    <t xml:space="preserve">Pt. Charoen Pokphand Serang </t>
  </si>
  <si>
    <t xml:space="preserve">Jl. Modern II No.15 Cikande Serang Banten </t>
  </si>
  <si>
    <t>J&amp;J</t>
  </si>
  <si>
    <t>Cirebon</t>
  </si>
  <si>
    <t>Nganjuk</t>
  </si>
  <si>
    <t>Bu Ika Nganjuk</t>
  </si>
  <si>
    <t>Jl. Megantoro No.22 Ganung Kidul Nganjuk</t>
  </si>
  <si>
    <t>Koli Besar</t>
  </si>
  <si>
    <t>S 8138 HN</t>
  </si>
  <si>
    <t>Pt. Mitratani Dua Tujuh Jember</t>
  </si>
  <si>
    <t xml:space="preserve">Jl. Brawijaya 83 Mangli Kaliwates Jember </t>
  </si>
  <si>
    <t>081938811076</t>
  </si>
  <si>
    <t>572.15</t>
  </si>
  <si>
    <t>Wahyudi</t>
  </si>
  <si>
    <t>Hasyim CAM</t>
  </si>
  <si>
    <t>GMN</t>
  </si>
  <si>
    <t xml:space="preserve">Gloria Mitra Niagatama </t>
  </si>
  <si>
    <t>Pt. Circleka Dc Bandung</t>
  </si>
  <si>
    <t>Jl. Soekarno-Hatta No.447 Ciseureuh Regol Bandung</t>
  </si>
  <si>
    <t>Said</t>
  </si>
  <si>
    <t>Sumber Alfaria Dc Jember</t>
  </si>
  <si>
    <t xml:space="preserve">Retur </t>
  </si>
  <si>
    <t xml:space="preserve">Lion Superindo </t>
  </si>
  <si>
    <t>Warehouse Yava Surabaya</t>
  </si>
  <si>
    <t xml:space="preserve">Wahyu </t>
  </si>
  <si>
    <t>Wahyu / DONE</t>
  </si>
  <si>
    <t xml:space="preserve">Gresik </t>
  </si>
  <si>
    <t xml:space="preserve">Apotik Pahala Batu Mulia Gresik </t>
  </si>
  <si>
    <t>Philos</t>
  </si>
  <si>
    <t>W 8212 UO</t>
  </si>
  <si>
    <t xml:space="preserve">Kediri </t>
  </si>
  <si>
    <t xml:space="preserve">Guardian Kediri Town Square </t>
  </si>
  <si>
    <t>Bertha</t>
  </si>
  <si>
    <t>Imam s</t>
  </si>
  <si>
    <t>NIPPOTECH</t>
  </si>
  <si>
    <t>PT. Nippotech Sejahtera Gresik</t>
  </si>
  <si>
    <t>Jl. Kepatihan Industri II, Hendrosalam, Kepatihan, Kec. Menganti, Gresik</t>
  </si>
  <si>
    <t xml:space="preserve">Guardian Sunrise Mojokerto </t>
  </si>
  <si>
    <t xml:space="preserve">Hani </t>
  </si>
  <si>
    <t xml:space="preserve">Malang </t>
  </si>
  <si>
    <t>Guardian Gajayana II MOG Malang</t>
  </si>
  <si>
    <t xml:space="preserve">Watsons Malang Town Square </t>
  </si>
  <si>
    <t>WH JOGJA</t>
  </si>
  <si>
    <t>Jogja</t>
  </si>
  <si>
    <t xml:space="preserve">Sidoarjo </t>
  </si>
  <si>
    <t xml:space="preserve">Budi </t>
  </si>
  <si>
    <t>Zuliah</t>
  </si>
  <si>
    <t>AG 9926 VJ</t>
  </si>
  <si>
    <t>Budi / DONE</t>
  </si>
  <si>
    <t>Karawang</t>
  </si>
  <si>
    <t>Kurnia CAM</t>
  </si>
  <si>
    <t>Rizgate STO Sidoarjo</t>
  </si>
  <si>
    <t xml:space="preserve">Watsons Suncity Sidoarjo </t>
  </si>
  <si>
    <t>Sintia</t>
  </si>
  <si>
    <t>Triguna Jaya</t>
  </si>
  <si>
    <t>Alim</t>
  </si>
  <si>
    <t>Probolinggo</t>
  </si>
  <si>
    <t xml:space="preserve">RM Handayani Paiton </t>
  </si>
  <si>
    <t xml:space="preserve">Jl. Raya Paiton Km.137 Paiton Probolinggo </t>
  </si>
  <si>
    <t>Burhan</t>
  </si>
  <si>
    <t>TRGN</t>
  </si>
  <si>
    <t>Yoga</t>
  </si>
  <si>
    <t>Return</t>
  </si>
  <si>
    <t>Alfaria Dc Bandung</t>
  </si>
  <si>
    <t>Bandung</t>
  </si>
  <si>
    <t xml:space="preserve">Driyorejo Gresik </t>
  </si>
  <si>
    <t>081233438060</t>
  </si>
  <si>
    <t>ANT Cargo</t>
  </si>
  <si>
    <t>In Warehouse</t>
  </si>
  <si>
    <t>INWH</t>
  </si>
  <si>
    <t xml:space="preserve">Madiun </t>
  </si>
  <si>
    <t>ANT</t>
  </si>
  <si>
    <t>Warehous Persada Surabaya</t>
  </si>
  <si>
    <t>Banyuwangi</t>
  </si>
  <si>
    <t>Mazzoni Sukoharjo</t>
  </si>
  <si>
    <t>So-00202728</t>
  </si>
  <si>
    <t xml:space="preserve">Minahasa </t>
  </si>
  <si>
    <t>Colton Distribusindo Minahasa</t>
  </si>
  <si>
    <t xml:space="preserve">Pergudangan Volvo Penta Blok B No.2 Maumbi Kalawat Minahasa Utara </t>
  </si>
  <si>
    <t>Erik</t>
  </si>
  <si>
    <t>Delivered</t>
  </si>
  <si>
    <t>kapal perjalanan mks ke bitung</t>
  </si>
  <si>
    <t>SO-252250040261</t>
  </si>
  <si>
    <t xml:space="preserve">Lion Superindo Mojokerto </t>
  </si>
  <si>
    <t xml:space="preserve">Jl. Raya Bypass No.8 Kel. Kedundung Magersari Mojokerto </t>
  </si>
  <si>
    <t xml:space="preserve">Indomaret DC Mojokerto </t>
  </si>
  <si>
    <t xml:space="preserve">Wira Sardana Surabaya </t>
  </si>
  <si>
    <t xml:space="preserve">Aneke </t>
  </si>
  <si>
    <t xml:space="preserve">W 8082 UO </t>
  </si>
  <si>
    <t>Hasyim / DONE</t>
  </si>
  <si>
    <t>Restu Ibu Terawas Mojokerto</t>
  </si>
  <si>
    <t>Jl. Airlangga (Depan KUD) Kesiman Terawas Mojokerto</t>
  </si>
  <si>
    <t>Pasuruan</t>
  </si>
  <si>
    <t>Graha SA Mojokerto</t>
  </si>
  <si>
    <t xml:space="preserve">Jl. Brawijaya No.3 Mojosari Mojokerto </t>
  </si>
  <si>
    <t>sign+stamp</t>
  </si>
  <si>
    <t>Lamongan</t>
  </si>
  <si>
    <t xml:space="preserve">Bintang Arut Lamongan </t>
  </si>
  <si>
    <t xml:space="preserve">Jl. Basuki Rahmat No.107 Lamongan </t>
  </si>
  <si>
    <t xml:space="preserve">Jakarta </t>
  </si>
  <si>
    <t xml:space="preserve">Rifqi Putra Amanah Lamongan </t>
  </si>
  <si>
    <t xml:space="preserve">Jl. Sunan Drajad no.168 Sidoharjo Lamongan </t>
  </si>
  <si>
    <t xml:space="preserve">Sumber Agung Lamongan </t>
  </si>
  <si>
    <t>Jl. Raya Mantup No.415 Depan Pom Bensin Lamongan</t>
  </si>
  <si>
    <t>Alim/ Done</t>
  </si>
  <si>
    <t>Edy Susanto Bojonegoro</t>
  </si>
  <si>
    <t>Jl. Rajawali No.138 Karangpancar (toko Surya Harapan) Bojonegoro</t>
  </si>
  <si>
    <t>KF. 164 Gresik</t>
  </si>
  <si>
    <t xml:space="preserve">Banyuwangi </t>
  </si>
  <si>
    <t>Guardiant Town Square Kediri</t>
  </si>
  <si>
    <t>Dimas / DONE</t>
  </si>
  <si>
    <t>CLPA</t>
  </si>
  <si>
    <t>Guardian Lippo Plaza Sidoarjo</t>
  </si>
  <si>
    <t xml:space="preserve">Rukino </t>
  </si>
  <si>
    <t>Budi/ done</t>
  </si>
  <si>
    <t>Watsons Rocy Jember</t>
  </si>
  <si>
    <t>Amin</t>
  </si>
  <si>
    <t>YCH Philips</t>
  </si>
  <si>
    <t>Pondok Ungu, Komplek Pergudangan Widya Sakti Kusuma, Jl. Harapan Baru Raya Jl. Wahab Affan Blok F24, RT.006/RW.007, Medan Satria, Kecamatan Medan Satria Bekasi</t>
  </si>
  <si>
    <t>Alim CAM</t>
  </si>
  <si>
    <t>Guardiant Suncity Sidoarjo</t>
  </si>
  <si>
    <t xml:space="preserve">Muji </t>
  </si>
  <si>
    <t>Pati</t>
  </si>
  <si>
    <t>Deri CAM</t>
  </si>
  <si>
    <t>Watsons Suncity Madiun</t>
  </si>
  <si>
    <t>Filla</t>
  </si>
  <si>
    <t xml:space="preserve">Family Food </t>
  </si>
  <si>
    <t>Bp. Zaenal Dc. Bandung 1</t>
  </si>
  <si>
    <t xml:space="preserve">Jl. Soekarno Hatta No.791 Kec. Gede Bage Bandung </t>
  </si>
  <si>
    <t>Po Mati 9/7/26</t>
  </si>
  <si>
    <t xml:space="preserve">IN Bekasi </t>
  </si>
  <si>
    <t>Blora</t>
  </si>
  <si>
    <t>TETRA SUB</t>
  </si>
  <si>
    <t>Devino Fb Blitar</t>
  </si>
  <si>
    <t>Jl. Widuri No 70 RT 01 RW 02 tlumpu Sukorejo Blitar</t>
  </si>
  <si>
    <t xml:space="preserve">Sutriyono </t>
  </si>
  <si>
    <t>SO-00202724</t>
  </si>
  <si>
    <t xml:space="preserve">UD Pangan Jaya Balikpapan </t>
  </si>
  <si>
    <t xml:space="preserve">Jl MT Haryono no 40 Gn Bahagia Balikpapan Selatan Balikpapan </t>
  </si>
  <si>
    <t xml:space="preserve">YML </t>
  </si>
  <si>
    <t>SO-00202723</t>
  </si>
  <si>
    <t>Medan</t>
  </si>
  <si>
    <t>Watsons Gajayana II Malang</t>
  </si>
  <si>
    <t>sign</t>
  </si>
  <si>
    <t xml:space="preserve">       </t>
  </si>
  <si>
    <t xml:space="preserve">Sumenep </t>
  </si>
  <si>
    <t>Guardian Gajayana II Malang</t>
  </si>
  <si>
    <t xml:space="preserve">Palembang </t>
  </si>
  <si>
    <t>Kf. Sukomulyo Gresik</t>
  </si>
  <si>
    <t xml:space="preserve">Makassar </t>
  </si>
  <si>
    <t xml:space="preserve">Lingkar Timur Sidoarjo </t>
  </si>
  <si>
    <t xml:space="preserve">Guardiant Lippo Plaza Sidoarjo </t>
  </si>
  <si>
    <t>Rukini</t>
  </si>
  <si>
    <t xml:space="preserve">KF. Manyar Gresik </t>
  </si>
  <si>
    <t xml:space="preserve">Pontianak </t>
  </si>
  <si>
    <t xml:space="preserve">Guardiant Kediri Town Square </t>
  </si>
  <si>
    <t>Sumber Alfaria Dc Gianyar Bali</t>
  </si>
  <si>
    <t xml:space="preserve">Jl. Prof Dr. Ida Bagus Mantra Tulikup Gianyar Bali </t>
  </si>
  <si>
    <t>EPM</t>
  </si>
  <si>
    <t>Manado</t>
  </si>
  <si>
    <t>Pt. Prima Rezeki Indonesia Manado</t>
  </si>
  <si>
    <t xml:space="preserve">Jl. Ringroad I Manado Kawasan Bussines 8 Gudang No.22 Tikala Manado </t>
  </si>
  <si>
    <t>Titi</t>
  </si>
  <si>
    <t xml:space="preserve">Pt. CMB Semarang </t>
  </si>
  <si>
    <t>Aris</t>
  </si>
  <si>
    <t>Leo</t>
  </si>
  <si>
    <t>Yayasan Dewi Kasim Jember</t>
  </si>
  <si>
    <t xml:space="preserve">Jl. Belitung I No2 Sumber Sari Jember </t>
  </si>
  <si>
    <t>Fitrian</t>
  </si>
  <si>
    <t>Jery</t>
  </si>
  <si>
    <t>Fitrian/ Done</t>
  </si>
  <si>
    <t>Demak</t>
  </si>
  <si>
    <t>Pt. Noorel Idea Demak</t>
  </si>
  <si>
    <t>Jl. Raya Purwodadi-Semaran Dolog Kembangarum Demak</t>
  </si>
  <si>
    <t>Wonosobo</t>
  </si>
  <si>
    <t>Hotel Dafam Wonosobo</t>
  </si>
  <si>
    <t>Jl. pangeran Diponegoro No.38 Kec. Wonosobo</t>
  </si>
  <si>
    <t xml:space="preserve">Imam </t>
  </si>
  <si>
    <t>S6 Bondora Banyuwangi</t>
  </si>
  <si>
    <t>Jl. Agung Wilis Desa Blimbingsari Banyuwangi</t>
  </si>
  <si>
    <t>Wafi</t>
  </si>
  <si>
    <t>Silvanda Kediri</t>
  </si>
  <si>
    <t>Imam/ Done</t>
  </si>
  <si>
    <t>Magelang</t>
  </si>
  <si>
    <t>Pt. Berkah Ligua Prima Magelang</t>
  </si>
  <si>
    <t xml:space="preserve">Jl. Ahmad Yani No.42 Gelangan Magelangan Tengah </t>
  </si>
  <si>
    <t>Ibu Ferry Kediri</t>
  </si>
  <si>
    <t>Mutiara Pare Residence Blok B No.8 Jl. Puncuk Raya Rt.1/1 Pare Kediri</t>
  </si>
  <si>
    <t>Pt. SGM kulon Progo Yogyakarta</t>
  </si>
  <si>
    <t>Depok Rt.45/23 Sukoreno Kulon Progo Yogyakarta</t>
  </si>
  <si>
    <t>Sadi</t>
  </si>
  <si>
    <t>Shop &amp; drive Tanjung blitar</t>
  </si>
  <si>
    <t>Jl. Tanjung no 28 Sukorejo Blitar</t>
  </si>
  <si>
    <t xml:space="preserve">Samudra Bojonegoro </t>
  </si>
  <si>
    <t>Dimas/Done</t>
  </si>
  <si>
    <t xml:space="preserve"> FIKKIA UNAIR BANYUWANGI</t>
  </si>
  <si>
    <t>Jl. Jaksa agung Suprapto no 142 mojopanggung, giri banyuwangi</t>
  </si>
  <si>
    <t>Yusron</t>
  </si>
  <si>
    <t>Klaten</t>
  </si>
  <si>
    <t xml:space="preserve">Tuban </t>
  </si>
  <si>
    <t xml:space="preserve">Guardian City Mall Tuban </t>
  </si>
  <si>
    <t>Lingkungan Wedangan Semanding Tuban</t>
  </si>
  <si>
    <t>Dwi</t>
  </si>
  <si>
    <t>Kf. Balongpanggang Gresik</t>
  </si>
  <si>
    <t xml:space="preserve">Landia </t>
  </si>
  <si>
    <t xml:space="preserve">DIMA </t>
  </si>
  <si>
    <t xml:space="preserve">Anis </t>
  </si>
  <si>
    <t>DIMAS / DONE</t>
  </si>
  <si>
    <t xml:space="preserve">Watsons Lippo plaza Sidoarjo </t>
  </si>
  <si>
    <t>DMI</t>
  </si>
  <si>
    <t>Exxon Mobil Cepu Bojonegoro</t>
  </si>
  <si>
    <t xml:space="preserve">Nur </t>
  </si>
  <si>
    <t>Enseval Kudus</t>
  </si>
  <si>
    <t>CAM SMG</t>
  </si>
  <si>
    <t xml:space="preserve">Bpk Yustinus Agung Semarang </t>
  </si>
  <si>
    <t>Rajawali Sidoarjo</t>
  </si>
  <si>
    <t xml:space="preserve">Jl Tambak Aji no 1A Kawasan Industri Guna Mekar Semarang </t>
  </si>
  <si>
    <t>PU</t>
  </si>
  <si>
    <t>Jamal / done</t>
  </si>
  <si>
    <t>Grandmax Spanten</t>
  </si>
  <si>
    <t xml:space="preserve">Kreasi Mitra Jaya </t>
  </si>
  <si>
    <t>Sumber Murah Jiwan Madiun</t>
  </si>
  <si>
    <t>Jl. Branjangan No.30 Jiwan Madiun</t>
  </si>
  <si>
    <t>Ariska</t>
  </si>
  <si>
    <t>KMJ</t>
  </si>
  <si>
    <t>In / Arif</t>
  </si>
  <si>
    <t>SML Link Jakarta</t>
  </si>
  <si>
    <t>Firman</t>
  </si>
  <si>
    <t>Sumber Murah Maospati Magetan</t>
  </si>
  <si>
    <t>Jl. Barat Kleco Maospati Magetan</t>
  </si>
  <si>
    <t>Ngawi</t>
  </si>
  <si>
    <t>Sumber Murah Ronggowarsito</t>
  </si>
  <si>
    <t>Jl. Ronggowarsito No.16 Sidorejo Central Karang Ngawi</t>
  </si>
  <si>
    <t>Erwin</t>
  </si>
  <si>
    <t>Sutarno CAM</t>
  </si>
  <si>
    <t xml:space="preserve">SML </t>
  </si>
  <si>
    <t>Banyumas</t>
  </si>
  <si>
    <t>IN Semarang</t>
  </si>
  <si>
    <t>Satimin</t>
  </si>
  <si>
    <t xml:space="preserve">Sumber Murah Jogorogo Ngawi </t>
  </si>
  <si>
    <t xml:space="preserve">Jl. Jogorogo regency Ngawi </t>
  </si>
  <si>
    <t xml:space="preserve">Karawang </t>
  </si>
  <si>
    <t xml:space="preserve">Pt. Amcor Specialty Pasuruan </t>
  </si>
  <si>
    <t>Jl. Rembang Industri Raya No.43 Pandean Rembang Pasuruan</t>
  </si>
  <si>
    <t>Amin/ Done</t>
  </si>
  <si>
    <t xml:space="preserve">Bekasi </t>
  </si>
  <si>
    <t xml:space="preserve">Shop&amp;Drive Tanjung </t>
  </si>
  <si>
    <t>Dino Logistic Sidoarjo</t>
  </si>
  <si>
    <t xml:space="preserve">Sudah Terpickup </t>
  </si>
  <si>
    <t>Arif / done</t>
  </si>
  <si>
    <t>B 9767 SYP</t>
  </si>
  <si>
    <t xml:space="preserve">Dewi Kartika </t>
  </si>
  <si>
    <t>Bpk Asep Makasar</t>
  </si>
  <si>
    <t>65.51</t>
  </si>
  <si>
    <t>Rahadi CAM</t>
  </si>
  <si>
    <t>Azizah</t>
  </si>
  <si>
    <t xml:space="preserve">Dimas </t>
  </si>
  <si>
    <t>Yogi</t>
  </si>
  <si>
    <t xml:space="preserve">Bp. Haris/ Jamhari Zahron Pekanbaru </t>
  </si>
  <si>
    <t>197.56</t>
  </si>
  <si>
    <t>Haris</t>
  </si>
  <si>
    <t xml:space="preserve">In Bekasi </t>
  </si>
  <si>
    <t xml:space="preserve">Jl Raya Paiton km 137 Kec Paiton Kab Probolinggo </t>
  </si>
  <si>
    <t xml:space="preserve">Fitrian </t>
  </si>
  <si>
    <t>TRGA</t>
  </si>
  <si>
    <t>082138895144</t>
  </si>
  <si>
    <t xml:space="preserve">Sukoharjo </t>
  </si>
  <si>
    <t xml:space="preserve">Trenggalek </t>
  </si>
  <si>
    <t xml:space="preserve">Antok Sudarmanto Trenggalek </t>
  </si>
  <si>
    <t xml:space="preserve">Jl Raya Kendalrejo Dsn Randu Ds Kendalrejo Kec Durenan Kab Trenggalek </t>
  </si>
  <si>
    <t>DKSH</t>
  </si>
  <si>
    <t>Bp. Zaenal Dc Bandung 1</t>
  </si>
  <si>
    <t>163.2</t>
  </si>
  <si>
    <t>NTT</t>
  </si>
  <si>
    <t>Cianjur</t>
  </si>
  <si>
    <t xml:space="preserve">Bp. Sopyan Dc Cianjur </t>
  </si>
  <si>
    <t>STV</t>
  </si>
  <si>
    <t xml:space="preserve">Lampung </t>
  </si>
  <si>
    <t xml:space="preserve">Pt. Royal Multi Abadi Lampung </t>
  </si>
  <si>
    <t xml:space="preserve">Jl. Alimudin Umar Lk I Rt.4 Campang Raya Bandar Lampung </t>
  </si>
  <si>
    <t>Andre</t>
  </si>
  <si>
    <t>In Bekasi / BYL</t>
  </si>
  <si>
    <t>DMA</t>
  </si>
  <si>
    <t xml:space="preserve">Medan </t>
  </si>
  <si>
    <t xml:space="preserve">Cv Sahabat Jaya Medan </t>
  </si>
  <si>
    <t xml:space="preserve">Jl. Asrama/ Pondok Kelapa Komplek Pergudangan Paragon No.9 Medan </t>
  </si>
  <si>
    <t>DI HOLD</t>
  </si>
  <si>
    <t>On Delivery</t>
  </si>
  <si>
    <t>ONDEL</t>
  </si>
  <si>
    <t xml:space="preserve">Guardian Kediri Mall </t>
  </si>
  <si>
    <t>Bantul</t>
  </si>
  <si>
    <t>OLI</t>
  </si>
  <si>
    <t>Fitrian / Done</t>
  </si>
  <si>
    <t xml:space="preserve">Watsons Roxy Jember </t>
  </si>
  <si>
    <t xml:space="preserve">Guardiant Gajayana II Malang </t>
  </si>
  <si>
    <t xml:space="preserve">Watsons Lippo Batu </t>
  </si>
  <si>
    <t>Batu Malang</t>
  </si>
  <si>
    <t>Bogor</t>
  </si>
  <si>
    <t>Soni</t>
  </si>
  <si>
    <t>Guardiant Matos Malang</t>
  </si>
  <si>
    <t>Guardian Lippo Plaza Madiun</t>
  </si>
  <si>
    <t>In/ Arif</t>
  </si>
  <si>
    <t>Guardian City Mall Tuban</t>
  </si>
  <si>
    <t>PT Javas Tercipta Mandala</t>
  </si>
  <si>
    <t>JTM</t>
  </si>
  <si>
    <t xml:space="preserve">Watsons Citymall Tuban </t>
  </si>
  <si>
    <t>Sinta</t>
  </si>
  <si>
    <t>Kf. Menganti Gresik</t>
  </si>
  <si>
    <t>Watsons Icon Mall Gresik</t>
  </si>
  <si>
    <t>Leni</t>
  </si>
  <si>
    <t>Kf. 164 Gresik</t>
  </si>
  <si>
    <t>Anis</t>
  </si>
  <si>
    <t>Watsons Lippo Sidoarjo</t>
  </si>
  <si>
    <t>Novi</t>
  </si>
  <si>
    <t>Guardiant Lippo Plaza Sidoarjo</t>
  </si>
  <si>
    <t>Rere</t>
  </si>
  <si>
    <t>Kf. Kholil Bangkalan Madura</t>
  </si>
  <si>
    <t>Bangkalan Madura</t>
  </si>
  <si>
    <t>Ayu</t>
  </si>
  <si>
    <t>Kf. Pamekasan 2 Madura</t>
  </si>
  <si>
    <t xml:space="preserve">Pamekasan Madura </t>
  </si>
  <si>
    <t>Yudi</t>
  </si>
  <si>
    <t>PekanBaru</t>
  </si>
  <si>
    <t>Kf. 163  Bangkalan Madura</t>
  </si>
  <si>
    <t>Elisa</t>
  </si>
  <si>
    <t>Kf. 274 Pamekasan Madura</t>
  </si>
  <si>
    <t>Solo</t>
  </si>
  <si>
    <t xml:space="preserve">Anita </t>
  </si>
  <si>
    <t>Rajawali Gedangan</t>
  </si>
  <si>
    <t xml:space="preserve">PT. AyuBerga </t>
  </si>
  <si>
    <t>Pt. Uniqpak Sarana Antaran Jakarta</t>
  </si>
  <si>
    <t>Jl. Komodor Halim perdana Kusuma Jakarta</t>
  </si>
  <si>
    <t>Nugi/ Done</t>
  </si>
  <si>
    <t xml:space="preserve">Pk. Sahono Wonosobo </t>
  </si>
  <si>
    <t>Cilincing JKT</t>
  </si>
  <si>
    <t>Purwokerto</t>
  </si>
  <si>
    <t>Rs. Islam Purwokerto</t>
  </si>
  <si>
    <t>Jl. Mashuri No.39 Kalibogor Reja Sari Purwokerto</t>
  </si>
  <si>
    <t>Mitra Laotan Jaya</t>
  </si>
  <si>
    <t>Tangerang</t>
  </si>
  <si>
    <t>Situbondo</t>
  </si>
  <si>
    <t xml:space="preserve">in wh bekasi </t>
  </si>
  <si>
    <t>Pt. Windublambangan Sejati Banyuwangi</t>
  </si>
  <si>
    <t xml:space="preserve">Jl. Gatot Subroto  Km.5 No.18 Kel Bulusan Kalipura Banyuwangi </t>
  </si>
  <si>
    <t>Grahawati Ningrum Kediri</t>
  </si>
  <si>
    <t>Jl. Arifin Ahmad Rt.2/15 Sidomulyo Marpoyan Damai Pekanbaru</t>
  </si>
  <si>
    <t>DMA JKT</t>
  </si>
  <si>
    <t xml:space="preserve">Eko Lintas </t>
  </si>
  <si>
    <t xml:space="preserve">Makasar </t>
  </si>
  <si>
    <t>Pt. GAM Bandung</t>
  </si>
  <si>
    <t>Jl. Ahmad Yani 221-A5 Kel. Merdeka Bandung</t>
  </si>
  <si>
    <t>Lion Superindo Mojokerto</t>
  </si>
  <si>
    <t>Sragen</t>
  </si>
  <si>
    <t>Pt. Tiga Pillar Sejahtera Sragen</t>
  </si>
  <si>
    <t>Jl. Raya Grompol Jambangan Km 5,5 Tekik Rejo Sepat Masaran Sragen</t>
  </si>
  <si>
    <t xml:space="preserve">Suparno </t>
  </si>
  <si>
    <t>Ali</t>
  </si>
  <si>
    <t>Subur Dadi Mojokerto</t>
  </si>
  <si>
    <t xml:space="preserve">Jl. Mojopahit 329 Mojokerto </t>
  </si>
  <si>
    <t>Sumber Alfaria DC Bandung 1</t>
  </si>
  <si>
    <t>Jl. Soekarno Hatta No.791 Bandung</t>
  </si>
  <si>
    <t xml:space="preserve">Sumber Sari Mojokerto </t>
  </si>
  <si>
    <t>Jl. Pahlawan No.15 Mojokerto</t>
  </si>
  <si>
    <t xml:space="preserve">Sumber Alfaria DC Bandung 2 </t>
  </si>
  <si>
    <t>Jl. Nanjung No.1 53 Desa Utama Cimahi Selatan Bandung</t>
  </si>
  <si>
    <t>Sinar Jaya Gresik</t>
  </si>
  <si>
    <t xml:space="preserve">Jl. Raya Patuh Indah No.1 Balog Panggang Gresik </t>
  </si>
  <si>
    <t>Catur Sentosa Banyuwangi</t>
  </si>
  <si>
    <t>Binardi</t>
  </si>
  <si>
    <t>Cileungsi</t>
  </si>
  <si>
    <t xml:space="preserve">Mega Depo Indonesia Jember </t>
  </si>
  <si>
    <t>Jangkar Jaya Situbondo</t>
  </si>
  <si>
    <t xml:space="preserve">Warna Raya Bojonegoro </t>
  </si>
  <si>
    <t>083125552825</t>
  </si>
  <si>
    <t>Bayu / Mistono</t>
  </si>
  <si>
    <t xml:space="preserve">Tulungagung </t>
  </si>
  <si>
    <t xml:space="preserve">Mitra Mega Tulungagung </t>
  </si>
  <si>
    <t>W 8017 UO</t>
  </si>
  <si>
    <t>081511722071</t>
  </si>
  <si>
    <t>Jamal CAM</t>
  </si>
  <si>
    <t xml:space="preserve">Usaha Makmur Trenggalek </t>
  </si>
  <si>
    <t>Inti Kayu Malang</t>
  </si>
  <si>
    <t>Salatiga</t>
  </si>
  <si>
    <t xml:space="preserve">Surya Karya Batu Malang </t>
  </si>
  <si>
    <t>CONNEL</t>
  </si>
  <si>
    <t xml:space="preserve">PT Asia Prima Konjac Madiun </t>
  </si>
  <si>
    <t xml:space="preserve">Jl Raya Ngawi - Caruban Area Sawahan Madiun </t>
  </si>
  <si>
    <t xml:space="preserve">Joko </t>
  </si>
  <si>
    <t>Memey Kosmetik Pusat</t>
  </si>
  <si>
    <t>Jl. KH imam Bahri no 10 dusun jenisari genteng kulon, kec genteng kab Banyuwangi</t>
  </si>
  <si>
    <t xml:space="preserve"> Bpk. Mamek Basuki </t>
  </si>
  <si>
    <t>Jl. Hasanudin no 3 RT 3 RW 1 Bendosari Ngantru Tulungagung</t>
  </si>
  <si>
    <t xml:space="preserve"> Bpk. Agung P (APM) Banyuwangi</t>
  </si>
  <si>
    <t>Jl. Raya lingkar Rogojampi no 88 ds gitik kec Rogojampi kab banyuwangi</t>
  </si>
  <si>
    <t>Egi</t>
  </si>
  <si>
    <t>Bpk. Hans Karunia (FS Situbondo)</t>
  </si>
  <si>
    <t>Jl. Basuki Rahmat no 132 desa mimbaan kec panji kab situbondo</t>
  </si>
  <si>
    <t>Pt. Citra Makmur</t>
  </si>
  <si>
    <t xml:space="preserve">Putera Terang Jaya Bojonegoro </t>
  </si>
  <si>
    <t>Jl. Jaksa Agung Suprapto 17G Rt.2 Rw.1 Banjarejo Bojonegoro</t>
  </si>
  <si>
    <t>Tutus</t>
  </si>
  <si>
    <t xml:space="preserve">Jamal </t>
  </si>
  <si>
    <t>CM</t>
  </si>
  <si>
    <t>IN Bekasi/ Rahadi</t>
  </si>
  <si>
    <t xml:space="preserve">In </t>
  </si>
  <si>
    <t>SO-252250040979+252250040980</t>
  </si>
  <si>
    <t xml:space="preserve">Lion Superindo DC Mojokerto </t>
  </si>
  <si>
    <t xml:space="preserve">Jl Raya Bypass Mojokerto no 8 Kel Kedundung Kec Magersari Mojokerto </t>
  </si>
  <si>
    <t>UGC</t>
  </si>
  <si>
    <t>Imam S/ DOne</t>
  </si>
  <si>
    <t>Kf. Sidayu Gresik</t>
  </si>
  <si>
    <t>Dimas/ DOne</t>
  </si>
  <si>
    <t>Kf. Usman Sadar Gresik</t>
  </si>
  <si>
    <t>Kf. Manyar Gresik</t>
  </si>
  <si>
    <t>Kf. Sumatra Gresik</t>
  </si>
  <si>
    <t>Ap. Batu Mulia Gresik</t>
  </si>
  <si>
    <t xml:space="preserve">Madura </t>
  </si>
  <si>
    <t>KF. 419 Bangkalan Madura</t>
  </si>
  <si>
    <t>Tuban</t>
  </si>
  <si>
    <t>Kf. 163 Bangkalan Madura</t>
  </si>
  <si>
    <t>Kf. Sumenep Madura</t>
  </si>
  <si>
    <t>Sumenep Madura</t>
  </si>
  <si>
    <t>Dewi</t>
  </si>
  <si>
    <t>Ika</t>
  </si>
  <si>
    <t>Kf. Sumenep 2 Madura</t>
  </si>
  <si>
    <t>Aldi</t>
  </si>
  <si>
    <t>Guardiant Ketos Kediri</t>
  </si>
  <si>
    <t xml:space="preserve">Watsons City Mall Tuban </t>
  </si>
  <si>
    <t xml:space="preserve">Lamongan </t>
  </si>
  <si>
    <t>Watsons Lippo Batu Malang</t>
  </si>
  <si>
    <t xml:space="preserve">Guardiant Lippo Plaza Jember </t>
  </si>
  <si>
    <t>Guardiant Roxy Jember</t>
  </si>
  <si>
    <t>Guardiant Suncity Madiun</t>
  </si>
  <si>
    <t xml:space="preserve">Yuli </t>
  </si>
  <si>
    <t>Pras</t>
  </si>
  <si>
    <t xml:space="preserve">S 8075 UW </t>
  </si>
  <si>
    <t>Watsons Sunrise Mojokerto</t>
  </si>
  <si>
    <t>Zainal</t>
  </si>
  <si>
    <t>Kolang Sidoarjo</t>
  </si>
  <si>
    <t>Reni</t>
  </si>
  <si>
    <t>Pacitan</t>
  </si>
  <si>
    <t>Utama Global Cargo</t>
  </si>
  <si>
    <t xml:space="preserve">Cv. Alas Sari Teknik Badung </t>
  </si>
  <si>
    <t>Jl. Uluwatu No75 Banjar Kuta Badung</t>
  </si>
  <si>
    <t>Jumu Astra</t>
  </si>
  <si>
    <t>Rahadi</t>
  </si>
  <si>
    <t>Lombok</t>
  </si>
  <si>
    <t>RSUD Soedjono Selong Lombok</t>
  </si>
  <si>
    <t xml:space="preserve">Jl. Prof M.Yamin SH No.55 Selong Lombok </t>
  </si>
  <si>
    <t>Irwan</t>
  </si>
  <si>
    <t xml:space="preserve">Bp. Andriyanto Putera Palembang </t>
  </si>
  <si>
    <t xml:space="preserve">Jl. Pangeran Ayin Komplek Graha Bukit Blok AC 17 Sukomulyo Palembang </t>
  </si>
  <si>
    <t>5+1</t>
  </si>
  <si>
    <t>Shadiq</t>
  </si>
  <si>
    <t>5 koli + 1 Motor</t>
  </si>
  <si>
    <t xml:space="preserve">Rahadi </t>
  </si>
  <si>
    <t>IN Bekasi / BYL</t>
  </si>
  <si>
    <t>Jebsen&amp;Jessen</t>
  </si>
  <si>
    <t>Pt. Giri Loka Shakti Malang</t>
  </si>
  <si>
    <t xml:space="preserve">Jl. Raya Pandanlandung Rt.9 Rw.2 Wagir Malang </t>
  </si>
  <si>
    <t xml:space="preserve">rescedule </t>
  </si>
  <si>
    <t>Bpk. Devino M (aps) / FB Blitar</t>
  </si>
  <si>
    <t>Jl. Widuri no 70 RT 01 RW 02 tlumpu Sukorejo blitar</t>
  </si>
  <si>
    <t>Shop &amp; drive Soeta ponorogo</t>
  </si>
  <si>
    <t>Jl. Soekarno - Hatta no 222 A Banyudono kab ponorogo</t>
  </si>
  <si>
    <t>Trenggalek</t>
  </si>
  <si>
    <t>Tulus</t>
  </si>
  <si>
    <t>Denpasar Bali</t>
  </si>
  <si>
    <t xml:space="preserve"> Bpk. Romi S (FB Blitar)</t>
  </si>
  <si>
    <t xml:space="preserve">Arif </t>
  </si>
  <si>
    <t>Bpk. Zamzami A (FS Pacitan)</t>
  </si>
  <si>
    <t xml:space="preserve"> Jl. Tentara pelajar no 97 RT 03 RW 01 Tegal Rejo nanggungan pacitan</t>
  </si>
  <si>
    <t>HR Madiun</t>
  </si>
  <si>
    <t xml:space="preserve">Bayu </t>
  </si>
  <si>
    <t xml:space="preserve">Hr. Madiun </t>
  </si>
  <si>
    <t>Cobra Dental Denpasar Bali</t>
  </si>
  <si>
    <t>213.61</t>
  </si>
  <si>
    <t xml:space="preserve">Sketsa Walpaper </t>
  </si>
  <si>
    <t>Krian</t>
  </si>
  <si>
    <t>Pt. Taco Krian</t>
  </si>
  <si>
    <t>Tarno</t>
  </si>
  <si>
    <t>tarno</t>
  </si>
  <si>
    <t xml:space="preserve">Cv Berlian Industrindo </t>
  </si>
  <si>
    <t>Mitra Mulia Makmur</t>
  </si>
  <si>
    <t xml:space="preserve">Sinar Meadow Int Ind Jakarta </t>
  </si>
  <si>
    <t xml:space="preserve">Jl Pulo Ayang 1/6 Kwasan Industri Pulogadung Jakarta Timur Jakarta </t>
  </si>
  <si>
    <t xml:space="preserve">Nugi </t>
  </si>
  <si>
    <t>MMM</t>
  </si>
  <si>
    <t>Eko Lintas</t>
  </si>
  <si>
    <t>Nugi / Done</t>
  </si>
  <si>
    <t>Guardiant Sunrise Mojokerto</t>
  </si>
  <si>
    <t>Guardiant City Mall Tuban</t>
  </si>
  <si>
    <t>kediri</t>
  </si>
  <si>
    <t>Arif'</t>
  </si>
  <si>
    <t>Lumajang</t>
  </si>
  <si>
    <t>Watsons Lippo Jember</t>
  </si>
  <si>
    <t>Sifn+stamp</t>
  </si>
  <si>
    <t>Taufik</t>
  </si>
  <si>
    <t>Watsons MOG Malang</t>
  </si>
  <si>
    <t xml:space="preserve">Sign+stamp </t>
  </si>
  <si>
    <t>Watsons Matos Malang</t>
  </si>
  <si>
    <t xml:space="preserve">Return </t>
  </si>
  <si>
    <t>Jaya Anugrah Yakun</t>
  </si>
  <si>
    <t>Mowilex Sidoarjo</t>
  </si>
  <si>
    <t>Sleman</t>
  </si>
  <si>
    <t xml:space="preserve">Satimen </t>
  </si>
  <si>
    <t xml:space="preserve">Jl. Raya Sukabumi No. Km7 Warungkondang Cianjur </t>
  </si>
  <si>
    <t>Roby</t>
  </si>
  <si>
    <t>SIgn+stamp</t>
  </si>
  <si>
    <t xml:space="preserve">Jl. Mayor Bismo No. 135 Mojoreto Kediri </t>
  </si>
  <si>
    <t xml:space="preserve">koli Sedang </t>
  </si>
  <si>
    <t>IN/ Arif</t>
  </si>
  <si>
    <t xml:space="preserve">Haryono Mustofa Bangkalan </t>
  </si>
  <si>
    <t>Jl. Panglima Sudirman No.101 Pejagan Demangan Bangkalan Madura</t>
  </si>
  <si>
    <t>Haryono</t>
  </si>
  <si>
    <t xml:space="preserve">Proban Maju Bersama Trenggalek </t>
  </si>
  <si>
    <t>Jl. Dewi Sartika Dobangsan Trenggalek</t>
  </si>
  <si>
    <t xml:space="preserve">Rajawali Putra Jember </t>
  </si>
  <si>
    <t xml:space="preserve">Jl. Darmawangsa 145 Rt.2 Rw.3 Kaliwing Rambip Jember </t>
  </si>
  <si>
    <t xml:space="preserve">Fitriyan </t>
  </si>
  <si>
    <t>Wiwin</t>
  </si>
  <si>
    <t xml:space="preserve">Jl. Sawunggaling No.73 Bojonegoro </t>
  </si>
  <si>
    <t xml:space="preserve">sign+stamp </t>
  </si>
  <si>
    <t xml:space="preserve">Batu </t>
  </si>
  <si>
    <t>Sri Mulia Indo Pertiwi Batu</t>
  </si>
  <si>
    <t xml:space="preserve">Jl. Dewi Sartika Atas No2 Batu </t>
  </si>
  <si>
    <t>Ririn</t>
  </si>
  <si>
    <t>Tanto</t>
  </si>
  <si>
    <t xml:space="preserve">Sumber Alfaria Dc Cirebon </t>
  </si>
  <si>
    <t xml:space="preserve">In bekasi </t>
  </si>
  <si>
    <t>PT Windublambangan Sejati Banyuwangi</t>
  </si>
  <si>
    <t xml:space="preserve">Jl Gatot Subroto no 18 Kel Bulusan Kec Kalipuro Banyuwangi </t>
  </si>
  <si>
    <t xml:space="preserve">Guardiant Lippo Jember </t>
  </si>
  <si>
    <t xml:space="preserve">Guardiant Suncity Sidorjo </t>
  </si>
  <si>
    <t>Julian</t>
  </si>
  <si>
    <t xml:space="preserve">Guardian Taman Pinang Sidoarjo </t>
  </si>
  <si>
    <t xml:space="preserve">Dyah </t>
  </si>
  <si>
    <t xml:space="preserve">Guardiant Lippo Madiun </t>
  </si>
  <si>
    <t>Guardiant City MallTuban</t>
  </si>
  <si>
    <t>In</t>
  </si>
  <si>
    <t xml:space="preserve">AP Pahala Batu Mulia Gresik </t>
  </si>
  <si>
    <t xml:space="preserve">Watson Suncity Sidoarjo </t>
  </si>
  <si>
    <t>Febby</t>
  </si>
  <si>
    <t>Guardian Gajayana Malang</t>
  </si>
  <si>
    <t xml:space="preserve">Nippotech </t>
  </si>
  <si>
    <t>Jambi</t>
  </si>
  <si>
    <t xml:space="preserve">Bp. Joko Wiyono Jambi </t>
  </si>
  <si>
    <t xml:space="preserve">Jambi </t>
  </si>
  <si>
    <t xml:space="preserve">DI HOLD DI BEKASI </t>
  </si>
  <si>
    <t>NPT</t>
  </si>
  <si>
    <t>Sample</t>
  </si>
  <si>
    <t xml:space="preserve">Pak Wahyu Balikpapan </t>
  </si>
  <si>
    <t xml:space="preserve">Jl Perum Wika Cluster Berau c8 3 no 7 Balikpapan </t>
  </si>
  <si>
    <t>Retur FTL</t>
  </si>
  <si>
    <t>PT Jaya Anugerah Yakun</t>
  </si>
  <si>
    <t>BUDI / DONE</t>
  </si>
  <si>
    <t xml:space="preserve">penarikan barang </t>
  </si>
  <si>
    <t xml:space="preserve">Shop &amp; Drive Tanjung Blitar </t>
  </si>
  <si>
    <t>Nabila</t>
  </si>
  <si>
    <t>Jerry</t>
  </si>
  <si>
    <t>POD Di Bekasi</t>
  </si>
  <si>
    <t>BKSI</t>
  </si>
  <si>
    <t>Jerry/ Done</t>
  </si>
  <si>
    <t xml:space="preserve">Palangkaaraya </t>
  </si>
  <si>
    <t xml:space="preserve">PT Kahayan Niaga Palangkaraya </t>
  </si>
  <si>
    <t xml:space="preserve">Palangkaraya </t>
  </si>
  <si>
    <t>Rudy</t>
  </si>
  <si>
    <t>done</t>
  </si>
  <si>
    <t xml:space="preserve">Banjarmasin </t>
  </si>
  <si>
    <t xml:space="preserve">PT Pulau Baru Jaya Banjarmasin </t>
  </si>
  <si>
    <t>Arfan</t>
  </si>
  <si>
    <t xml:space="preserve"> B 9767 SYP</t>
  </si>
  <si>
    <t xml:space="preserve">PT Prima Rejeki Indo Manado </t>
  </si>
  <si>
    <t>Richard</t>
  </si>
  <si>
    <t xml:space="preserve">Pt. Mascot Palembang Raya </t>
  </si>
  <si>
    <t xml:space="preserve">Veodora </t>
  </si>
  <si>
    <t xml:space="preserve">Tanto </t>
  </si>
  <si>
    <t xml:space="preserve">Cv. Sahabat Jaya Medan </t>
  </si>
  <si>
    <t>PT. GAM Bandung</t>
  </si>
  <si>
    <t>Ecky</t>
  </si>
  <si>
    <t>Guardiant Lippo Plaza Jember</t>
  </si>
  <si>
    <t>Della</t>
  </si>
  <si>
    <t>Watsons Lippo Plaza Jember</t>
  </si>
  <si>
    <t>Nurul</t>
  </si>
  <si>
    <t>Dinkes Kota Madiun</t>
  </si>
  <si>
    <t>Amel</t>
  </si>
  <si>
    <t>Ali/ Done</t>
  </si>
  <si>
    <t>KF. Sumatra Gresik</t>
  </si>
  <si>
    <t>Watsons Gress Mall Gresik</t>
  </si>
  <si>
    <t>Bandung 1</t>
  </si>
  <si>
    <t>K-24 Pasar Menganti Gresik</t>
  </si>
  <si>
    <t>Devi</t>
  </si>
  <si>
    <t>Bandung 2</t>
  </si>
  <si>
    <t xml:space="preserve">Watson Gajayana II Malang </t>
  </si>
  <si>
    <t>Romi</t>
  </si>
  <si>
    <t>Dimas / Done</t>
  </si>
  <si>
    <t xml:space="preserve">Watson Malang Town Square </t>
  </si>
  <si>
    <t>Deby</t>
  </si>
  <si>
    <t xml:space="preserve">Sinar Total </t>
  </si>
  <si>
    <t xml:space="preserve">MPM Banyuwangi </t>
  </si>
  <si>
    <t xml:space="preserve">Ds. Pancer Rt.8/Rw. 1 Sumber Agung Pesanggaran Banyuwangi </t>
  </si>
  <si>
    <t xml:space="preserve">Probolinggo </t>
  </si>
  <si>
    <t xml:space="preserve">Dinkes Kota Probolinggo </t>
  </si>
  <si>
    <t>Rezka</t>
  </si>
  <si>
    <t xml:space="preserve">Dinkes Kab Probolinggo </t>
  </si>
  <si>
    <t>Febry</t>
  </si>
  <si>
    <t xml:space="preserve">Lumajang </t>
  </si>
  <si>
    <t xml:space="preserve">Dinkes Kab Lumajang </t>
  </si>
  <si>
    <t>Dinkes Kab Bondowoso</t>
  </si>
  <si>
    <t xml:space="preserve">Dinkes Kab Situbondo </t>
  </si>
  <si>
    <t>Intan</t>
  </si>
  <si>
    <t xml:space="preserve">Dinkes Kab Banyuwangi </t>
  </si>
  <si>
    <t xml:space="preserve">Dinkes kab Jember </t>
  </si>
  <si>
    <t xml:space="preserve">Jember  </t>
  </si>
  <si>
    <t xml:space="preserve">Pamekasan </t>
  </si>
  <si>
    <t xml:space="preserve">Dinkes Kab Pamekasan </t>
  </si>
  <si>
    <t xml:space="preserve">Jl Raya Manding Desa Murtajih Kec Pademawu Kab Pamekasan </t>
  </si>
  <si>
    <t xml:space="preserve">DMA Jakarta </t>
  </si>
  <si>
    <t xml:space="preserve">Sampang </t>
  </si>
  <si>
    <t xml:space="preserve">Dinkes Kab Sampang </t>
  </si>
  <si>
    <t xml:space="preserve">Jl KH Wahed Hasyim no 53 Sampang </t>
  </si>
  <si>
    <t xml:space="preserve">Dinkes Kab Sumenep </t>
  </si>
  <si>
    <t xml:space="preserve">Jl Raya Manding Ds Manding Laok Kec Manding Kab Sumenep </t>
  </si>
  <si>
    <t>Temanggung</t>
  </si>
  <si>
    <t xml:space="preserve">Dinkes Kab Bangkalan </t>
  </si>
  <si>
    <t xml:space="preserve">Jl Raya Ketengan Tunjung Burneh Bangkalan </t>
  </si>
  <si>
    <t xml:space="preserve">Ismail </t>
  </si>
  <si>
    <t xml:space="preserve">Dinkes Kab Sidoarjo </t>
  </si>
  <si>
    <t>Jl Mayjen Sungkono no 46 Pucang Kec Sidoarjo Kab Sidoarjo</t>
  </si>
  <si>
    <t>Budi / Done</t>
  </si>
  <si>
    <t xml:space="preserve">Dinkes Kota Surabaya </t>
  </si>
  <si>
    <t xml:space="preserve">UPTD Jl Rungkut Puskesmas no 7 Rungkut Surabaya </t>
  </si>
  <si>
    <t xml:space="preserve">Venni </t>
  </si>
  <si>
    <t xml:space="preserve"> W 8146 UO</t>
  </si>
  <si>
    <t>Dinkes Kab Mojokerto</t>
  </si>
  <si>
    <t xml:space="preserve">Jl raya Jabon no 91 Mojoanyar Mojokerto </t>
  </si>
  <si>
    <t xml:space="preserve">Cilincing JKT </t>
  </si>
  <si>
    <t xml:space="preserve">Ngawi </t>
  </si>
  <si>
    <t xml:space="preserve">Dinkes Kab Ngawi </t>
  </si>
  <si>
    <t>Jl S Prman no 25 Ngawi</t>
  </si>
  <si>
    <t>Arif/ Done</t>
  </si>
  <si>
    <t xml:space="preserve">Dinkes Kab Lamongan </t>
  </si>
  <si>
    <t xml:space="preserve">Jl Kusuma Bangsa no 22 Lamongan </t>
  </si>
  <si>
    <t>Nida</t>
  </si>
  <si>
    <t xml:space="preserve">Dinkes Kab Tuban </t>
  </si>
  <si>
    <t xml:space="preserve">Jl Brawijaya no 3 Kel Kebonsari Kec Tuban </t>
  </si>
  <si>
    <t xml:space="preserve">Friska </t>
  </si>
  <si>
    <t xml:space="preserve">Dinkes Kab Gresik </t>
  </si>
  <si>
    <t xml:space="preserve">Jl Dr Wahidin Sudirohusodo no 245 Kebomas Gresik </t>
  </si>
  <si>
    <t xml:space="preserve">Endah </t>
  </si>
  <si>
    <t xml:space="preserve">Gianyar </t>
  </si>
  <si>
    <t xml:space="preserve">Sumber Alfaria DC Bali </t>
  </si>
  <si>
    <t xml:space="preserve">Jl Prof Dr Ida Bagus Mantra Tulikup Kec Gianyar Kab Gianyar Bali </t>
  </si>
  <si>
    <t xml:space="preserve">Pasuruan </t>
  </si>
  <si>
    <t xml:space="preserve">Dinkes Kab Pasuruan </t>
  </si>
  <si>
    <t xml:space="preserve">Sita </t>
  </si>
  <si>
    <t xml:space="preserve">Dinkes Kota Pasuruan </t>
  </si>
  <si>
    <t>syaifudin</t>
  </si>
  <si>
    <t xml:space="preserve">Dinkes Kota Batu </t>
  </si>
  <si>
    <t xml:space="preserve">Dinkes Kota Malang </t>
  </si>
  <si>
    <t>Ratri</t>
  </si>
  <si>
    <t xml:space="preserve">Dinkes Kab Malang </t>
  </si>
  <si>
    <t xml:space="preserve">Dinkes Kota Blitar </t>
  </si>
  <si>
    <t xml:space="preserve">Ummu </t>
  </si>
  <si>
    <t xml:space="preserve">Dinkes Kab Blitar </t>
  </si>
  <si>
    <t>Ruri</t>
  </si>
  <si>
    <t xml:space="preserve">Dinkes Kab Tulungagung </t>
  </si>
  <si>
    <t>Desti</t>
  </si>
  <si>
    <t>GOLEX</t>
  </si>
  <si>
    <t xml:space="preserve">Dinkes Kab Trenggalek </t>
  </si>
  <si>
    <t xml:space="preserve">Dinkes Kota Kediri </t>
  </si>
  <si>
    <t xml:space="preserve">kediri </t>
  </si>
  <si>
    <t>Elvira</t>
  </si>
  <si>
    <t xml:space="preserve">Dinkes Kab kediri </t>
  </si>
  <si>
    <t xml:space="preserve">Ponorogo </t>
  </si>
  <si>
    <t xml:space="preserve">Dinkes Ponorogo </t>
  </si>
  <si>
    <t>Aghfireza</t>
  </si>
  <si>
    <t xml:space="preserve">Dinkes Magetan </t>
  </si>
  <si>
    <t>Lilis</t>
  </si>
  <si>
    <t xml:space="preserve">Dinkes Kota Salatiga </t>
  </si>
  <si>
    <t>Satimin/ Done</t>
  </si>
  <si>
    <t xml:space="preserve">Sragen </t>
  </si>
  <si>
    <t xml:space="preserve">Dinkes Kab Sragen </t>
  </si>
  <si>
    <t xml:space="preserve">Boyolali </t>
  </si>
  <si>
    <t xml:space="preserve">Dinkes Kab Boyolali </t>
  </si>
  <si>
    <t>Zuliana</t>
  </si>
  <si>
    <t xml:space="preserve">Dinkes Kab Sukoharjo </t>
  </si>
  <si>
    <t xml:space="preserve">Surakarta </t>
  </si>
  <si>
    <t>Dinkes Kota Surakarta</t>
  </si>
  <si>
    <t>Surakarta</t>
  </si>
  <si>
    <t xml:space="preserve">Fitri </t>
  </si>
  <si>
    <t xml:space="preserve">Done </t>
  </si>
  <si>
    <t xml:space="preserve">Karanganyar </t>
  </si>
  <si>
    <t>Dinkes Kab Karanganyar</t>
  </si>
  <si>
    <t>Karanganyar</t>
  </si>
  <si>
    <t xml:space="preserve">Tri Wibowo </t>
  </si>
  <si>
    <t xml:space="preserve">Kulonprogo </t>
  </si>
  <si>
    <t>Dinkes Kab Kulonprogo</t>
  </si>
  <si>
    <t>Sj Masi Ditinggal</t>
  </si>
  <si>
    <t xml:space="preserve">Dinkes Kab Madiun </t>
  </si>
  <si>
    <t>Maria</t>
  </si>
  <si>
    <t xml:space="preserve">Klaten </t>
  </si>
  <si>
    <t xml:space="preserve">Dinkes Kab Klaten </t>
  </si>
  <si>
    <t>Yayuk</t>
  </si>
  <si>
    <t>Purwodadi</t>
  </si>
  <si>
    <t xml:space="preserve">Dinkes Nganjuk </t>
  </si>
  <si>
    <t>Angesti</t>
  </si>
  <si>
    <t xml:space="preserve">Sleman </t>
  </si>
  <si>
    <t>Dinkes Kab Sleman</t>
  </si>
  <si>
    <t xml:space="preserve">Jombang </t>
  </si>
  <si>
    <t xml:space="preserve">Dinkes Jombang </t>
  </si>
  <si>
    <t xml:space="preserve">Yogyakarta </t>
  </si>
  <si>
    <t xml:space="preserve">Dinkes Kota Yogyakarta </t>
  </si>
  <si>
    <t xml:space="preserve">Dewi </t>
  </si>
  <si>
    <t>08137431790</t>
  </si>
  <si>
    <t>Dinkes Kota Mojokerto</t>
  </si>
  <si>
    <t xml:space="preserve">Ririn </t>
  </si>
  <si>
    <t>Amin Ambil dok</t>
  </si>
  <si>
    <t xml:space="preserve">Gunung Kidul </t>
  </si>
  <si>
    <t xml:space="preserve">Dinkes Kab Gunung Kidul </t>
  </si>
  <si>
    <t>Gunung Kidul</t>
  </si>
  <si>
    <t xml:space="preserve">Dinkes Kota Semarang </t>
  </si>
  <si>
    <t xml:space="preserve">Banyumas </t>
  </si>
  <si>
    <t xml:space="preserve">Dinkes Kab Banyumas </t>
  </si>
  <si>
    <t xml:space="preserve">Dinkes Kab Wonosobo </t>
  </si>
  <si>
    <t xml:space="preserve">Wonosobo </t>
  </si>
  <si>
    <t xml:space="preserve">Grobongan </t>
  </si>
  <si>
    <t>AG 9817 UE</t>
  </si>
  <si>
    <t xml:space="preserve">Dinkes Kab Grobongan </t>
  </si>
  <si>
    <t xml:space="preserve">Purwodadi </t>
  </si>
  <si>
    <t>Jamal / Done</t>
  </si>
  <si>
    <t xml:space="preserve">Temanggung </t>
  </si>
  <si>
    <t>Dinkes Kab Temanggung</t>
  </si>
  <si>
    <t>Wika Driyorejo</t>
  </si>
  <si>
    <t xml:space="preserve">Magelang </t>
  </si>
  <si>
    <t xml:space="preserve">Dinkes Kab Magelang </t>
  </si>
  <si>
    <t>tfi</t>
  </si>
  <si>
    <t xml:space="preserve">Jepara </t>
  </si>
  <si>
    <t xml:space="preserve">Dinkes Kab Jepara </t>
  </si>
  <si>
    <t>Jepara</t>
  </si>
  <si>
    <t>jamal</t>
  </si>
  <si>
    <t xml:space="preserve">Farika </t>
  </si>
  <si>
    <t xml:space="preserve">Dinkes Kota Magelang </t>
  </si>
  <si>
    <t xml:space="preserve">Dinkes Kab Kudus </t>
  </si>
  <si>
    <t>68.2</t>
  </si>
  <si>
    <t>Shakowatin</t>
  </si>
  <si>
    <t xml:space="preserve">Purworejo </t>
  </si>
  <si>
    <t xml:space="preserve">Dinkes Kab Purworejo </t>
  </si>
  <si>
    <t xml:space="preserve">Pati </t>
  </si>
  <si>
    <t xml:space="preserve">Dinkes Kab Pati </t>
  </si>
  <si>
    <t xml:space="preserve">Heni </t>
  </si>
  <si>
    <t>Jamal / DOne</t>
  </si>
  <si>
    <t xml:space="preserve">Rembang </t>
  </si>
  <si>
    <t xml:space="preserve">Dinkes Kab Rembang </t>
  </si>
  <si>
    <t>55.8</t>
  </si>
  <si>
    <t>Anisa</t>
  </si>
  <si>
    <t xml:space="preserve">Dinkes Kab Blora </t>
  </si>
  <si>
    <t>Elsa</t>
  </si>
  <si>
    <t>W 8097 PR</t>
  </si>
  <si>
    <t xml:space="preserve">PMI Kab Rembang </t>
  </si>
  <si>
    <t>52.65</t>
  </si>
  <si>
    <t xml:space="preserve">Erna </t>
  </si>
  <si>
    <t xml:space="preserve">Kebumen </t>
  </si>
  <si>
    <t>Dinkes PPKB Kab Kebumen</t>
  </si>
  <si>
    <t xml:space="preserve">Demak </t>
  </si>
  <si>
    <t xml:space="preserve">Dinkes Kab Demak </t>
  </si>
  <si>
    <t xml:space="preserve">Purbalingga </t>
  </si>
  <si>
    <t xml:space="preserve">Dinkes PPKB Kab Purbalingga </t>
  </si>
  <si>
    <t xml:space="preserve">Satimin </t>
  </si>
  <si>
    <t xml:space="preserve">Banjarnegara </t>
  </si>
  <si>
    <t xml:space="preserve">Dinkes Kab Banjarnegara </t>
  </si>
  <si>
    <t>Banjarnegara</t>
  </si>
  <si>
    <t>Cilacap</t>
  </si>
  <si>
    <t>Dinkes PPKB Kab Cilacap</t>
  </si>
  <si>
    <t>SG Bandara Banyuwangi</t>
  </si>
  <si>
    <t>Rian</t>
  </si>
  <si>
    <t xml:space="preserve">Bantul </t>
  </si>
  <si>
    <t xml:space="preserve">Dinkes Kab Bantul </t>
  </si>
  <si>
    <t>74.4</t>
  </si>
  <si>
    <t xml:space="preserve">Pekalongan </t>
  </si>
  <si>
    <t>Dinkes Kota Pekalongan</t>
  </si>
  <si>
    <t>Pekalongan</t>
  </si>
  <si>
    <t>POD Bermasalah</t>
  </si>
  <si>
    <t>PRB</t>
  </si>
  <si>
    <t>Tegal</t>
  </si>
  <si>
    <t xml:space="preserve">Dinkes Kota Tegal </t>
  </si>
  <si>
    <t>Batang</t>
  </si>
  <si>
    <t>Dinkes kab Batang</t>
  </si>
  <si>
    <t>Dinkes Kab Pekalongan</t>
  </si>
  <si>
    <t>86.8</t>
  </si>
  <si>
    <t>Dinkes Kab Tegal</t>
  </si>
  <si>
    <t>130.2</t>
  </si>
  <si>
    <t>Kendal</t>
  </si>
  <si>
    <t>Dinkes Kab Kendal</t>
  </si>
  <si>
    <t>229.4</t>
  </si>
  <si>
    <t>Pemalang</t>
  </si>
  <si>
    <t>Dinkes Kab Pemalang</t>
  </si>
  <si>
    <t>117.8</t>
  </si>
  <si>
    <t>Brebes</t>
  </si>
  <si>
    <t>Dinkes Kab Brebes</t>
  </si>
  <si>
    <t>136.4</t>
  </si>
  <si>
    <t>ARGA</t>
  </si>
  <si>
    <t>PT. Mitramulia Makmur Nganjuk</t>
  </si>
  <si>
    <t>R 9158 AL</t>
  </si>
  <si>
    <t xml:space="preserve">CEO Happy Jember </t>
  </si>
  <si>
    <t>Jl. Semeru Rya No.5 Tegal Boto Kidul Sumbersari Jember</t>
  </si>
  <si>
    <t>Koli Sedang 24, Koli Besar 2</t>
  </si>
  <si>
    <t xml:space="preserve">PT Suprama Distribusi Nusantara Sidoarjo </t>
  </si>
  <si>
    <t xml:space="preserve">Jl Raya Sidoarjo Wonoayu km 3 Suko Sidoarjo </t>
  </si>
  <si>
    <t>Asta</t>
  </si>
  <si>
    <t>JBSN</t>
  </si>
  <si>
    <t>Toko Barokah Malang</t>
  </si>
  <si>
    <t>Pasar Gondang Legi Malang</t>
  </si>
  <si>
    <t xml:space="preserve">Mayindo Jaya Denpasar </t>
  </si>
  <si>
    <t xml:space="preserve">Jl Himalaya Selatan no 6 Denpasar </t>
  </si>
  <si>
    <t>468.6</t>
  </si>
  <si>
    <t xml:space="preserve">Ap. Setia Batu </t>
  </si>
  <si>
    <t xml:space="preserve">Guardian Lippo Jember </t>
  </si>
  <si>
    <t>085647515507</t>
  </si>
  <si>
    <t xml:space="preserve">Ali / Done </t>
  </si>
  <si>
    <t>MCMO</t>
  </si>
  <si>
    <t>Jl. Raya mojokerto surabaya KM 19, Jl. Raya Trosobo Jl. Raya Bringin Wetan No.36, Bringin Wetan, Bringinbendo, Kec. Taman, Kabupaten Sidoarjo</t>
  </si>
  <si>
    <t>Shope &amp; drive Slamet Riyadi lumajang</t>
  </si>
  <si>
    <t>Jl. Slamet Riyadi no 27 citrodiwangsan lumajang</t>
  </si>
  <si>
    <t>Riyan</t>
  </si>
  <si>
    <t>Shope &amp; drive a.yani Situbondo</t>
  </si>
  <si>
    <t>Jl. A.yani no 65 Situbondo</t>
  </si>
  <si>
    <t>Rizky</t>
  </si>
  <si>
    <t>Shope &amp; drive pahlawan Tulungagung</t>
  </si>
  <si>
    <t>Jl. Pahlawan no 54 ketanon Tulungagung</t>
  </si>
  <si>
    <t>Agung FB Banyuwangi</t>
  </si>
  <si>
    <t>Shope &amp; drive Supriyadi Tulungagung</t>
  </si>
  <si>
    <t>Jl. Supriyadi 152, Jepun Tulungagung</t>
  </si>
  <si>
    <t>David</t>
  </si>
  <si>
    <t>Shope &amp; drive s.parman banyuwangi</t>
  </si>
  <si>
    <t>Jl. Letjen s.parman no 17 banyuwangi</t>
  </si>
  <si>
    <t>Catur</t>
  </si>
  <si>
    <t>Shope &amp; drive Soeta Ponorogo</t>
  </si>
  <si>
    <t>Jl. Soekarno Hatta No.222 A Banyudono Ponorogo</t>
  </si>
  <si>
    <t>Syukron</t>
  </si>
  <si>
    <t>Shope &amp; drive Tanjung blitar</t>
  </si>
  <si>
    <t>Jl. Tanjung no 28, Sukorejo blitar</t>
  </si>
  <si>
    <t>Alwi</t>
  </si>
  <si>
    <t>EPM Kudus</t>
  </si>
  <si>
    <t xml:space="preserve">EPM Kudus </t>
  </si>
  <si>
    <t>EPM Semarang</t>
  </si>
  <si>
    <t>PT Trijaya Mekar Abadi</t>
  </si>
  <si>
    <t xml:space="preserve">Buleleng </t>
  </si>
  <si>
    <t xml:space="preserve">PT Tirta Mumbul Jaya Buleleng </t>
  </si>
  <si>
    <t xml:space="preserve">Jl Melati no 9 Banjar Jawa Buleleng </t>
  </si>
  <si>
    <t>WID</t>
  </si>
  <si>
    <t>Utama Citra Logistik</t>
  </si>
  <si>
    <t xml:space="preserve">Denpasar </t>
  </si>
  <si>
    <t xml:space="preserve">Cobra Dental Saraswati Denpasar </t>
  </si>
  <si>
    <t xml:space="preserve">Jl Kamboja II Denpasar </t>
  </si>
  <si>
    <t>Ananda</t>
  </si>
  <si>
    <t xml:space="preserve">Cobra Dental Denpasar </t>
  </si>
  <si>
    <t xml:space="preserve">Jl Tukad Yeh Aya no 89 Denpasar </t>
  </si>
  <si>
    <t>Gabriel</t>
  </si>
  <si>
    <t xml:space="preserve">Triguna Jaya </t>
  </si>
  <si>
    <t xml:space="preserve">Tri Utami Malang </t>
  </si>
  <si>
    <t xml:space="preserve">Perum Kepanjen Permai 2 Blok AA-18 Jatikerto Kromengan Malang </t>
  </si>
  <si>
    <t xml:space="preserve">Pandanwangi Nganjuk </t>
  </si>
  <si>
    <t xml:space="preserve">Puri Mangundikaran Blok D2 no 26 Mangundikaran Nganjuk </t>
  </si>
  <si>
    <t>Bapak Manda</t>
  </si>
  <si>
    <t xml:space="preserve">Pekanbaru </t>
  </si>
  <si>
    <t xml:space="preserve">PT Surganya Motor Pekanbaru </t>
  </si>
  <si>
    <t>Aziz</t>
  </si>
  <si>
    <t>PAK SIS</t>
  </si>
  <si>
    <t>Pak Aziz</t>
  </si>
  <si>
    <t xml:space="preserve">PT Surganya Motor Banjarmasin </t>
  </si>
  <si>
    <t xml:space="preserve">JL berkat Mufakat Kel Landasan Ulin Selatan Kec Liang Anggang Kota Banjar Baru Banjarmasin </t>
  </si>
  <si>
    <t>Teguh</t>
  </si>
  <si>
    <t xml:space="preserve">keberangkatan kapal </t>
  </si>
  <si>
    <t xml:space="preserve">Putra Hartono Sejahtera Pamekasan </t>
  </si>
  <si>
    <t>Jl. Niaga No.23 Rt.1 Rw.3 Barurambat Pamekasan Madura</t>
  </si>
  <si>
    <t>Artha Kencana Perkasa Malang</t>
  </si>
  <si>
    <t>Jl. Letjend S.Parman No.12 Purwontaro Blimbing Malang</t>
  </si>
  <si>
    <t xml:space="preserve">Cemerlang Abadi Mojokerto </t>
  </si>
  <si>
    <t>Jl. Wijaya Kusuma No.32 B Sooko Mojokerto</t>
  </si>
  <si>
    <t>Kenjeran</t>
  </si>
  <si>
    <t>Srimulya Indo Pertiwi Batu</t>
  </si>
  <si>
    <t>Jl. Dewi Sartika Atas No.2 Sisir Batu</t>
  </si>
  <si>
    <t xml:space="preserve">Amin </t>
  </si>
  <si>
    <t>Imam s/ Done</t>
  </si>
  <si>
    <t>PKM Sukapura Probolinggo</t>
  </si>
  <si>
    <t xml:space="preserve">Jl. Raya Bromo No.2 Rt.4/Rw.2 Desa Sukapura </t>
  </si>
  <si>
    <t>Pt. Circleka Yogyakarta</t>
  </si>
  <si>
    <t>Jl. Magelang Km7 No.9 Mlati Jati Sendangadi Sleman Yogyakarta</t>
  </si>
  <si>
    <t>Erna</t>
  </si>
  <si>
    <t>Watsons Suncity Sidoarjo</t>
  </si>
  <si>
    <t>Watsons Lippo Plaza Batu Malang</t>
  </si>
  <si>
    <t>Watsons Malang Town Square Malang</t>
  </si>
  <si>
    <t>Nada</t>
  </si>
  <si>
    <t>Guardiant Suncity I Madiun</t>
  </si>
  <si>
    <t xml:space="preserve">Imam S/ Done </t>
  </si>
  <si>
    <t>Guardian Lippo Plaza Jember</t>
  </si>
  <si>
    <t xml:space="preserve">Alim CAM - Leo CAM </t>
  </si>
  <si>
    <t>Guardiant Taman Pinang Sidoarjo</t>
  </si>
  <si>
    <t xml:space="preserve">Indri </t>
  </si>
  <si>
    <t>Budi/ DOne</t>
  </si>
  <si>
    <t>K-24 Gubernur Suyo Gresik</t>
  </si>
  <si>
    <t>Rosi</t>
  </si>
  <si>
    <t xml:space="preserve">Watsons Lippo Plaza Sidoarjo </t>
  </si>
  <si>
    <t>Talitha</t>
  </si>
  <si>
    <t>Anik Khurniati/ Slamet Sidoarjo</t>
  </si>
  <si>
    <t>Jl. Dr. Wahidin Gg. 4 Rt.11/2 Bulu Sidokare Sidoarjo</t>
  </si>
  <si>
    <t xml:space="preserve">Anik </t>
  </si>
  <si>
    <t>In Bekasi/ Andre</t>
  </si>
  <si>
    <t xml:space="preserve">Kulon Progo </t>
  </si>
  <si>
    <t xml:space="preserve">PT. SGM Kulon Progo </t>
  </si>
  <si>
    <t xml:space="preserve">Depok Rt.45/ 32 Sukoreno Sembolo Kulonprogo </t>
  </si>
  <si>
    <t>Esti</t>
  </si>
  <si>
    <t>Satimen/ DOne</t>
  </si>
  <si>
    <t>Pt. Sasa Inti Probolinggo</t>
  </si>
  <si>
    <t xml:space="preserve">Jl. Raya Gading km.12 Probolinggo </t>
  </si>
  <si>
    <t>Fany</t>
  </si>
  <si>
    <t>IN/ Hasyim</t>
  </si>
  <si>
    <t>Jl. Agung WIS Desa Blimbingan Sari Banyuwangi</t>
  </si>
  <si>
    <t xml:space="preserve">Cianjur </t>
  </si>
  <si>
    <t>Mugi Berkah Alkesmed Kudus</t>
  </si>
  <si>
    <t>Jl. Permat 3 no.29 Garung Lor Klatwungu Kudus</t>
  </si>
  <si>
    <t>Luwuk Banggai</t>
  </si>
  <si>
    <t xml:space="preserve">KCP Luwuk Banggai </t>
  </si>
  <si>
    <t xml:space="preserve">Jl Dr Moh Hatta no 2 Hangga-Hangga Permai Kec Luwuk Selatan Banggai Sulawesi </t>
  </si>
  <si>
    <t>GME</t>
  </si>
  <si>
    <t xml:space="preserve">I Putu </t>
  </si>
  <si>
    <t>NIPPO</t>
  </si>
  <si>
    <t>est kapal sandar</t>
  </si>
  <si>
    <t xml:space="preserve">Alfaria DC Bandung 2 </t>
  </si>
  <si>
    <t>Jl. Nanjung No.153 Ds. Utama Kec Cimahi Bandung 2</t>
  </si>
  <si>
    <t>33.6</t>
  </si>
  <si>
    <t>Alfaria Dc Bandung 1</t>
  </si>
  <si>
    <t>Jl. Soekarno Hatta No.791 Gede Bage Kel Asaranten Wetan Bandung</t>
  </si>
  <si>
    <t>Ibu Ulfa Dc Cikokol</t>
  </si>
  <si>
    <t>Jl. Mh. Thamrin No.9 Rt.3/10 Cikokol</t>
  </si>
  <si>
    <t>206.4</t>
  </si>
  <si>
    <t>Lampung</t>
  </si>
  <si>
    <t>Ibu Fifi Dc Lampung</t>
  </si>
  <si>
    <t xml:space="preserve">Jl. Tembesu Campang Raya Tj. Karang Timur Bandar Lampung </t>
  </si>
  <si>
    <t>Golex</t>
  </si>
  <si>
    <t>Pt. Lautan Organo Water Serang</t>
  </si>
  <si>
    <t>Jl. Modern Industri XVII Blok A1 No.2 Ds. Sukatani Cikande Serang Banten</t>
  </si>
  <si>
    <t>GLX</t>
  </si>
  <si>
    <t>Roby/ Done</t>
  </si>
  <si>
    <t>Megadepo Dc Denpasar Bali</t>
  </si>
  <si>
    <t>Jl. Teuku Umar Barat No.388 Banjar Tegalantang Padangsambian Denpasar Bali</t>
  </si>
  <si>
    <t xml:space="preserve">Mega Depo Dc Jember </t>
  </si>
  <si>
    <t xml:space="preserve">Jl. Hayam Wuruk No.151 Rt.1 Rw.6 Sempusari Kaliwates Jember </t>
  </si>
  <si>
    <t xml:space="preserve">CV Sahabat Jaya Medan </t>
  </si>
  <si>
    <t xml:space="preserve">Jl Asrama Pondok Kelapa Komp Pergudangan Paragon no 9P Tanjungusta Medan </t>
  </si>
  <si>
    <t>Guardiant The Icon Mall Gresik</t>
  </si>
  <si>
    <t>Jaenanda</t>
  </si>
  <si>
    <t>Guardian Gress Mall Gresik</t>
  </si>
  <si>
    <t>Angga</t>
  </si>
  <si>
    <t xml:space="preserve">Lakmi </t>
  </si>
  <si>
    <t>Guardian Town Square Kediri</t>
  </si>
  <si>
    <t>Guardian Malang City Point</t>
  </si>
  <si>
    <t>Tri</t>
  </si>
  <si>
    <t>KF. 163 Bangkalan Madura</t>
  </si>
  <si>
    <t>Guardian Kediri Mall</t>
  </si>
  <si>
    <t>Guardian Mall Malang</t>
  </si>
  <si>
    <t>Guadian Suncity Madiun</t>
  </si>
  <si>
    <t>YCH Travel Blue</t>
  </si>
  <si>
    <t>Kf. Meganti Gresik</t>
  </si>
  <si>
    <t>Nanda</t>
  </si>
  <si>
    <t>Guardian Sunrise Mojokerto</t>
  </si>
  <si>
    <t>Hari</t>
  </si>
  <si>
    <t>Kf. 419 Bangkalan Madura</t>
  </si>
  <si>
    <t>Pak Manda</t>
  </si>
  <si>
    <t xml:space="preserve">Komp Pergudangan Angkasa Pekanbaru </t>
  </si>
  <si>
    <t>vendor pak aris laksono</t>
  </si>
  <si>
    <t xml:space="preserve">Pirman </t>
  </si>
  <si>
    <t xml:space="preserve">vendor pak laksono </t>
  </si>
  <si>
    <t xml:space="preserve">estimasi sampai pekanbaru </t>
  </si>
  <si>
    <t>Daniel Peterus Surabaya</t>
  </si>
  <si>
    <t>Jl. Margomulyo 44 Pergudangan Suri Mulia Permai Blok OO No.51-52 Surabaya</t>
  </si>
  <si>
    <t>Daniel</t>
  </si>
  <si>
    <t>Bp. Adnan Dc Bali</t>
  </si>
  <si>
    <t>Jl. Prof Dr. Ida Bagus mantra Tulikup kec. Gianyar Bali</t>
  </si>
  <si>
    <t>Wonogiri</t>
  </si>
  <si>
    <t>Pt. Deltomed Laboratoires Wonogiri</t>
  </si>
  <si>
    <t>Ds. Nangger Rt.5/ Rw.5 Nangger Nambangan Selogiri Wonogiri</t>
  </si>
  <si>
    <t>88.2</t>
  </si>
  <si>
    <t>IN/ Amin</t>
  </si>
  <si>
    <t>Pt. Ultrasakti Bekasi</t>
  </si>
  <si>
    <t>Jl. Raya Narogong No km.12 Rt.5/Rw.6 Cikiwul Bantar Gebang Bekasi</t>
  </si>
  <si>
    <t>16.75</t>
  </si>
  <si>
    <t>Dery</t>
  </si>
  <si>
    <t>IN/ Unggul</t>
  </si>
  <si>
    <t>Dery/ Done</t>
  </si>
  <si>
    <t>IN/ RIan</t>
  </si>
  <si>
    <t>Cobra Dental Depo Brawijaya Malang</t>
  </si>
  <si>
    <t>Dilla</t>
  </si>
  <si>
    <t>IN/ Rian</t>
  </si>
  <si>
    <t>Nila</t>
  </si>
  <si>
    <t>Cobra Dental Saraswati Denpasar Bali</t>
  </si>
  <si>
    <t>SO-252250042060</t>
  </si>
  <si>
    <t>Jl. Raya Bypass No.8 Kedundung Magersari Mojokerto</t>
  </si>
  <si>
    <t>Ibu Hj. Sholihah Pati</t>
  </si>
  <si>
    <t xml:space="preserve">Lab Pena Tour Pati, Jl. Raya Sendang rejo Kec Tayu Pati </t>
  </si>
  <si>
    <t>221.13</t>
  </si>
  <si>
    <t>Indah</t>
  </si>
  <si>
    <t>INTT Medtcom Retalindo Gresik</t>
  </si>
  <si>
    <t>Jl. Raya Kedamean Km.20 No.30 Kedamean Gresik</t>
  </si>
  <si>
    <t>In/ Imam S/ Done</t>
  </si>
  <si>
    <t>HM Sampoerna Denpasar Bali</t>
  </si>
  <si>
    <t>Jl. Bypass Ngurah Rai No.88X Suwung Kawuh Pemongan Denpasar Bali</t>
  </si>
  <si>
    <t>SAE</t>
  </si>
  <si>
    <t>IN/ SAE</t>
  </si>
  <si>
    <t>Guardiant Coity Center Ponorogo</t>
  </si>
  <si>
    <t>Guardiant Citymall Bondowoso</t>
  </si>
  <si>
    <t>Guardiant Citymall Tuban</t>
  </si>
  <si>
    <t>Guardiant Kediri Mall</t>
  </si>
  <si>
    <t>Guardian Suncity Madiun</t>
  </si>
  <si>
    <t>Guardiant Lippo Plaza Madiun</t>
  </si>
  <si>
    <t>Watsons Lippo Plaza Batu</t>
  </si>
  <si>
    <t xml:space="preserve">Rian </t>
  </si>
  <si>
    <t>Sovi</t>
  </si>
  <si>
    <t>Guardiant Gajayana II Malang</t>
  </si>
  <si>
    <t>Arik</t>
  </si>
  <si>
    <t>Guardiant City Point Malang</t>
  </si>
  <si>
    <t>Banjarmasin</t>
  </si>
  <si>
    <t>Guardiant Malang Town Square</t>
  </si>
  <si>
    <t>Icha</t>
  </si>
  <si>
    <t>Desi</t>
  </si>
  <si>
    <t>Guardiant Gress Mall Gresik</t>
  </si>
  <si>
    <t>RSU Rachmi Dewi Gresik</t>
  </si>
  <si>
    <t>Natural Nutrindo Radiant</t>
  </si>
  <si>
    <t>Faiza</t>
  </si>
  <si>
    <t>Selvii</t>
  </si>
  <si>
    <t>FFI Pancoran</t>
  </si>
  <si>
    <t>Dyah</t>
  </si>
  <si>
    <t>Pt. Prima Rejeki Indonesia Manado</t>
  </si>
  <si>
    <t>Jl. Ringroad I Manado Kawasan Busines 8 Gudang No.22 Tikala Manado</t>
  </si>
  <si>
    <t>Titik</t>
  </si>
  <si>
    <t xml:space="preserve">Siloam Hospital </t>
  </si>
  <si>
    <t>In Bekasi / Jery/Done</t>
  </si>
  <si>
    <t>Rs. Mitra Siaga Tarub</t>
  </si>
  <si>
    <t>Rs. PKU Aisyah Boyolali</t>
  </si>
  <si>
    <t>Daya Muda Agung</t>
  </si>
  <si>
    <t>Pt. Daya Muda Agung Jakarta</t>
  </si>
  <si>
    <t>Jl. Pulo Kambing No.9 KIP Jakarta</t>
  </si>
  <si>
    <t>Pt. Biomedical Scientific</t>
  </si>
  <si>
    <t>Utama Citra Logistic Surabaya</t>
  </si>
  <si>
    <t>Surabaya Wonokromo</t>
  </si>
  <si>
    <t>In Bekasi/ Ananta</t>
  </si>
  <si>
    <t xml:space="preserve">PT Trijaya Mekar </t>
  </si>
  <si>
    <t>Buleleng</t>
  </si>
  <si>
    <t xml:space="preserve">PT Tirta Mumbu Jaya Abadi Buleleng </t>
  </si>
  <si>
    <t>Syam</t>
  </si>
  <si>
    <t xml:space="preserve">customer pak wid </t>
  </si>
  <si>
    <t>PAK WID</t>
  </si>
  <si>
    <t xml:space="preserve">Kimia Farma Menganti Gresik </t>
  </si>
  <si>
    <t xml:space="preserve">Kimia Farma Balongdangana Gresik </t>
  </si>
  <si>
    <t xml:space="preserve">Nabilah </t>
  </si>
  <si>
    <t xml:space="preserve">Apotek Apamart Gresik </t>
  </si>
  <si>
    <t xml:space="preserve">Mita </t>
  </si>
  <si>
    <t xml:space="preserve">Guardian Gajayana  II Malang </t>
  </si>
  <si>
    <t>Guardian Malang Town Square</t>
  </si>
  <si>
    <t xml:space="preserve">Watsons Lippo Plaza Batu </t>
  </si>
  <si>
    <t>Netsa</t>
  </si>
  <si>
    <t xml:space="preserve">Watsons Gajayana II Malang </t>
  </si>
  <si>
    <t xml:space="preserve">Achmad </t>
  </si>
  <si>
    <t xml:space="preserve">KF 321 Lamongan </t>
  </si>
  <si>
    <t xml:space="preserve">Kimia Farma Sumenep </t>
  </si>
  <si>
    <t>KF 261 Mojopahit Sidoarjo</t>
  </si>
  <si>
    <t>Puan</t>
  </si>
  <si>
    <t xml:space="preserve">Guardian Lippo Plaza Sidoarjo </t>
  </si>
  <si>
    <t xml:space="preserve">Jl Asrama / Pondok Kelapa Komp Pergudangan Paragon Tanjung Gusta Medan </t>
  </si>
  <si>
    <t>Kf. 307 Banyuwangi</t>
  </si>
  <si>
    <t>Vendor Cipto</t>
  </si>
  <si>
    <t xml:space="preserve">Turun Vendor </t>
  </si>
  <si>
    <t>Kf. 418 Ngawi</t>
  </si>
  <si>
    <t>Kf. 274 Pamekasan</t>
  </si>
  <si>
    <t>Pamekasan Madura</t>
  </si>
  <si>
    <t>Kf. Pamekasan Madura</t>
  </si>
  <si>
    <t>Kf.163 Bangkalan Madura</t>
  </si>
  <si>
    <t>Ifa</t>
  </si>
  <si>
    <t xml:space="preserve">MMM Nganjuk </t>
  </si>
  <si>
    <t>IN/ Dery</t>
  </si>
  <si>
    <t>In/ Imam S</t>
  </si>
  <si>
    <t xml:space="preserve">Vitashopindo </t>
  </si>
  <si>
    <t>Natural Nutrindo ( Radiant )</t>
  </si>
  <si>
    <t>Kf. Usman Gresik</t>
  </si>
  <si>
    <t>AP. Muda farma Gresik</t>
  </si>
  <si>
    <t>Guardiant Gresmall Gresik</t>
  </si>
  <si>
    <t>Lakmi</t>
  </si>
  <si>
    <t>Parung</t>
  </si>
  <si>
    <t xml:space="preserve">Kimia Farma 164 Gresik </t>
  </si>
  <si>
    <t>RS Ibu dan Anak Puri Bunda</t>
  </si>
  <si>
    <t xml:space="preserve">SML Jakarta </t>
  </si>
  <si>
    <t>Pt. Pacific Internasional</t>
  </si>
  <si>
    <t>Pt. Powes Sejati Engineering JKT</t>
  </si>
  <si>
    <t xml:space="preserve">Jl. RE Martadinata Tanjung Priok Jakarta Utara </t>
  </si>
  <si>
    <t>Fajar</t>
  </si>
  <si>
    <t>PIE</t>
  </si>
  <si>
    <t>IN/ Leo</t>
  </si>
  <si>
    <t xml:space="preserve">Radiant </t>
  </si>
  <si>
    <t>Rian/ Done</t>
  </si>
  <si>
    <t>Puspa</t>
  </si>
  <si>
    <t>Natural Nutrindo ( Radiant)</t>
  </si>
  <si>
    <t>Adel</t>
  </si>
  <si>
    <t>Nimas</t>
  </si>
  <si>
    <t xml:space="preserve">Kf. Kemerakan Sidoarjo </t>
  </si>
  <si>
    <t xml:space="preserve">Jihan </t>
  </si>
  <si>
    <t>Pt. Pesona Gendis Sejati Banyuwangi</t>
  </si>
  <si>
    <t>Jl. Hasanudin Blok AA 05 Perum. Permata Genteng Wetan Banyuwangi</t>
  </si>
  <si>
    <t>327.82</t>
  </si>
  <si>
    <t>Bp. Asep Makasar</t>
  </si>
  <si>
    <t>IN/ Dimas</t>
  </si>
  <si>
    <t>158.4</t>
  </si>
  <si>
    <t>Po. Mati tgl 23</t>
  </si>
  <si>
    <t>91.2</t>
  </si>
  <si>
    <t>Mowilex</t>
  </si>
  <si>
    <t>Tunggal Jaya Unggul Makmur Mojokerto</t>
  </si>
  <si>
    <t>Jl. Sudirman No.112 Sentanan Krangan Mojokerto</t>
  </si>
  <si>
    <t>Lancar Cipta Rejeki Mojokerto</t>
  </si>
  <si>
    <t>Jl. Bung Tomo No.64 Kel Pacet Samuel Mojokerto</t>
  </si>
  <si>
    <t>Sumber Sari Mojokerto</t>
  </si>
  <si>
    <t>Jl. Pahlawan 15 Mojokerto</t>
  </si>
  <si>
    <t>Rojo Koyo Mojokerto</t>
  </si>
  <si>
    <t>Jl. Raya Claket No.18 Ds. Sembong Claket Pacet Mojokerto</t>
  </si>
  <si>
    <t>Rahmad Rizkylah Lamongan</t>
  </si>
  <si>
    <t>Ud. Dadi Jaya, Dsn. Slegi Rt.1 Rw.2 Pasar Legi Sambeng Lamongan</t>
  </si>
  <si>
    <t>Summa Wiratama Sukses Lamongan</t>
  </si>
  <si>
    <t>Jl. Jend Sudirman Rt.1 Rw.1 Kel Sukodadi Lamongan</t>
  </si>
  <si>
    <t>Jaya Anugrah Yakun Abadi Tuban</t>
  </si>
  <si>
    <t xml:space="preserve">Jl. Panglima Sudirman No.151 Sidomulyo Tuban </t>
  </si>
  <si>
    <t>Joyo Pasuruan</t>
  </si>
  <si>
    <t>Jl. Hayam Wuruk No.3 Panggungrejo Pasuruan</t>
  </si>
  <si>
    <t>Delta Warna Indotara Pasuruan</t>
  </si>
  <si>
    <t>Pt. Tirta Fresindo Jaya Planet 3 mracak Kurung Kejayan Pasuruan</t>
  </si>
  <si>
    <t xml:space="preserve">Salim </t>
  </si>
  <si>
    <t>Toko Hidup Jaya, Jl. Panglima Sudirman No.101 Pejagan Demangan Bangkalan Madura</t>
  </si>
  <si>
    <t>KF. 065 Mojokerto</t>
  </si>
  <si>
    <t xml:space="preserve">SG Bandara Banyuwangi </t>
  </si>
  <si>
    <t xml:space="preserve">Vendor </t>
  </si>
  <si>
    <t xml:space="preserve">Pesona Tk Mojokerto </t>
  </si>
  <si>
    <t>Jl. Majapahit No.145 Mergolo Magersari Mojokerto</t>
  </si>
  <si>
    <t>2.55</t>
  </si>
  <si>
    <t>Samudra Tk  Blitar</t>
  </si>
  <si>
    <t>Jl. Merdeka Blitar</t>
  </si>
  <si>
    <t>MDS Jember</t>
  </si>
  <si>
    <t>Jl. Diponegoro No.66 Jember</t>
  </si>
  <si>
    <t xml:space="preserve">Toko Murni Jember </t>
  </si>
  <si>
    <t>Jl. Sumetra No.50 Sumbersari Jember</t>
  </si>
  <si>
    <t>15.58</t>
  </si>
  <si>
    <t>MDS Lippo Plaza Jember</t>
  </si>
  <si>
    <t>Jl. Gajah Mada No.175 Jember</t>
  </si>
  <si>
    <t>Diva SM Probolinggo</t>
  </si>
  <si>
    <t>Jl. PB Sudirman 50-57 Kraksan Probolinggo</t>
  </si>
  <si>
    <t>Vera Salon Pasuruan</t>
  </si>
  <si>
    <t>Jl. Panglima Sudirman No. 11 Pasuruan</t>
  </si>
  <si>
    <t>Royal Skincare Pasuruan</t>
  </si>
  <si>
    <t>Gudang Royal, Jl. IKM Duyung Derno Bangil Pasuruan</t>
  </si>
  <si>
    <t>Risa</t>
  </si>
  <si>
    <t>Prima Swalayan Nganjuk</t>
  </si>
  <si>
    <t>Jl. Yos Sudarso No.26-30 Payaman Nganjuk</t>
  </si>
  <si>
    <t>5.53</t>
  </si>
  <si>
    <t>MDS Madiun</t>
  </si>
  <si>
    <t>Jl. Pahlawan No38-40 Madiun</t>
  </si>
  <si>
    <t>Cv. Jember Roxy</t>
  </si>
  <si>
    <t xml:space="preserve">Jl. Hayam Wuruk No50-50 Kaliwates Jember </t>
  </si>
  <si>
    <t>Skin Beauty Gresik</t>
  </si>
  <si>
    <t>TegalSari Rt.5/Rw.11 Pangkah Kulon Ujung Pangkah Gresik</t>
  </si>
  <si>
    <t>Centre Print Malang</t>
  </si>
  <si>
    <t>Jl. Kawi No.24 Kauman Malang</t>
  </si>
  <si>
    <t xml:space="preserve">Ahmad </t>
  </si>
  <si>
    <t>MDS Gress Mall Gresik</t>
  </si>
  <si>
    <t>Jl. Raya Sumatra Kota Baru Gresik</t>
  </si>
  <si>
    <t>7.53</t>
  </si>
  <si>
    <t>Farid</t>
  </si>
  <si>
    <t>MDS Kediri</t>
  </si>
  <si>
    <t>Jl. Hasanudin No.2 Kediri</t>
  </si>
  <si>
    <t>21.56</t>
  </si>
  <si>
    <t>Sehat Ayu Kosmetik Mojokerto</t>
  </si>
  <si>
    <t>Jl. Prajurit Kulon 58 Mojokerto</t>
  </si>
  <si>
    <t>Pt. Lautan Natural Krimerindo Mojokerto</t>
  </si>
  <si>
    <t>Jl. Maja Sari- Pacet Km.4 Rt.1 Rw.1 Majejer Pesanggarahan Mojokerto</t>
  </si>
  <si>
    <t>195.3</t>
  </si>
  <si>
    <t xml:space="preserve">Ika </t>
  </si>
  <si>
    <t>Arif / DONE</t>
  </si>
  <si>
    <t>IN/ Imam S</t>
  </si>
  <si>
    <t>Jl. Kawi No.24 Kauman Klojen Malang</t>
  </si>
  <si>
    <t>11.27</t>
  </si>
  <si>
    <t xml:space="preserve">Sumber Alfaria DC Jember </t>
  </si>
  <si>
    <t xml:space="preserve">Jl Brawijaya no 55 Komp Redjo Agung Mangli Jember </t>
  </si>
  <si>
    <t xml:space="preserve">PT Sinar Intan Pratama Makassar </t>
  </si>
  <si>
    <t xml:space="preserve">Jl Veteran Utara no 252 Lariang Bangi Kec Makassar </t>
  </si>
  <si>
    <t>Dimas / GME</t>
  </si>
  <si>
    <t xml:space="preserve">KCP Sei Pinyuh Pontianak </t>
  </si>
  <si>
    <t xml:space="preserve">Jl Raya Terminal 05-06 Sungau Pinyuh Kec Sungai Pinyuh Kab Kubu Raya Kalbar Pontianak </t>
  </si>
  <si>
    <t>AJM</t>
  </si>
  <si>
    <t>Dimas / AJM</t>
  </si>
  <si>
    <t>Donna Mojokerto</t>
  </si>
  <si>
    <t>Jl. Royal Regency Mayjend Sungkono Blok AA Mergelo Wates Magersari Mojokerto</t>
  </si>
  <si>
    <t xml:space="preserve">PT Mitra Laotan Jaya </t>
  </si>
  <si>
    <t>Ferry</t>
  </si>
  <si>
    <t>sign+stammp</t>
  </si>
  <si>
    <t>in wh bekasi / Leo</t>
  </si>
  <si>
    <t>Ferry / DONE</t>
  </si>
  <si>
    <t>Sisil</t>
  </si>
  <si>
    <t xml:space="preserve">Guardian Lippo Sidoarjo </t>
  </si>
  <si>
    <t>Rakin</t>
  </si>
  <si>
    <t/>
  </si>
  <si>
    <t>Watson City Mall Tuban</t>
  </si>
  <si>
    <t>IRMA</t>
  </si>
  <si>
    <t>In/ ImamS</t>
  </si>
  <si>
    <t>Kf. 53 Malang</t>
  </si>
  <si>
    <t>Guardian MOG Malang</t>
  </si>
  <si>
    <t>Kf. 043</t>
  </si>
  <si>
    <t xml:space="preserve">Putri </t>
  </si>
  <si>
    <t>Oky</t>
  </si>
  <si>
    <t>In/ Rian</t>
  </si>
  <si>
    <t>Ap. Banyuurip Farma Gresik</t>
  </si>
  <si>
    <t>Novita</t>
  </si>
  <si>
    <t>Watson Lippo Jember</t>
  </si>
  <si>
    <t>Watsons Lippo Batu</t>
  </si>
  <si>
    <t xml:space="preserve">Nelsa </t>
  </si>
  <si>
    <t>Minahasa</t>
  </si>
  <si>
    <t>CV Colton Distribusindo Minahasa</t>
  </si>
  <si>
    <t>Perg. Volvo Penta Blok B No.2 Maumbi Sulawesi Utara</t>
  </si>
  <si>
    <t>Ap Pahala Batu Mulia Gresik</t>
  </si>
  <si>
    <t>Febri</t>
  </si>
  <si>
    <t>Pt. Charoen Pokhpan Pasuruan</t>
  </si>
  <si>
    <t>Jl. Kepulungan No.122B Gempol Pasuruan</t>
  </si>
  <si>
    <t>70.38</t>
  </si>
  <si>
    <t>IN Bekasi/ Leo</t>
  </si>
  <si>
    <t>Pt. AEON Indonesia Surabaya</t>
  </si>
  <si>
    <t>Pakuwon Mall Lantai LG, Jl. Puncak Indah Lontar Barat No.2 Babatan Surabaya</t>
  </si>
  <si>
    <t>Laili</t>
  </si>
  <si>
    <t>IN / Fitrian / DONE</t>
  </si>
  <si>
    <t xml:space="preserve">Danik-Kun JEC Java Kediri </t>
  </si>
  <si>
    <t xml:space="preserve">Jl Diponegoro no 6 Balowerti Kec Kota Kediri </t>
  </si>
  <si>
    <t xml:space="preserve">PT Putra Jaya Makmur </t>
  </si>
  <si>
    <t>80.25</t>
  </si>
  <si>
    <t>In Bekasi/ Eko</t>
  </si>
  <si>
    <t>Agung Prayoga (FS Banyuwangi)</t>
  </si>
  <si>
    <t>Jl. Raya lingkar Rogojampi no 88 ds girik kec Rogojampi kab Banyuwangi</t>
  </si>
  <si>
    <t>Sign+Stamp</t>
  </si>
  <si>
    <t>Devino miksajana (FB Blitar)</t>
  </si>
  <si>
    <t>Jl. Widuri no 70 RT 01 RW 02 tlumpu, Sukorejo blitar</t>
  </si>
  <si>
    <t>Toko Surya Indah Gresik</t>
  </si>
  <si>
    <t>Jl. Raya Bungah Km.38 Bungah Gresik</t>
  </si>
  <si>
    <t>E.R Collection Ponorogo</t>
  </si>
  <si>
    <t>Jl. Lombok No.11 Ponorogo</t>
  </si>
  <si>
    <t>Amara</t>
  </si>
  <si>
    <t>Golden Swalayan Kediri</t>
  </si>
  <si>
    <t>Jl. Hayam Wuruk No.121-123 Kediri</t>
  </si>
  <si>
    <t>Cv. Morodadi Mojokerto</t>
  </si>
  <si>
    <t>Jl. Mojopahit No.418 Kranggan Mojokerto</t>
  </si>
  <si>
    <t>MDS Town Square Malang</t>
  </si>
  <si>
    <t>Jl. Veteran No.2 Malang</t>
  </si>
  <si>
    <t>3.28</t>
  </si>
  <si>
    <t>Jl. Pahlawan No 38-40 Madiun</t>
  </si>
  <si>
    <t>So-252250042711</t>
  </si>
  <si>
    <t>Familyfood</t>
  </si>
  <si>
    <t>CV Mayindo Jaya Sukses Denpasar</t>
  </si>
  <si>
    <t xml:space="preserve">Jl Himalaya Selatan no 6 Buluh Indah Denpasar </t>
  </si>
  <si>
    <t xml:space="preserve">Sumber Rejeki Basuki Jember </t>
  </si>
  <si>
    <t xml:space="preserve">Sunan Drajat Lamongan </t>
  </si>
  <si>
    <t>Jl. Ahmad Yani 221-A5 Kel. Merdeka Kec Sumur Bandung</t>
  </si>
  <si>
    <t>105.3</t>
  </si>
  <si>
    <t>Ap. APis Gresik</t>
  </si>
  <si>
    <t>Noni</t>
  </si>
  <si>
    <t xml:space="preserve">Watsons Gress Mall Gresik </t>
  </si>
  <si>
    <t>Watsons City Mall Tuban</t>
  </si>
  <si>
    <t>Antika</t>
  </si>
  <si>
    <t xml:space="preserve">Watsons Lippo Plaza Jember </t>
  </si>
  <si>
    <t xml:space="preserve">Guardian The Icon Mall Gresik </t>
  </si>
  <si>
    <t>Guardian Taman Pinang Sidoarjo</t>
  </si>
  <si>
    <t xml:space="preserve">Guardian Lippo Plaza Jember </t>
  </si>
  <si>
    <t>Rida</t>
  </si>
  <si>
    <t xml:space="preserve">Mall Roxy Jember </t>
  </si>
  <si>
    <t>Jl. Hayam Wuruk No. 50-58 Gardu Sempu Sari Kaliwates Jember</t>
  </si>
  <si>
    <t>Eko</t>
  </si>
  <si>
    <t>Pt. Sumber Zhafron Abadi Jember</t>
  </si>
  <si>
    <t>Jl. Cendrawasih No.19A Purug Jember</t>
  </si>
  <si>
    <t xml:space="preserve">Jl Brawijaya no 30 Jiwan Madiun </t>
  </si>
  <si>
    <t>Kamila</t>
  </si>
  <si>
    <t xml:space="preserve">Toko Sepatu Ronald &amp; Wendy Blitar </t>
  </si>
  <si>
    <t xml:space="preserve">Jl Urip Sumoharjo no 52 Beru Kec Wlingi Blitar </t>
  </si>
  <si>
    <t xml:space="preserve">Toko Sumber Lancar Pak Alex Pasuruan </t>
  </si>
  <si>
    <t xml:space="preserve">Jl RA Kartini no 22 Bangilan Kec Panggungrejo Pasuruan </t>
  </si>
  <si>
    <t xml:space="preserve">Toko Sadar Indah Sikin Gresik </t>
  </si>
  <si>
    <t>Jl raya Bungah Km 38 Bungah Gresik</t>
  </si>
  <si>
    <t>Dimas / done</t>
  </si>
  <si>
    <t xml:space="preserve">Toko Sadar Indah Gresik </t>
  </si>
  <si>
    <t xml:space="preserve">Bungah Gresik </t>
  </si>
  <si>
    <t xml:space="preserve">Sumber Murah Gorang Garing Magetan </t>
  </si>
  <si>
    <t xml:space="preserve">Templek Tulung Kec Kawedanan Kab Magetan </t>
  </si>
  <si>
    <t>Pak Herdiyanto</t>
  </si>
  <si>
    <t>Depok</t>
  </si>
  <si>
    <t>Eriya / Feri Depok</t>
  </si>
  <si>
    <t xml:space="preserve">Jl Pertanian Blok B no 80 Kel Grogol Kec Limo Kec Depok </t>
  </si>
  <si>
    <t>1 unit pcx</t>
  </si>
  <si>
    <t>Rahadi8/ Done</t>
  </si>
  <si>
    <t>PT Putra Jaya Mulia</t>
  </si>
  <si>
    <t>PT Taco Sidoarjo</t>
  </si>
  <si>
    <t xml:space="preserve">Krian Sidoarjo </t>
  </si>
  <si>
    <t xml:space="preserve">Izzwin </t>
  </si>
  <si>
    <t xml:space="preserve">CV Varia Anugerah </t>
  </si>
  <si>
    <t xml:space="preserve">Stock Point Kediri </t>
  </si>
  <si>
    <t xml:space="preserve">Jl Pamenang Gg 2 no 30 Katang Kec Ngasem Kediri </t>
  </si>
  <si>
    <t>koli sedang</t>
  </si>
  <si>
    <t xml:space="preserve">Toko Memey Banyuwangi </t>
  </si>
  <si>
    <t xml:space="preserve">Jl KH Imam Bahri no 10 Jenisari Genteng Banyuwangi </t>
  </si>
  <si>
    <t>DImas</t>
  </si>
  <si>
    <t xml:space="preserve">Faryanto TK Banyuwangi </t>
  </si>
  <si>
    <t xml:space="preserve">Jl gajah Mada no 231 Banyuwangi </t>
  </si>
  <si>
    <t xml:space="preserve">CV Morodadi Mojokerto </t>
  </si>
  <si>
    <t xml:space="preserve">Jl Mojopahit no 418 Kranggan Mojokerto </t>
  </si>
  <si>
    <t xml:space="preserve">Maya Kosmetik Malang </t>
  </si>
  <si>
    <t xml:space="preserve">Jl Tologo Indah Ruko C Kel Tologomas Lowokwari Kota Malang </t>
  </si>
  <si>
    <t>Budaya Dolopo Madiun</t>
  </si>
  <si>
    <t xml:space="preserve">Jl Sandang Pangan no 14 Krajan Belakang Pasar Kec Dolopo Kab Madiun </t>
  </si>
  <si>
    <t xml:space="preserve">Raya Malang </t>
  </si>
  <si>
    <t xml:space="preserve">Jl Wiromargo 41A Sukoharjo Klojen Malang </t>
  </si>
  <si>
    <t xml:space="preserve">MDS Madiun </t>
  </si>
  <si>
    <t xml:space="preserve">Jl Pahlawan no 38-40 Madiun </t>
  </si>
  <si>
    <t xml:space="preserve">Berkat Anugerah Lamongan </t>
  </si>
  <si>
    <t xml:space="preserve">Jl Raya Babat no 99 Tambangan Kosmetik Babat Lamongan </t>
  </si>
  <si>
    <t xml:space="preserve">Matahari Suncity Madiun </t>
  </si>
  <si>
    <t xml:space="preserve">Jl Letjen S Parman no 8 Kartoharjo Madiun </t>
  </si>
  <si>
    <t xml:space="preserve">Retha Skincare Pasuruan </t>
  </si>
  <si>
    <t xml:space="preserve">Jl Raya Kutorejo Kec Pandaan Kab Pasuruan </t>
  </si>
  <si>
    <t>505.2</t>
  </si>
  <si>
    <t>Cobra Dental Saraswati Denpasar</t>
  </si>
  <si>
    <t>96.69</t>
  </si>
  <si>
    <t xml:space="preserve">Cobra Dental UB Malang </t>
  </si>
  <si>
    <t>4.16</t>
  </si>
  <si>
    <t>Leo/ Done</t>
  </si>
  <si>
    <t xml:space="preserve">Jl Semeru Raya no 5 Jember </t>
  </si>
  <si>
    <t>Ratih</t>
  </si>
  <si>
    <t>1Koli Kecil, 1 Koli Sedang,7 Besar</t>
  </si>
  <si>
    <t xml:space="preserve">FS Situbondo </t>
  </si>
  <si>
    <t xml:space="preserve">Wantoro </t>
  </si>
  <si>
    <t>IN/ DImas</t>
  </si>
  <si>
    <t xml:space="preserve">FS Banyuwangi </t>
  </si>
  <si>
    <t xml:space="preserve">Wildan </t>
  </si>
  <si>
    <t>SO-00202757</t>
  </si>
  <si>
    <t xml:space="preserve">CV Mitra Bersaudara Pontianak </t>
  </si>
  <si>
    <t xml:space="preserve">Jl. Sejahtera 3 No.24 Bangka Belitung Darat Pontianak </t>
  </si>
  <si>
    <t xml:space="preserve">estimasi door </t>
  </si>
  <si>
    <t>Fitrian/ AJM</t>
  </si>
  <si>
    <t xml:space="preserve">BCA KCP Tanjung Raya </t>
  </si>
  <si>
    <t xml:space="preserve">Jl. Panglima AIM Simpang Gg.Saleh Saigon Pontianak </t>
  </si>
  <si>
    <t>CV. Derma Abadi Surabaya</t>
  </si>
  <si>
    <t>Jl. Embong Kemiri No.6 Embong Kaliasin Genteng Surabaya</t>
  </si>
  <si>
    <t xml:space="preserve">IN Bekasi/ Dwi </t>
  </si>
  <si>
    <t>Shepora-Tunjungan Plaza Surabaya</t>
  </si>
  <si>
    <t>Tunjungan Plaza Surabaya</t>
  </si>
  <si>
    <t>TSM- Dp Mall Semarang</t>
  </si>
  <si>
    <t>IN Bekasi/ Reza</t>
  </si>
  <si>
    <t>TSM Galaxy Surabaya</t>
  </si>
  <si>
    <t>Jl. Dharma Husada Indah Timur 35-37 Surabaya</t>
  </si>
  <si>
    <t>6.86</t>
  </si>
  <si>
    <t>IN Bekasi/ Dwi</t>
  </si>
  <si>
    <t>TSM -Dp Mall Semarang</t>
  </si>
  <si>
    <t>Shepora-Dp Mall Semarang</t>
  </si>
  <si>
    <t>Shepora- Galaxy Mall Surabaya</t>
  </si>
  <si>
    <t>Watsons Pakuwon Mall Surabaya</t>
  </si>
  <si>
    <t>TSM- Galaxy Mall Surabaya</t>
  </si>
  <si>
    <t>1.76</t>
  </si>
  <si>
    <t>Rian/ DOne</t>
  </si>
  <si>
    <t>Shepora-Pakuwon Mall Surabaya</t>
  </si>
  <si>
    <t>Sogo- Pakuwon Mall Surabaya</t>
  </si>
  <si>
    <t xml:space="preserve">Hariono </t>
  </si>
  <si>
    <t xml:space="preserve">CV. Puspa Indah Lancar Yogyakarta </t>
  </si>
  <si>
    <t>Jogo Negaran GTI no.24 Menduran Yogyakarta</t>
  </si>
  <si>
    <t>Sogo- TP 4 Surabaya</t>
  </si>
  <si>
    <t>Rido</t>
  </si>
  <si>
    <t>Rido / DONE</t>
  </si>
  <si>
    <t>4.59</t>
  </si>
  <si>
    <t>TSM Galaxy Mall CIdan 13b Surabaya</t>
  </si>
  <si>
    <t>5.46</t>
  </si>
  <si>
    <t>MMG</t>
  </si>
  <si>
    <t>MMG Temanggung</t>
  </si>
  <si>
    <t>IN Bekasi / Reza</t>
  </si>
  <si>
    <t>Guardiant Icon Mall Gresik</t>
  </si>
  <si>
    <t>KF.419 Bangkalan Madura</t>
  </si>
  <si>
    <t>KF. Sumenep 2 Madura</t>
  </si>
  <si>
    <t xml:space="preserve">Guardiant Ponorogo City </t>
  </si>
  <si>
    <t xml:space="preserve">Watsons Suncity Mall Sidoarjo </t>
  </si>
  <si>
    <t>Pak Budi / DONE</t>
  </si>
  <si>
    <t xml:space="preserve">Watsons Lippo Sidoarjo </t>
  </si>
  <si>
    <t>Watson Roxy Jember</t>
  </si>
  <si>
    <t>Guardiant Lippo Madiun</t>
  </si>
  <si>
    <t>Guardian Citymall Bondowoso</t>
  </si>
  <si>
    <t>Guardian Ketos Kediri</t>
  </si>
  <si>
    <t xml:space="preserve">Guardiany Kediri Mall </t>
  </si>
  <si>
    <t>Guaardiant Suncity Madiun</t>
  </si>
  <si>
    <t>Lion Superindo DC Mojokerto</t>
  </si>
  <si>
    <t>MMG Bandung</t>
  </si>
  <si>
    <t>SPP BKS</t>
  </si>
  <si>
    <t xml:space="preserve">Temanggung Bantul </t>
  </si>
  <si>
    <t>Wakid</t>
  </si>
  <si>
    <t>PT Transmedic Denpasar</t>
  </si>
  <si>
    <t xml:space="preserve">Jl Tukad Unda no 6 Renon Kec Denpasar Timur Denpasar </t>
  </si>
  <si>
    <t>Elza</t>
  </si>
  <si>
    <t>DKSH Narogong + Kawanishi Cikarang</t>
  </si>
  <si>
    <t>Centre Point Malang</t>
  </si>
  <si>
    <t>valid</t>
  </si>
  <si>
    <t>Sehat Cantik Mojokerto</t>
  </si>
  <si>
    <t>Jl. Airlangga No.130 Kauman Mojosari Mojokerto</t>
  </si>
  <si>
    <t xml:space="preserve">BP Berau LTD Lamongan Shore Base </t>
  </si>
  <si>
    <t xml:space="preserve">Jl raya Daendels 64-65 Km Desa Tanjung Pakis Lamongan </t>
  </si>
  <si>
    <t>So-00202765</t>
  </si>
  <si>
    <t xml:space="preserve">Cv. Surya Megah Perkasa Makassar </t>
  </si>
  <si>
    <t xml:space="preserve">Jl. Opo Daeng Risadju No.32 Kunjung Mae Mariso Makasar </t>
  </si>
  <si>
    <t xml:space="preserve">Arif/ GME </t>
  </si>
  <si>
    <t>So-00202763</t>
  </si>
  <si>
    <t xml:space="preserve">Ananda Sumber Makmur </t>
  </si>
  <si>
    <t>Jl. Mayjen Sutoyo S No.3 Teluk Dalam Banjarmasin</t>
  </si>
  <si>
    <t>Aditya</t>
  </si>
  <si>
    <t xml:space="preserve">Setvi Tunas </t>
  </si>
  <si>
    <t>CV. Istana Bana Malya Sleman</t>
  </si>
  <si>
    <t xml:space="preserve">Jl. KRT Pringgodiningrat Jaran Tridadi Sleman </t>
  </si>
  <si>
    <t>Imam Lintas</t>
  </si>
  <si>
    <t xml:space="preserve">Balikpapan </t>
  </si>
  <si>
    <t xml:space="preserve">PT BMBS Balikpapan </t>
  </si>
  <si>
    <t>Pergudangan Bizhub 52 Blok D no 20 Jl Sultan Hasanudin Balikpapan</t>
  </si>
  <si>
    <t xml:space="preserve">David Lesmana Salim Lumajang </t>
  </si>
  <si>
    <t xml:space="preserve">Jl BP Sudirman no 46 Tompokersan Lumajang Kab Lumajang </t>
  </si>
  <si>
    <t>CDDL</t>
  </si>
  <si>
    <t xml:space="preserve">Graha Mulia Toserba Lumajang </t>
  </si>
  <si>
    <t xml:space="preserve">Jl Letkol Slamet Wardoyo Labruk Lor Lumajang </t>
  </si>
  <si>
    <t xml:space="preserve">Golden Market Jember </t>
  </si>
  <si>
    <t xml:space="preserve">Jl Trunojoyo no 42 Sawahan Cantian Kepatihan Kec Kaliwates Jember </t>
  </si>
  <si>
    <t xml:space="preserve">Guardiant Suncity Sidoarjo </t>
  </si>
  <si>
    <t>PT Mitra Mulia Makmur</t>
  </si>
  <si>
    <t>081357739387</t>
  </si>
  <si>
    <t>Sodiq / Arman</t>
  </si>
  <si>
    <t xml:space="preserve">KF. Sumenep 2 </t>
  </si>
  <si>
    <t xml:space="preserve">Kolang Sidoarjo </t>
  </si>
  <si>
    <t xml:space="preserve">Balaraja </t>
  </si>
  <si>
    <t xml:space="preserve">Guardiant Ponorogo CIty </t>
  </si>
  <si>
    <t xml:space="preserve">Guardiant City Mall Tuban </t>
  </si>
  <si>
    <t>SO20 Skin Clinik Jemursari</t>
  </si>
  <si>
    <t>Jl. Jemursari No.106 A Jemurwonosari Tenggilis Mejoyo Surabaya</t>
  </si>
  <si>
    <t xml:space="preserve">SO20 Skin Clinik Manyar </t>
  </si>
  <si>
    <t>Jl. Manyar Kertoarjo No.10A MojoKec. Gubeng Surabaya</t>
  </si>
  <si>
    <t xml:space="preserve">IN/ Dimas </t>
  </si>
  <si>
    <t>SO20 Skin Clinik Darmo</t>
  </si>
  <si>
    <t>Jl. Mayjend Jonosewojo Pradah Kali Kendal Dukuh Pakis Surabaya</t>
  </si>
  <si>
    <t>Rian / DONE</t>
  </si>
  <si>
    <t xml:space="preserve">Tempo Semarang </t>
  </si>
  <si>
    <t>Jl. Raya Kaligawe No.46A Km 3 Mukriharjo LOr Genur 50119 Semarang</t>
  </si>
  <si>
    <t>0.65</t>
  </si>
  <si>
    <t>Dery Lintas</t>
  </si>
  <si>
    <t>Metro Ciputra World Surabaya</t>
  </si>
  <si>
    <t>Jl. Mayjend Sungkono Kav.99 Surabaya</t>
  </si>
  <si>
    <t>Sephora Tunjung Plaza 4 Surabaya</t>
  </si>
  <si>
    <t xml:space="preserve">W 8145 UO </t>
  </si>
  <si>
    <t xml:space="preserve">CDE </t>
  </si>
  <si>
    <t>Shepora Galaxy Surabaya</t>
  </si>
  <si>
    <t>TSM- DP Mall Semarang</t>
  </si>
  <si>
    <t>Jl. Pemuda No.150 Sekayu Semarang</t>
  </si>
  <si>
    <t>TSM -Galaxy Mall Cl-BB  Surabaya</t>
  </si>
  <si>
    <t>2.70</t>
  </si>
  <si>
    <t xml:space="preserve">AA 8039 LG </t>
  </si>
  <si>
    <t xml:space="preserve">Shepora - Pakuwon Mall </t>
  </si>
  <si>
    <t>6.81</t>
  </si>
  <si>
    <t>Watsons Galaxy Mall 3 Surabaya</t>
  </si>
  <si>
    <t>0.27</t>
  </si>
  <si>
    <t>Fadilah</t>
  </si>
  <si>
    <t>TSM To Malone Pakuwon Mall</t>
  </si>
  <si>
    <t>2.39</t>
  </si>
  <si>
    <t xml:space="preserve">TSM-Dp Mall Semarang </t>
  </si>
  <si>
    <t>1.86</t>
  </si>
  <si>
    <t>MDS- Paragon Semarang</t>
  </si>
  <si>
    <t>1.94</t>
  </si>
  <si>
    <t>Unggul/Done</t>
  </si>
  <si>
    <t xml:space="preserve">Sogo Tp 4 Surabaya </t>
  </si>
  <si>
    <t>Jl. Hasanudin Blok AA05 Perum Permata Genteng Wetan Banyuwangi</t>
  </si>
  <si>
    <t xml:space="preserve">Bozwara Farras Indonesia </t>
  </si>
  <si>
    <t xml:space="preserve">Jl. Ali Bin Abi Thalib No.69B Mangunrejo Depok Sleman </t>
  </si>
  <si>
    <t>Alim CAM - Agung CAM</t>
  </si>
  <si>
    <t>Kulon Progo</t>
  </si>
  <si>
    <t>Gudang PT. SGM Kulon Progo</t>
  </si>
  <si>
    <t>Depok Rt.45/23 Sukoreno Kec. Sentolo Kulon Progo</t>
  </si>
  <si>
    <t xml:space="preserve">W 8017 UO </t>
  </si>
  <si>
    <t xml:space="preserve">S 9455 UZ </t>
  </si>
  <si>
    <t>Berkah Membaik Bersama Semarang</t>
  </si>
  <si>
    <t>Ruko Graha Padma B1/38 Tambak Harso Semarang</t>
  </si>
  <si>
    <t>Berkah Mengalir Bersama Semarang</t>
  </si>
  <si>
    <t xml:space="preserve">S 9501 UZ </t>
  </si>
  <si>
    <t xml:space="preserve">RSUD AjiBarang Banyumas </t>
  </si>
  <si>
    <t>Jl. Raya Pancasan Aji Barang Banyumas</t>
  </si>
  <si>
    <t>Ekspedisi Bintang Laut Abadi Depo</t>
  </si>
  <si>
    <t>Meratus, Jl. Tambak Langon No.15A Surabaya</t>
  </si>
  <si>
    <t>RSUD Muslimat Ponorogo</t>
  </si>
  <si>
    <t>Jl. Jend Ahmad Yani No.155 Pesantren Surdikraman Ponorogo</t>
  </si>
  <si>
    <t>Dinkes Prov. Yogyakarta</t>
  </si>
  <si>
    <t>99.56</t>
  </si>
  <si>
    <t>Dinkes Prov Jatim</t>
  </si>
  <si>
    <t>2.56</t>
  </si>
  <si>
    <t>IN/ Imam S/ Done</t>
  </si>
  <si>
    <t xml:space="preserve">Dinkes Prov Jawa tengah </t>
  </si>
  <si>
    <t>Watsons Pakuwon Surabaya</t>
  </si>
  <si>
    <t>0.54</t>
  </si>
  <si>
    <t xml:space="preserve">Sherly SG Banyuwangi </t>
  </si>
  <si>
    <t xml:space="preserve">Jl Agung Wilis Ds Blimbingsari Kec Blimbingsari Banyuwangi </t>
  </si>
  <si>
    <t xml:space="preserve">PT Global Steve Doring Banjarmasin </t>
  </si>
  <si>
    <t xml:space="preserve">Jl IR P Moch Noor no 101 Pasirmas Kel Kuin Cecuruk Banjarmasin </t>
  </si>
  <si>
    <t>Kamdi</t>
  </si>
  <si>
    <t>Alvian</t>
  </si>
  <si>
    <t>vendor</t>
  </si>
  <si>
    <t>in wh cam sub / Kamdi</t>
  </si>
  <si>
    <t xml:space="preserve"> Toko Kartika Trenggalek</t>
  </si>
  <si>
    <t>Ngadisuko Durenan RT 13 RW 05 (SD Ngadisuko) Trenggalek</t>
  </si>
  <si>
    <t>PT. Duta Bangsa Madnri (Bpk. Lino lab)</t>
  </si>
  <si>
    <t>Jl. Macan putih desa latban asem banyuwangi</t>
  </si>
  <si>
    <t>AP K 24 Gubernur Suryo Gresik</t>
  </si>
  <si>
    <t>Uti</t>
  </si>
  <si>
    <t>Budi / done</t>
  </si>
  <si>
    <t>BV</t>
  </si>
  <si>
    <t xml:space="preserve">Watons Suncity Sidoarjo </t>
  </si>
  <si>
    <t>Aji</t>
  </si>
  <si>
    <t>AP K 24 Dr Sutomo Gresik</t>
  </si>
  <si>
    <t xml:space="preserve">AP K 24 GKB Gresik </t>
  </si>
  <si>
    <t xml:space="preserve">Watsons Lippo Jember </t>
  </si>
  <si>
    <t>346.02</t>
  </si>
  <si>
    <t>Haysim</t>
  </si>
  <si>
    <t xml:space="preserve">Are You Salon Magetan </t>
  </si>
  <si>
    <t xml:space="preserve">Jl Dr Soetomo no 6 Selosari Magetan </t>
  </si>
  <si>
    <t xml:space="preserve">Magersari </t>
  </si>
  <si>
    <t xml:space="preserve">Sehat Cosmetic Mojokerto </t>
  </si>
  <si>
    <t xml:space="preserve">Jl Mojopahit 206&amp;210 Sentanan Magersari Mojokerto </t>
  </si>
  <si>
    <t xml:space="preserve">CV Jember Roxy </t>
  </si>
  <si>
    <t xml:space="preserve">Jl Hayam Wuruk 50-58 Sempursari Kaliwates Jember </t>
  </si>
  <si>
    <t xml:space="preserve">Bojonegoro </t>
  </si>
  <si>
    <t xml:space="preserve">Jl Imam Bonjol 52 Bojonegoro </t>
  </si>
  <si>
    <t xml:space="preserve">MDS Jember </t>
  </si>
  <si>
    <t xml:space="preserve">Jl Diponegoro no 66 Jember </t>
  </si>
  <si>
    <t>RAJAWALI</t>
  </si>
  <si>
    <t>Kupang Express Sidoarjo</t>
  </si>
  <si>
    <t>Rukun Putera Bersama Mojokerto</t>
  </si>
  <si>
    <t>Jl. Wijaya Kusuma No.17 Mergelo Sooko Mojokerto</t>
  </si>
  <si>
    <t>IN / Amin</t>
  </si>
  <si>
    <t>MDS Paragon-Semarang</t>
  </si>
  <si>
    <t>Sj Ditinggal</t>
  </si>
  <si>
    <t>Ada Pasar Swalayan-Setia Budi</t>
  </si>
  <si>
    <t xml:space="preserve">Ada Pasar Swalayan-Majapahit </t>
  </si>
  <si>
    <t xml:space="preserve">Tangerang </t>
  </si>
  <si>
    <t xml:space="preserve">Ada Pasar Swalayan-Siliwung </t>
  </si>
  <si>
    <t>55.2</t>
  </si>
  <si>
    <t xml:space="preserve">Solo </t>
  </si>
  <si>
    <t xml:space="preserve">Pt. Tempo Solo </t>
  </si>
  <si>
    <t>Megadepo Denpasar</t>
  </si>
  <si>
    <t>Jl. Teuku Umar Barat No.388 Banjar Tegalantang Padang Sembian Denpasar Bali</t>
  </si>
  <si>
    <t xml:space="preserve">Bintang Sakti Bangkalan </t>
  </si>
  <si>
    <t>Jl. Letnan Sunarto No.39 Bangkalan Madura</t>
  </si>
  <si>
    <t>B 9406 FXR</t>
  </si>
  <si>
    <t>085736129397</t>
  </si>
  <si>
    <t>Wangi Jaya Lamongan</t>
  </si>
  <si>
    <t xml:space="preserve">Jl Bulaksari Dsn Gendong Kulon Sogo Babat Lamongan </t>
  </si>
  <si>
    <t>Yatminto / Sohib</t>
  </si>
  <si>
    <t xml:space="preserve">Sumber Urip Lamongan </t>
  </si>
  <si>
    <t xml:space="preserve">Jl Raya Pangean Sekarang Lamongan </t>
  </si>
  <si>
    <t xml:space="preserve">Surya Karya Pratama Batu Malang </t>
  </si>
  <si>
    <t xml:space="preserve">Jl Langsep no 27 Oro Oro Ombo Batu Malang </t>
  </si>
  <si>
    <t>Catur Sentosa Adiprana Madiun</t>
  </si>
  <si>
    <t>Jl Basuki Rahmad no A3 Kec Kartoharjo Madiun</t>
  </si>
  <si>
    <t>ITA</t>
  </si>
  <si>
    <t>Trijaya Sakti Gresik</t>
  </si>
  <si>
    <t xml:space="preserve">Jl Kalimantan no 8 Gresik </t>
  </si>
  <si>
    <t xml:space="preserve">Bogor </t>
  </si>
  <si>
    <t xml:space="preserve">Jl rajawali no 138 Karangpancar Bojonegoro </t>
  </si>
  <si>
    <t xml:space="preserve">Jl Dusun Slegi Pasar Legi Sambeng Lamongan </t>
  </si>
  <si>
    <t>Haysim/ Done</t>
  </si>
  <si>
    <t>Haryono Mustofa Bangkalan</t>
  </si>
  <si>
    <t xml:space="preserve">Jl Panglima Sudirman no 101 Pejagan Demangan Bangkalan </t>
  </si>
  <si>
    <t>Nur Hidayat Bangkalan</t>
  </si>
  <si>
    <t xml:space="preserve">Jl raya Tanah Merah no 18 Bangkalan </t>
  </si>
  <si>
    <t xml:space="preserve">Ranata Bangkalan </t>
  </si>
  <si>
    <t xml:space="preserve">Jl Raya Pasar Lama Socah Bangkalan </t>
  </si>
  <si>
    <t>Guardiant Gajayana II MOG</t>
  </si>
  <si>
    <t xml:space="preserve">CAM SUB </t>
  </si>
  <si>
    <t>Jl. Pamenang Gg. 2 No.30 Katang Kediri</t>
  </si>
  <si>
    <t>Amin/ DOne</t>
  </si>
  <si>
    <t>Pt. Steel Pipe Industri Surabaya</t>
  </si>
  <si>
    <t>Jl. Kalibutuh 189-191 Rt.2 Rw.5 Tembok Dukuh Bubutan Surabaya</t>
  </si>
  <si>
    <t>Rido/ Done</t>
  </si>
  <si>
    <t xml:space="preserve">Pt. AdiPrima Suraprinta </t>
  </si>
  <si>
    <t xml:space="preserve">Ds. Sumengko Wringin Anom Gresik </t>
  </si>
  <si>
    <t>BCA KCP Jombang</t>
  </si>
  <si>
    <t>Jl. Raya Mojoagung No.184 Pekunden Kedamangan Mojoanggun Jombang</t>
  </si>
  <si>
    <t>Linda</t>
  </si>
  <si>
    <t xml:space="preserve">RSU Siaga Medika </t>
  </si>
  <si>
    <t>Jery/ Done</t>
  </si>
  <si>
    <t>RSI Purwokerto</t>
  </si>
  <si>
    <t xml:space="preserve">Bp. Sopyan Cianjur </t>
  </si>
  <si>
    <t xml:space="preserve">Jl. Raya Sukabumi No Km.7 Cianjur </t>
  </si>
  <si>
    <t>100.8</t>
  </si>
  <si>
    <t>Santa Dc Bandung 2</t>
  </si>
  <si>
    <t>Jl. Nanjung No.153 (Blok Ajeng) ds. Utama Cimahi Bandung</t>
  </si>
  <si>
    <t xml:space="preserve">Batam </t>
  </si>
  <si>
    <t xml:space="preserve">KCP BCA Harbour Bay Batam </t>
  </si>
  <si>
    <t>Harbour Bay Downtown Batam Jl Duyung Kel Sungai Jodoh Kec Batu Ampar Batam</t>
  </si>
  <si>
    <t>AKL</t>
  </si>
  <si>
    <t>est masuk tungkal</t>
  </si>
  <si>
    <t>estimasi pendooringan ke batam</t>
  </si>
  <si>
    <t xml:space="preserve">AKL </t>
  </si>
  <si>
    <t xml:space="preserve">KCP BCA KAS Panbil Batam </t>
  </si>
  <si>
    <t xml:space="preserve">Komp RUko Panbil Blok f no 1 Kel Muka Kuning Kota Batam </t>
  </si>
  <si>
    <t xml:space="preserve">KCP Kemiling  Lampung </t>
  </si>
  <si>
    <t xml:space="preserve">Jl Teuku no 56 Sumber Reso Kec Kemiling Bandar Lampung </t>
  </si>
  <si>
    <t>Renny</t>
  </si>
  <si>
    <t>Jangkar Driyorejo</t>
  </si>
  <si>
    <t>Jl. Semeru Raya No.5 Tegal Boto Kidul sumbersari Jember</t>
  </si>
  <si>
    <t>Koli Besar, Koli Kecil</t>
  </si>
  <si>
    <t>W 8188 PV</t>
  </si>
  <si>
    <t xml:space="preserve">Paula </t>
  </si>
  <si>
    <t>Vithasopindo</t>
  </si>
  <si>
    <t>Ap. Banyuurip Gresik</t>
  </si>
  <si>
    <t>Kawanishi Cikarang + DKSH Narogong</t>
  </si>
  <si>
    <t>Pangan Berkah Jombang</t>
  </si>
  <si>
    <t>Hani</t>
  </si>
  <si>
    <t>028414</t>
  </si>
  <si>
    <t>028410</t>
  </si>
  <si>
    <t xml:space="preserve">Ferry CAM </t>
  </si>
  <si>
    <t>Jl. Agung Wilis Desa Blimbing Sari Kec. BlimbingSari Banyuwangi</t>
  </si>
  <si>
    <t>Yogik</t>
  </si>
  <si>
    <t>Jl. Hasanudin No.2 Balowerti Kediri</t>
  </si>
  <si>
    <t>0.84</t>
  </si>
  <si>
    <t>Pt. Amerta Indah Otsuka Pasuruan</t>
  </si>
  <si>
    <t>Jl. Raya Pasuruan-Malang Km11 Kejayan Pasuruan</t>
  </si>
  <si>
    <t>Agung Lintas</t>
  </si>
  <si>
    <t xml:space="preserve">Pt. Rama Emerald Multi Sukses </t>
  </si>
  <si>
    <t>Jl. Raya Tenaru Driyorejo Gresik</t>
  </si>
  <si>
    <t>Soleh</t>
  </si>
  <si>
    <t>Babat</t>
  </si>
  <si>
    <t xml:space="preserve">RS. Hermina Solo </t>
  </si>
  <si>
    <t>Jl. Kol Sutarto No.16 Jebres Surakarta</t>
  </si>
  <si>
    <t>Jl. Cakraningrat No.2 Kota Pasuruan</t>
  </si>
  <si>
    <t>Dinkes Kab Bojonegoro</t>
  </si>
  <si>
    <t>Jl. Ahmad Yani No.2 Bojonegoro</t>
  </si>
  <si>
    <t>885.14</t>
  </si>
  <si>
    <t xml:space="preserve">PT Agro Makmur Raya </t>
  </si>
  <si>
    <t xml:space="preserve">Bitung </t>
  </si>
  <si>
    <t xml:space="preserve">PT IPM Sidoarjo </t>
  </si>
  <si>
    <t xml:space="preserve">pengambilan barang </t>
  </si>
  <si>
    <t xml:space="preserve">barang di ambil </t>
  </si>
  <si>
    <t xml:space="preserve">menunggu unit kembali dari manado </t>
  </si>
  <si>
    <t>Pt. Fajar Lestari Sejati</t>
  </si>
  <si>
    <t xml:space="preserve">Suhadak ( Sumber Rejeki) </t>
  </si>
  <si>
    <t xml:space="preserve">Jl. Raya Mantup Guminingrejo Tikung Lamongan </t>
  </si>
  <si>
    <t>8.70</t>
  </si>
  <si>
    <t>19.72</t>
  </si>
  <si>
    <t>Sita</t>
  </si>
  <si>
    <t xml:space="preserve">Pt. Parit Padang Global </t>
  </si>
  <si>
    <t xml:space="preserve">Ubung Kaja, Jl. Cargo Sari III Denpasar Bali </t>
  </si>
  <si>
    <t>88.74</t>
  </si>
  <si>
    <t>085813704147</t>
  </si>
  <si>
    <t>Pt. Transmedic Indonesia</t>
  </si>
  <si>
    <t>114.86</t>
  </si>
  <si>
    <t>Roby /Done</t>
  </si>
  <si>
    <t xml:space="preserve">Tri Sapta Jaya </t>
  </si>
  <si>
    <t>Tri Sapta Jaya Bandung</t>
  </si>
  <si>
    <t>Jl. Holis No.113 Wr. Muncang Bandung Kulon</t>
  </si>
  <si>
    <t>TSJ</t>
  </si>
  <si>
    <t xml:space="preserve">FFI Driyorejo </t>
  </si>
  <si>
    <t>In Semarang/ Jery</t>
  </si>
  <si>
    <t xml:space="preserve">Sinar Jaya Semarang </t>
  </si>
  <si>
    <t>Jl. Soekarno Hatta No.97 A Tlogosari Kulon Kec. Pedurungan Semarang</t>
  </si>
  <si>
    <t xml:space="preserve">Sinar Jaya Cirebon </t>
  </si>
  <si>
    <t xml:space="preserve">Jl. Tuparov No.101 Kertawinangun Kedawung Cirebon </t>
  </si>
  <si>
    <t xml:space="preserve">S 8662 UX </t>
  </si>
  <si>
    <t xml:space="preserve">Sarirasa JKT </t>
  </si>
  <si>
    <t xml:space="preserve">Ibu Santa DC Bandung 2 </t>
  </si>
  <si>
    <t xml:space="preserve">Jl. Nanjung No.153 Cimahi Bandung </t>
  </si>
  <si>
    <t>38.4</t>
  </si>
  <si>
    <t xml:space="preserve">Bp. Zaenal DC Bandung 1 </t>
  </si>
  <si>
    <t>Jl. Soekarno Hatta Gede Bage Kel. Cisantreen Bandung</t>
  </si>
  <si>
    <t xml:space="preserve">Bp. Doel Dc Parung </t>
  </si>
  <si>
    <t xml:space="preserve">W 8144 UO </t>
  </si>
  <si>
    <t>Jl. Raya Parung-Ciunging Sindur Bogor</t>
  </si>
  <si>
    <t>187.2</t>
  </si>
  <si>
    <t xml:space="preserve">Bp. Yolda Dc Bogor </t>
  </si>
  <si>
    <t>Jl. Raya Pemda No.37 Cibinong Bogor</t>
  </si>
  <si>
    <t xml:space="preserve">S 8629 UW </t>
  </si>
  <si>
    <t>Jl. MH. Thamrin Tanggerang Cikokol</t>
  </si>
  <si>
    <t xml:space="preserve">Jl. Raya Sukabumi Km7 Cianjur </t>
  </si>
  <si>
    <t>81.6</t>
  </si>
  <si>
    <t xml:space="preserve"> Nugi</t>
  </si>
  <si>
    <t>SJ20261331BYD</t>
  </si>
  <si>
    <t>Deni Taufik Ramdani Blitar</t>
  </si>
  <si>
    <t>Jl. IR. Soekarno Hatta Rt.1/Rw.2 Ds. Kranjan Bagelanan Srengat Blitar</t>
  </si>
  <si>
    <t>SO-252250043689+252250043690</t>
  </si>
  <si>
    <t>101.34</t>
  </si>
  <si>
    <t xml:space="preserve">Watson Suncity Madiun </t>
  </si>
  <si>
    <t xml:space="preserve">KF 163 Bangkalan </t>
  </si>
  <si>
    <t xml:space="preserve">Jl Joko Tole 5 Bangkalan </t>
  </si>
  <si>
    <t>MCMO Sepanjang</t>
  </si>
  <si>
    <t>DOCARE Bekasi</t>
  </si>
  <si>
    <t>Imam / Done</t>
  </si>
  <si>
    <t xml:space="preserve">KF Menganti Gresik </t>
  </si>
  <si>
    <t>Jl Raya Menganti Gresik</t>
  </si>
  <si>
    <t xml:space="preserve">Guardian Matos Malang </t>
  </si>
  <si>
    <t xml:space="preserve">Guardian Ketos Kediri </t>
  </si>
  <si>
    <t>Ap. APB Gresik</t>
  </si>
  <si>
    <t xml:space="preserve">Trias </t>
  </si>
  <si>
    <t>Imam S / done</t>
  </si>
  <si>
    <t xml:space="preserve">Rukini </t>
  </si>
  <si>
    <t>Roby CAM</t>
  </si>
  <si>
    <t xml:space="preserve">Watsoons Matos Malang </t>
  </si>
  <si>
    <t xml:space="preserve">Guardian Suncity Madiun </t>
  </si>
  <si>
    <t xml:space="preserve">KF Usman Sadar Gresik </t>
  </si>
  <si>
    <t>MCMO Jasem</t>
  </si>
  <si>
    <t xml:space="preserve">Wastons Icon Mall </t>
  </si>
  <si>
    <t>KF. Sukomulyo Gresik</t>
  </si>
  <si>
    <t>Roby/Done</t>
  </si>
  <si>
    <t>Mommy Skincare Madiun</t>
  </si>
  <si>
    <t>Jl. Kolonel Marhadi No.4 Magunharjo kota Madiun</t>
  </si>
  <si>
    <t xml:space="preserve">Pt. Transmedic Yogyakarta </t>
  </si>
  <si>
    <t>Jl. Raya Jogja-Solo km.10 Ruko Citrasun Garpen Sleman Yogyakarta</t>
  </si>
  <si>
    <t>348.5</t>
  </si>
  <si>
    <t>Pt. Sakatinta Semarang</t>
  </si>
  <si>
    <t>Jl. Siliwangi 416 Kali Banteng Kulon Semarang</t>
  </si>
  <si>
    <t>50.4</t>
  </si>
  <si>
    <t>Bengkel Bintang Motor</t>
  </si>
  <si>
    <t>Jl. Lowan No.107 (Depan Pamela 8) Sorosutian Umbul Harjo Yogyakarta</t>
  </si>
  <si>
    <t xml:space="preserve">Pt. Khalisa Pratama Sukses </t>
  </si>
  <si>
    <t>Permata Puri Branda Bali Payon Cluster Ngaliyan Semarang</t>
  </si>
  <si>
    <t>120.84</t>
  </si>
  <si>
    <t>Jl. Manggis No.11 RT.4 Rw.1 Kruton Tegal</t>
  </si>
  <si>
    <t>60.32</t>
  </si>
  <si>
    <t>Zuhri</t>
  </si>
  <si>
    <t>Lingga Adi Putra Magetan</t>
  </si>
  <si>
    <t>Ds. Celaket Bulugunung Magetan</t>
  </si>
  <si>
    <t>Cobra Dental Jember</t>
  </si>
  <si>
    <t xml:space="preserve">Widha </t>
  </si>
  <si>
    <t>FS Banyuwangi (Agung Prayoga)</t>
  </si>
  <si>
    <t>FB Blitar (Bpk. Devino)</t>
  </si>
  <si>
    <t>Jl. Widuri no 70 RT 01 RW 02 tlumpu Sukorejo Blitar</t>
  </si>
  <si>
    <t>Barang Hangus</t>
  </si>
  <si>
    <t xml:space="preserve">Pt. Gloria Mitra Niagatama </t>
  </si>
  <si>
    <t>Pt. Circleka Indonesia Bandung</t>
  </si>
  <si>
    <t>Jl. Soekarno Hatta No.447 Ciseureuh Regol Bandung</t>
  </si>
  <si>
    <t>Tri Jaya Banyuwangi</t>
  </si>
  <si>
    <t>Jl. Suparno No.49 Pesanggaran Banyuwangi</t>
  </si>
  <si>
    <t>089630197704</t>
  </si>
  <si>
    <t>DImas/ Done</t>
  </si>
  <si>
    <t>Bp. MSU Gresik</t>
  </si>
  <si>
    <t>Pt. Rittal Indonesia</t>
  </si>
  <si>
    <t xml:space="preserve">Pt. Multi Daya Mitra </t>
  </si>
  <si>
    <t>Ruko Jati Kepuh Indah F.26 Dsn. Larangan Candi Sidoarjo</t>
  </si>
  <si>
    <t>408.7</t>
  </si>
  <si>
    <t>RTL</t>
  </si>
  <si>
    <t>Feryy/ Done</t>
  </si>
  <si>
    <t>IN Bekasi / Ifin</t>
  </si>
  <si>
    <t>PT. Perkasa Adi Daya Surabaya</t>
  </si>
  <si>
    <t>Jl. Gresik 58 Surabaya</t>
  </si>
  <si>
    <t>95.86</t>
  </si>
  <si>
    <t>pengambilan barang</t>
  </si>
  <si>
    <t>Devino FB Blitar</t>
  </si>
  <si>
    <t>Yusuf</t>
  </si>
  <si>
    <t>Pt. Multi Daya Mitra</t>
  </si>
  <si>
    <t>Jl. Halim Perdana Kusuma Kec. Makasar Jakarta</t>
  </si>
  <si>
    <t>IN/ Tanto</t>
  </si>
  <si>
    <t>Pt. Xinyi Glas Indonesia</t>
  </si>
  <si>
    <t>Yudha Lintas</t>
  </si>
  <si>
    <t xml:space="preserve">Toko Metro Galery Blitar </t>
  </si>
  <si>
    <t xml:space="preserve">Jl mastrip No 78 Kepanjen Kidul Kec Kepanjen Kidul Blitar </t>
  </si>
  <si>
    <t>Emilia</t>
  </si>
  <si>
    <t xml:space="preserve">Mira Fashion Blitar </t>
  </si>
  <si>
    <t xml:space="preserve">Jl Nusa Indah Jari Bajang Kec Talun Kab Blitar </t>
  </si>
  <si>
    <t>087753638196</t>
  </si>
  <si>
    <t>Toko Riang Pungky Malang</t>
  </si>
  <si>
    <t>Jl. PS Baru Dampit Wetan Malang</t>
  </si>
  <si>
    <t>Pak Glenter Dampit Malang</t>
  </si>
  <si>
    <t>Jl. Pengging No.7 Dampit Wetan Malang</t>
  </si>
  <si>
    <t>SO-00202786</t>
  </si>
  <si>
    <t>SG Queen City Semarang</t>
  </si>
  <si>
    <t>Jl. Pemuda No.27-31 Pandansari Semarang</t>
  </si>
  <si>
    <t>Roby CAM - Alim CAM</t>
  </si>
  <si>
    <t>In Bekasi/ Arif</t>
  </si>
  <si>
    <t>Basaraka Forraz Indoneesia</t>
  </si>
  <si>
    <t>Jl. Ali Bin Abi Tholib No.69 B Mangunharjo Depok Sleman Yogyakarta</t>
  </si>
  <si>
    <t>Ruko Graha Padma B1/38 Tambakharjo Semarang</t>
  </si>
  <si>
    <t>Jl. Agung Wilis Blimbingsari Banyuwangi</t>
  </si>
  <si>
    <t>In Bekasi/ Ifin</t>
  </si>
  <si>
    <t>Jl. Brigjend Katamso No.6 Lantai 2 Ngeni Kahuripan Waru Sidoarjo</t>
  </si>
  <si>
    <t>Arif Lintas</t>
  </si>
  <si>
    <t>Arif Lintas/ Done</t>
  </si>
  <si>
    <t>UPTD Laboratorium Badung Bali</t>
  </si>
  <si>
    <t xml:space="preserve">Jl. Bunset Road 777 Kuta Badung Bali </t>
  </si>
  <si>
    <t>Robi</t>
  </si>
  <si>
    <t xml:space="preserve">Batu Malang </t>
  </si>
  <si>
    <t>Ira</t>
  </si>
  <si>
    <t xml:space="preserve">KF Manyar Gresik </t>
  </si>
  <si>
    <t xml:space="preserve">KF Sukomulyo Gresik </t>
  </si>
  <si>
    <t xml:space="preserve">Hesti </t>
  </si>
  <si>
    <t xml:space="preserve">Guardian Gajayana II Malang </t>
  </si>
  <si>
    <t xml:space="preserve">KF Sumatra Gresik </t>
  </si>
  <si>
    <t xml:space="preserve">Ajeng </t>
  </si>
  <si>
    <t>Reza</t>
  </si>
  <si>
    <t xml:space="preserve">KF 164 Gresik </t>
  </si>
  <si>
    <t>Endro</t>
  </si>
  <si>
    <t xml:space="preserve">Guardian Malang Town Square </t>
  </si>
  <si>
    <t xml:space="preserve">KF 274 Pamekasan </t>
  </si>
  <si>
    <t xml:space="preserve">Yayan </t>
  </si>
  <si>
    <t>Selin</t>
  </si>
  <si>
    <t xml:space="preserve">Guardian Suncity Sidoarjo </t>
  </si>
  <si>
    <t xml:space="preserve">KF 419 Bangkalan </t>
  </si>
  <si>
    <t xml:space="preserve">Apotek Kawi Malang </t>
  </si>
  <si>
    <t>Dya</t>
  </si>
  <si>
    <t xml:space="preserve">Watsons City Mall </t>
  </si>
  <si>
    <t xml:space="preserve">Kupang </t>
  </si>
  <si>
    <t xml:space="preserve">EPM Kupang </t>
  </si>
  <si>
    <t xml:space="preserve">Jl Bund PU no 10 Tuak Daun Merah Kec Oebobo Kota Kupang </t>
  </si>
  <si>
    <t xml:space="preserve">1 motor </t>
  </si>
  <si>
    <t xml:space="preserve">Dony Horo </t>
  </si>
  <si>
    <t>Fitrian/  Dony Horo</t>
  </si>
  <si>
    <t xml:space="preserve">estimasi kapal berangkat </t>
  </si>
  <si>
    <t xml:space="preserve">estimasi dooring </t>
  </si>
  <si>
    <t xml:space="preserve">PT Cetral Pertiwi Bahari Rembang </t>
  </si>
  <si>
    <t xml:space="preserve">Jl Raya Lasem Ds Sumur Tawang Kec Krangan Kab Rembang </t>
  </si>
  <si>
    <t>In Bekasi / Arif</t>
  </si>
  <si>
    <t xml:space="preserve">Naughty K NPJBR Jember </t>
  </si>
  <si>
    <t xml:space="preserve">Wuruk no 50-58 Gerdu Sempursari Kec Kaliwates Jember </t>
  </si>
  <si>
    <t>Jaka</t>
  </si>
  <si>
    <t xml:space="preserve">RSI Nashrul Ummah Lamongan </t>
  </si>
  <si>
    <t xml:space="preserve">Jl Merpati no 62 Lamongan </t>
  </si>
  <si>
    <t xml:space="preserve">PT Metso Technology Solution </t>
  </si>
  <si>
    <t xml:space="preserve">Jl Tembok Osowilangun Kec Benowo 120 Surabaya </t>
  </si>
  <si>
    <t xml:space="preserve">Jl Brigjen Katamso no 6 Lantai 2 Ngeni Kahuripan Waru Sidoarjo </t>
  </si>
  <si>
    <t>Tuesbelle Surabaya</t>
  </si>
  <si>
    <t xml:space="preserve">Jl raya Juanda Perum Permata Juanda E56 Kel Sedati Agung Kec Sedati Kab Sidoarjo </t>
  </si>
  <si>
    <t xml:space="preserve">PT Interbat Sidoarjo </t>
  </si>
  <si>
    <t>Jl HR Moch Mangundiprojo Sidoarjo</t>
  </si>
  <si>
    <t>Bella</t>
  </si>
  <si>
    <t>Harga Vendor</t>
  </si>
  <si>
    <t>FTL</t>
  </si>
  <si>
    <t xml:space="preserve"> AA 8039 LG </t>
  </si>
  <si>
    <r>
      <t xml:space="preserve">BALI </t>
    </r>
    <r>
      <rPr>
        <b/>
        <sz val="11"/>
        <color theme="1"/>
        <rFont val="Times New Roman"/>
      </rPr>
      <t>Bongkar Pagi</t>
    </r>
  </si>
  <si>
    <t>FUSO 3 WAY</t>
  </si>
  <si>
    <t>082119515154</t>
  </si>
  <si>
    <r>
      <rPr>
        <sz val="11"/>
        <color theme="1"/>
        <rFont val="Times New Roman"/>
      </rPr>
      <t>Kohler BSD Tangerang</t>
    </r>
    <r>
      <rPr>
        <b/>
        <sz val="11"/>
        <color theme="1"/>
        <rFont val="Times New Roman"/>
      </rPr>
      <t xml:space="preserve"> TOLL PANJANG</t>
    </r>
  </si>
  <si>
    <r>
      <rPr>
        <sz val="11"/>
        <color theme="1"/>
        <rFont val="Times New Roman"/>
      </rPr>
      <t xml:space="preserve">Tangerang </t>
    </r>
    <r>
      <rPr>
        <b/>
        <sz val="11"/>
        <color theme="1"/>
        <rFont val="Times New Roman"/>
      </rPr>
      <t>Kurang dipaketkan</t>
    </r>
  </si>
  <si>
    <t>Riyan / Mistono</t>
  </si>
  <si>
    <t>FFI Driyorejo Jangkar</t>
  </si>
  <si>
    <t>Mayindo Buluh Indah Denpasar Bali</t>
  </si>
  <si>
    <t>TKBM BONGKAR 50K</t>
  </si>
  <si>
    <t>UPA Panjang Jiwo</t>
  </si>
  <si>
    <t>088217167528</t>
  </si>
  <si>
    <t xml:space="preserve"> Bayer Surabaya</t>
  </si>
  <si>
    <t xml:space="preserve"> S 9501 UZ </t>
  </si>
  <si>
    <t>EPM Nambangan SBY</t>
  </si>
  <si>
    <t>081294463394</t>
  </si>
  <si>
    <t>Dwi CAM</t>
  </si>
  <si>
    <t>025902</t>
  </si>
  <si>
    <t>089529815533</t>
  </si>
  <si>
    <t>087736978556</t>
  </si>
  <si>
    <t xml:space="preserve">TSJ Pulo Gadung </t>
  </si>
  <si>
    <t xml:space="preserve">PBF. PRISMA PHARMINDO </t>
  </si>
  <si>
    <t>JL.MULYA JAYA NO.16 RT.015 RW.004 CIPINANG MUARA, JATINEGARA, JAKARTA TIMUR</t>
  </si>
  <si>
    <t>Hadi CAM</t>
  </si>
  <si>
    <t>Nugi CAM</t>
  </si>
  <si>
    <t xml:space="preserve">TKBM Muat 100K | TKBM Bongkar 345K </t>
  </si>
  <si>
    <t xml:space="preserve"> W 8082 UO </t>
  </si>
  <si>
    <t xml:space="preserve"> '082261853532</t>
  </si>
  <si>
    <r>
      <rPr>
        <sz val="11"/>
        <color theme="1"/>
        <rFont val="Times New Roman"/>
      </rPr>
      <t xml:space="preserve">Balaraja </t>
    </r>
    <r>
      <rPr>
        <b/>
        <sz val="11"/>
        <color theme="1"/>
        <rFont val="Times New Roman"/>
      </rPr>
      <t xml:space="preserve">36 colly </t>
    </r>
  </si>
  <si>
    <t xml:space="preserve">Alim CAM - Nugi CAM </t>
  </si>
  <si>
    <t xml:space="preserve">TKBM BONGKAR 48K </t>
  </si>
  <si>
    <r>
      <rPr>
        <sz val="11"/>
        <color theme="1"/>
        <rFont val="Times New Roman"/>
      </rPr>
      <t xml:space="preserve"> Cikokol </t>
    </r>
    <r>
      <rPr>
        <b/>
        <sz val="11"/>
        <color theme="1"/>
        <rFont val="Times New Roman"/>
      </rPr>
      <t>88 colly</t>
    </r>
  </si>
  <si>
    <t xml:space="preserve"> Cikokol</t>
  </si>
  <si>
    <t xml:space="preserve">TKBM BONGKAR 90K </t>
  </si>
  <si>
    <r>
      <rPr>
        <sz val="11"/>
        <color theme="1"/>
        <rFont val="Times New Roman"/>
      </rPr>
      <t xml:space="preserve">Bekasi </t>
    </r>
    <r>
      <rPr>
        <b/>
        <sz val="11"/>
        <color theme="1"/>
        <rFont val="Times New Roman"/>
      </rPr>
      <t>87 colly</t>
    </r>
    <r>
      <rPr>
        <sz val="11"/>
        <color theme="1"/>
        <rFont val="Times New Roman"/>
      </rPr>
      <t xml:space="preserve"> </t>
    </r>
  </si>
  <si>
    <t>TKBM Bongkar 80K</t>
  </si>
  <si>
    <r>
      <rPr>
        <sz val="11"/>
        <color theme="1"/>
        <rFont val="Times New Roman"/>
      </rPr>
      <t>Karawang</t>
    </r>
    <r>
      <rPr>
        <b/>
        <sz val="11"/>
        <color theme="1"/>
        <rFont val="Times New Roman"/>
      </rPr>
      <t xml:space="preserve"> 41 colly</t>
    </r>
  </si>
  <si>
    <t xml:space="preserve">TKBM Bongkar 70K </t>
  </si>
  <si>
    <t>027788</t>
  </si>
  <si>
    <t xml:space="preserve">W 8147 UO </t>
  </si>
  <si>
    <t>DMA JAKARTA</t>
  </si>
  <si>
    <r>
      <rPr>
        <sz val="11"/>
        <color theme="1"/>
        <rFont val="Times New Roman"/>
      </rPr>
      <t xml:space="preserve">DMA SBY </t>
    </r>
    <r>
      <rPr>
        <b/>
        <sz val="11"/>
        <color theme="1"/>
        <rFont val="Times New Roman"/>
      </rPr>
      <t>BONGKAR BESOK PAGI JAM 7</t>
    </r>
  </si>
  <si>
    <t>TKBM BONGKAR 187,200</t>
  </si>
  <si>
    <t xml:space="preserve"> SJ 2600002193</t>
  </si>
  <si>
    <t>089652268201</t>
  </si>
  <si>
    <t>RS Siloam Karawaci</t>
  </si>
  <si>
    <t xml:space="preserve">Siloam Lippo Karawaci, Jl. Jend. Sudirman No.6, Bencongan, Kecamatan Kelapa Dua, Kabupaten Tangerang, Banten 15810
</t>
  </si>
  <si>
    <t xml:space="preserve">Warehouse Infinia Jakarta </t>
  </si>
  <si>
    <t>Rajawali Gedangan Sidoarjo</t>
  </si>
  <si>
    <t>Unggul CAM</t>
  </si>
  <si>
    <t>027043</t>
  </si>
  <si>
    <t xml:space="preserve">S 8075 UO </t>
  </si>
  <si>
    <t>085137528965</t>
  </si>
  <si>
    <r>
      <rPr>
        <sz val="11"/>
        <color theme="1"/>
        <rFont val="Times New Roman"/>
      </rPr>
      <t xml:space="preserve">CV Mitra Niaga Mandiri </t>
    </r>
    <r>
      <rPr>
        <b/>
        <sz val="11"/>
        <color theme="1"/>
        <rFont val="Times New Roman"/>
      </rPr>
      <t>KLATEN 2.496,36 Dor SOLO</t>
    </r>
  </si>
  <si>
    <t>DOR SOLO</t>
  </si>
  <si>
    <r>
      <rPr>
        <sz val="11"/>
        <color theme="1"/>
        <rFont val="Times New Roman"/>
      </rPr>
      <t xml:space="preserve">CV Mitra Niaga Mandiri </t>
    </r>
    <r>
      <rPr>
        <b/>
        <sz val="11"/>
        <color theme="1"/>
        <rFont val="Times New Roman"/>
      </rPr>
      <t>SUKOHARJO 2.809,92 Dor Dor SOLO</t>
    </r>
  </si>
  <si>
    <r>
      <rPr>
        <sz val="11"/>
        <color theme="1"/>
        <rFont val="Times New Roman"/>
      </rPr>
      <t xml:space="preserve"> CV. Mitra Niaga Mandiri </t>
    </r>
    <r>
      <rPr>
        <b/>
        <sz val="11"/>
        <color theme="1"/>
        <rFont val="Times New Roman"/>
      </rPr>
      <t>SOLO 600 Kg Dor SOLO</t>
    </r>
    <r>
      <rPr>
        <sz val="11"/>
        <color theme="1"/>
        <rFont val="Times New Roman"/>
      </rPr>
      <t xml:space="preserve">
</t>
    </r>
  </si>
  <si>
    <r>
      <rPr>
        <sz val="11"/>
        <color theme="1"/>
        <rFont val="Times New Roman"/>
      </rPr>
      <t xml:space="preserve">Madiun </t>
    </r>
    <r>
      <rPr>
        <b/>
        <sz val="11"/>
        <color theme="1"/>
        <rFont val="Times New Roman"/>
      </rPr>
      <t>SBLM JAM 7 UDAH TIBA DILOKSI</t>
    </r>
  </si>
  <si>
    <r>
      <rPr>
        <sz val="11"/>
        <color theme="1"/>
        <rFont val="Times New Roman"/>
      </rPr>
      <t xml:space="preserve">Madiun </t>
    </r>
    <r>
      <rPr>
        <b/>
        <sz val="11"/>
        <color theme="1"/>
        <rFont val="Times New Roman"/>
      </rPr>
      <t>Trouble AKI</t>
    </r>
  </si>
  <si>
    <t>JABSEN</t>
  </si>
  <si>
    <t>W 8273 UO</t>
  </si>
  <si>
    <t xml:space="preserve"> Jebsen Lingkar Timur Sidoarjo </t>
  </si>
  <si>
    <t xml:space="preserve">PT Surya Pratista Utama Wonoayu Sidoarjo </t>
  </si>
  <si>
    <t>B 9604 FXR</t>
  </si>
  <si>
    <t xml:space="preserve"> EBC Bali</t>
  </si>
  <si>
    <t>Warehouse SBY</t>
  </si>
  <si>
    <t>004884</t>
  </si>
  <si>
    <t>KOLANG</t>
  </si>
  <si>
    <t>W 8297 UO</t>
  </si>
  <si>
    <t>085767060248</t>
  </si>
  <si>
    <r>
      <t xml:space="preserve">Bali </t>
    </r>
    <r>
      <rPr>
        <b/>
        <sz val="11"/>
        <color theme="1"/>
        <rFont val="Times New Roman"/>
      </rPr>
      <t>SBLM JAM 9 SUDAH DILOKASI</t>
    </r>
  </si>
  <si>
    <t>Eko CAM</t>
  </si>
  <si>
    <r>
      <rPr>
        <sz val="11"/>
        <color theme="1"/>
        <rFont val="Times New Roman"/>
      </rPr>
      <t xml:space="preserve">Eka FFI - Giezmart Plaza (Graha Anugerah) </t>
    </r>
    <r>
      <rPr>
        <b/>
        <sz val="11"/>
        <color theme="1"/>
        <rFont val="Times New Roman"/>
      </rPr>
      <t>TANPA TOL PANJANG,PAKAI TKBM</t>
    </r>
  </si>
  <si>
    <t>Jl. KH. Guru Amin No.17A 7, RT.7/RW.9, Kec. Pancoran, Jakarta Selatan - 12780</t>
  </si>
  <si>
    <t xml:space="preserve">TKBM Bongkar 200K </t>
  </si>
  <si>
    <t xml:space="preserve"> W 8212 UO </t>
  </si>
  <si>
    <t>Pelni Bali</t>
  </si>
  <si>
    <t xml:space="preserve">S 8133 UW </t>
  </si>
  <si>
    <r>
      <t xml:space="preserve">Mattel Cikarang </t>
    </r>
    <r>
      <rPr>
        <b/>
        <sz val="11"/>
        <color theme="1"/>
        <rFont val="Times New Roman"/>
      </rPr>
      <t>EXSPRESS</t>
    </r>
  </si>
  <si>
    <t xml:space="preserve">TKBM BONGKAR 150K </t>
  </si>
  <si>
    <t>DR1126070076 + DR1126070082 + DR1126070078 + DR1126070077 + DR1126070079 + DR1126070080 + DR1126070081 +</t>
  </si>
  <si>
    <r>
      <rPr>
        <sz val="11"/>
        <color theme="1"/>
        <rFont val="Times New Roman"/>
      </rPr>
      <t xml:space="preserve">UMUM </t>
    </r>
    <r>
      <rPr>
        <b/>
        <sz val="11"/>
        <color theme="1"/>
        <rFont val="Times New Roman"/>
      </rPr>
      <t>(CS PAK SURIAH)</t>
    </r>
  </si>
  <si>
    <t>J&amp;T Yogyakarta</t>
  </si>
  <si>
    <t xml:space="preserve">HARGA 1,8 JT (1,260 JT </t>
  </si>
  <si>
    <t>000727</t>
  </si>
  <si>
    <t xml:space="preserve">B 9767 SYP </t>
  </si>
  <si>
    <t>PT Medika Maesindo Global</t>
  </si>
  <si>
    <t>Jl. Raya Krangan - Pringsurat, Ngabeyan, Nguwet, Kec. Kranggan, Kabupaten Temanggung, Jawa Tengah 56271</t>
  </si>
  <si>
    <t>PT. Wahana Lintas BATAM JKT (PT. SARIFA MEDIKA RAPHA PEKANBARU)</t>
  </si>
  <si>
    <t xml:space="preserve">TKBM BONGKAR 50K </t>
  </si>
  <si>
    <t>028641</t>
  </si>
  <si>
    <t>081331526309</t>
  </si>
  <si>
    <t>PT. Enseval Putera Megatrading Denpasar</t>
  </si>
  <si>
    <t>Jl. Raya Sempidi No.115, Lukluk, Kec. Mengwi, Kabupaten Badung, Bali 80351</t>
  </si>
  <si>
    <r>
      <rPr>
        <sz val="11"/>
        <color theme="1"/>
        <rFont val="Times New Roman"/>
      </rPr>
      <t xml:space="preserve">EPM Semarang </t>
    </r>
    <r>
      <rPr>
        <b/>
        <sz val="11"/>
        <color theme="1"/>
        <rFont val="Times New Roman"/>
      </rPr>
      <t>TIBA DILOKASI MUAT JAM 1</t>
    </r>
  </si>
  <si>
    <t>Roy CAM</t>
  </si>
  <si>
    <t>TKBM MUAT 250K / TKBM BONGKAR 232.400K</t>
  </si>
  <si>
    <t>0314/WHS-DPS/VII/2026</t>
  </si>
  <si>
    <r>
      <rPr>
        <sz val="11"/>
        <color theme="1"/>
        <rFont val="Times New Roman"/>
      </rPr>
      <t xml:space="preserve">Depo Jember </t>
    </r>
    <r>
      <rPr>
        <b/>
        <sz val="11"/>
        <color theme="1"/>
        <rFont val="Times New Roman"/>
      </rPr>
      <t>SBLM JAM 8 SDH DILOKASI</t>
    </r>
  </si>
  <si>
    <t>TKBM BONGKAR 300K</t>
  </si>
  <si>
    <t xml:space="preserve"> Perak Atambua</t>
  </si>
  <si>
    <t>TKBM BONGKAR 70K</t>
  </si>
  <si>
    <t xml:space="preserve"> B 9587 HH</t>
  </si>
  <si>
    <t>081325417406</t>
  </si>
  <si>
    <t xml:space="preserve">DKSH Narogong Bekasi </t>
  </si>
  <si>
    <t>INDOPRIMA Surabaya</t>
  </si>
  <si>
    <t>Hery / Yeni</t>
  </si>
  <si>
    <t>B 9262 KEU</t>
  </si>
  <si>
    <t>081217716508</t>
  </si>
  <si>
    <t>Yuliono / Wawan</t>
  </si>
  <si>
    <t>W 9174 PF</t>
  </si>
  <si>
    <t>087778716166</t>
  </si>
  <si>
    <t xml:space="preserve">Kawanishi Cikarang </t>
  </si>
  <si>
    <t xml:space="preserve">AICE Ice Cream Mojokerto </t>
  </si>
  <si>
    <t>Jeni / Sohib</t>
  </si>
  <si>
    <t>082261853532</t>
  </si>
  <si>
    <t xml:space="preserve">Jerry CAM - Erfan CAM </t>
  </si>
  <si>
    <t>W 8286 UO</t>
  </si>
  <si>
    <t>CARRY</t>
  </si>
  <si>
    <t>L 8414 NJ</t>
  </si>
  <si>
    <r>
      <rPr>
        <sz val="11"/>
        <color theme="1"/>
        <rFont val="Times New Roman"/>
      </rPr>
      <t>Kohler BSD Tangerang</t>
    </r>
    <r>
      <rPr>
        <b/>
        <sz val="11"/>
        <color theme="1"/>
        <rFont val="Times New Roman"/>
      </rPr>
      <t xml:space="preserve"> TOLL PANJANG</t>
    </r>
  </si>
  <si>
    <t xml:space="preserve"> P 8483 UW</t>
  </si>
  <si>
    <t>FUSO BAK MATI</t>
  </si>
  <si>
    <t>085213672068</t>
  </si>
  <si>
    <t xml:space="preserve">Gudang Taco </t>
  </si>
  <si>
    <t xml:space="preserve">Jl. Barengkrajan, Sidorono, Barengkrajan, Kec. Krian, Kabupaten Sidoarjo, Jawa Timur 61262
</t>
  </si>
  <si>
    <t xml:space="preserve">TB RISKI BONDOWOSO </t>
  </si>
  <si>
    <t>Anshori / Didik</t>
  </si>
  <si>
    <t>AD 9782 UA</t>
  </si>
  <si>
    <t>081225668820</t>
  </si>
  <si>
    <t>DKSH Narogong Bekasi</t>
  </si>
  <si>
    <t>Indocipta Wisesa</t>
  </si>
  <si>
    <t>Suprapto / Arman</t>
  </si>
  <si>
    <t>DHL CIKARANG</t>
  </si>
  <si>
    <t>Wito / Arman</t>
  </si>
  <si>
    <t xml:space="preserve"> W 8017 UO</t>
  </si>
  <si>
    <t xml:space="preserve"> '089652268201</t>
  </si>
  <si>
    <t xml:space="preserve">NCS P&amp;G Karawang </t>
  </si>
  <si>
    <t>TRO LIVE HUB</t>
  </si>
  <si>
    <t>Jl.. Tj.Duren Barat 2 no 88 6, RT/RW 06/05,Tj Duren Utara,Kec Grogol Petamburan,Kota Jakarta Barat,Daerah Khusuh Ibu Kota Jakarta 11470 
(Depan RM Cinto Bundo)</t>
  </si>
  <si>
    <t xml:space="preserve">TKBM BONGKAR 100K </t>
  </si>
  <si>
    <t xml:space="preserve">YCH Travel Blue </t>
  </si>
  <si>
    <t>S 8684 UX + W 8188 PV</t>
  </si>
  <si>
    <t>Pondok Ungu, Komplek Pergudangan Widya Sakti Kusuma, Jl. Harapan Baru Raya Jl. Wahab Affan Blok B 18, RT.006/RW.007, Medan Satria, Kecamatan Medan Satria Bekasi</t>
  </si>
  <si>
    <t xml:space="preserve">WH Smith Bali </t>
  </si>
  <si>
    <t>Adi CAM - Erfan CAM</t>
  </si>
  <si>
    <t xml:space="preserve">TKBM BONGKAR 200K </t>
  </si>
  <si>
    <t xml:space="preserve">BGR Bali </t>
  </si>
  <si>
    <t>Jalan Hr. Moch. Mangoendiprojo No.266, Jambe, Banjarkemantren, Kec. Buduran, Kabupaten Sidoarjo, Jawa Timur 61252</t>
  </si>
  <si>
    <t>Budi Dalbo + Imam CAM</t>
  </si>
  <si>
    <t>Taco Casaland Pergudangan (Dua) blok C6 gudang TACO Jl. Barengkrajan, Sidorono, Barengkrajan, Kec. Krian, Kabupaten Sidoarjo, Jawa Timur 61262</t>
  </si>
  <si>
    <t xml:space="preserve">Toko Global Jaya PERAK SBY </t>
  </si>
  <si>
    <t xml:space="preserve"> L 8168 AC </t>
  </si>
  <si>
    <t>081233913209</t>
  </si>
  <si>
    <t xml:space="preserve"> PT. Setvi Tunas Utama </t>
  </si>
  <si>
    <t>Jl. Kenjeran 303 II, Surabaya</t>
  </si>
  <si>
    <t>Gudang Setvi Nambangan</t>
  </si>
  <si>
    <t>Kawasan Komersial Fira 51 Blok B-23 Jl. Nambangan No.173, Kedung Cowek, Kec. Bulak, Surabaya, Jawa Timur 60125"</t>
  </si>
  <si>
    <t>Rohman / Edi</t>
  </si>
  <si>
    <t>1.</t>
  </si>
  <si>
    <t>YCH</t>
  </si>
  <si>
    <t xml:space="preserve"> B 9767 SYP </t>
  </si>
  <si>
    <t xml:space="preserve"> '089630197704</t>
  </si>
  <si>
    <r>
      <rPr>
        <sz val="11"/>
        <color theme="1"/>
        <rFont val="Times New Roman"/>
      </rPr>
      <t>CV Graha Central Electronik -</t>
    </r>
    <r>
      <rPr>
        <b/>
        <sz val="11"/>
        <color theme="1"/>
        <rFont val="Times New Roman"/>
      </rPr>
      <t xml:space="preserve"> Jayapura 32pcs | 1,4cbm</t>
    </r>
  </si>
  <si>
    <t>Papua</t>
  </si>
  <si>
    <t>Jerry CAM - Erfan CAM</t>
  </si>
  <si>
    <t>8007100143 (Di Serahkan Ke Finance Tgl 06 Juli 2026)</t>
  </si>
  <si>
    <r>
      <rPr>
        <sz val="11"/>
        <color theme="1"/>
        <rFont val="Times New Roman"/>
      </rPr>
      <t xml:space="preserve">CV Graha Central Electronik - </t>
    </r>
    <r>
      <rPr>
        <b/>
        <sz val="11"/>
        <color theme="1"/>
        <rFont val="Times New Roman"/>
      </rPr>
      <t>Jayapura 120pcs | 0,6cbm</t>
    </r>
  </si>
  <si>
    <t>8007100142 (Di Serahkan Ke Finance Tgl 06 Juli 2026)</t>
  </si>
  <si>
    <r>
      <rPr>
        <sz val="11"/>
        <color theme="1"/>
        <rFont val="Times New Roman"/>
      </rPr>
      <t>CV Graha Central Electronik -</t>
    </r>
    <r>
      <rPr>
        <b/>
        <sz val="11"/>
        <color theme="1"/>
        <rFont val="Times New Roman"/>
      </rPr>
      <t xml:space="preserve"> Jayapura 16pcs | 0,8cbm  
</t>
    </r>
  </si>
  <si>
    <t>8007138852 (Di Serahkan Ke Finance Tgl 06 Juli 2026)</t>
  </si>
  <si>
    <r>
      <rPr>
        <sz val="11"/>
        <color theme="1"/>
        <rFont val="Times New Roman"/>
      </rPr>
      <t xml:space="preserve">Padma Bandung </t>
    </r>
    <r>
      <rPr>
        <b/>
        <sz val="11"/>
        <color theme="1"/>
        <rFont val="Times New Roman"/>
      </rPr>
      <t>TIBA DILOKASI JAM 9</t>
    </r>
  </si>
  <si>
    <t xml:space="preserve">Koat Sejahtera Jaya Gianyar Bali </t>
  </si>
  <si>
    <t xml:space="preserve">UD Eka Karya Jaya Klungkung Bali </t>
  </si>
  <si>
    <r>
      <rPr>
        <sz val="11"/>
        <color theme="1"/>
        <rFont val="Times New Roman"/>
      </rPr>
      <t>UMUM</t>
    </r>
    <r>
      <rPr>
        <b/>
        <sz val="11"/>
        <color theme="1"/>
        <rFont val="Times New Roman"/>
      </rPr>
      <t xml:space="preserve"> (CS PAK SURIAH)</t>
    </r>
  </si>
  <si>
    <t xml:space="preserve">Gudang TAS </t>
  </si>
  <si>
    <t xml:space="preserve">Silvia - Indah Jaya Ruko Atrium </t>
  </si>
  <si>
    <r>
      <t xml:space="preserve">Jakarta </t>
    </r>
    <r>
      <rPr>
        <b/>
        <sz val="11"/>
        <color theme="1"/>
        <rFont val="Times New Roman"/>
      </rPr>
      <t>berangkat jam 3</t>
    </r>
  </si>
  <si>
    <r>
      <rPr>
        <sz val="11"/>
        <color theme="1"/>
        <rFont val="Times New Roman"/>
      </rPr>
      <t xml:space="preserve">W 8011 US </t>
    </r>
    <r>
      <rPr>
        <b/>
        <sz val="11"/>
        <color theme="1"/>
        <rFont val="Times New Roman"/>
      </rPr>
      <t>UNIT NAVY CDE BARU</t>
    </r>
  </si>
  <si>
    <t xml:space="preserve">Uniqpack pengambilan bandara  Asrama Haji </t>
  </si>
  <si>
    <t xml:space="preserve">Intiland SBY </t>
  </si>
  <si>
    <t xml:space="preserve">YCH Philips
</t>
  </si>
  <si>
    <r>
      <rPr>
        <sz val="11"/>
        <color theme="1"/>
        <rFont val="Times New Roman"/>
      </rPr>
      <t xml:space="preserve">PT Aspirasi Hidup Indonesia </t>
    </r>
    <r>
      <rPr>
        <b/>
        <sz val="11"/>
        <color theme="1"/>
        <rFont val="Times New Roman"/>
      </rPr>
      <t>Sidoarjo 610pcs | 1,3cbm</t>
    </r>
  </si>
  <si>
    <t>Jerry CAM</t>
  </si>
  <si>
    <t>330516394 (Di Serahkan ke Finance Tgl 09 Juli 2026)</t>
  </si>
  <si>
    <t xml:space="preserve">Bandara juanda uniqpack </t>
  </si>
  <si>
    <t>Asrama Haji Sukokilo</t>
  </si>
  <si>
    <t>Bandara juanda uniqpack + WH CAM SDA</t>
  </si>
  <si>
    <t xml:space="preserve">W 8081 UO </t>
  </si>
  <si>
    <t>CDEL</t>
  </si>
  <si>
    <t>WareHouse CAM SDA</t>
  </si>
  <si>
    <t xml:space="preserve">S 8077 UW </t>
  </si>
  <si>
    <t>085801044859</t>
  </si>
  <si>
    <t xml:space="preserve">Pergudangan Taman Tekno BSD Blok A2-16 Tanggerang </t>
  </si>
  <si>
    <t>Yasin CAM</t>
  </si>
  <si>
    <t>W 8212 UO + S 8631 UW</t>
  </si>
  <si>
    <t>WareHouse SBY</t>
  </si>
  <si>
    <t>WareHouse Yogyakarta</t>
  </si>
  <si>
    <t xml:space="preserve">Andre CAM - Ferry CAM </t>
  </si>
  <si>
    <t>MJF SMG (PT MANDIRI JAVA FOOD)</t>
  </si>
  <si>
    <t>027047</t>
  </si>
  <si>
    <r>
      <rPr>
        <sz val="11"/>
        <color theme="1"/>
        <rFont val="Times New Roman"/>
      </rPr>
      <t xml:space="preserve"> PT. Javas Tripta Gemala</t>
    </r>
    <r>
      <rPr>
        <b/>
        <sz val="11"/>
        <color theme="1"/>
        <rFont val="Times New Roman"/>
      </rPr>
      <t xml:space="preserve"> SEMARANG 8.724 Ton</t>
    </r>
  </si>
  <si>
    <t>027046</t>
  </si>
  <si>
    <t>CAM  BKS</t>
  </si>
  <si>
    <r>
      <rPr>
        <sz val="11"/>
        <color theme="1"/>
        <rFont val="Times New Roman"/>
      </rPr>
      <t xml:space="preserve"> PT. Jaya Bakti Raharja </t>
    </r>
    <r>
      <rPr>
        <b/>
        <sz val="11"/>
        <color theme="1"/>
        <rFont val="Times New Roman"/>
      </rPr>
      <t>TASIKMALAYA 7.797 Ton</t>
    </r>
  </si>
  <si>
    <t xml:space="preserve">Tasikmalaya </t>
  </si>
  <si>
    <t>027044</t>
  </si>
  <si>
    <t xml:space="preserve"> S 8133 UW </t>
  </si>
  <si>
    <r>
      <rPr>
        <sz val="11"/>
        <color theme="1"/>
        <rFont val="Times New Roman"/>
      </rPr>
      <t xml:space="preserve">PT. Berkat Karya Lestari </t>
    </r>
    <r>
      <rPr>
        <b/>
        <sz val="11"/>
        <color theme="1"/>
        <rFont val="Times New Roman"/>
      </rPr>
      <t>JOMBANG 2.970 Ton</t>
    </r>
  </si>
  <si>
    <t>Deri Cam</t>
  </si>
  <si>
    <t>027045</t>
  </si>
  <si>
    <r>
      <rPr>
        <sz val="11"/>
        <color theme="1"/>
        <rFont val="Times New Roman"/>
      </rPr>
      <t xml:space="preserve">- PT. Berkat Karya Lestari </t>
    </r>
    <r>
      <rPr>
        <b/>
        <sz val="11"/>
        <color theme="1"/>
        <rFont val="Times New Roman"/>
      </rPr>
      <t>SIDOARJO 3.939 (DI RESI Ada 580 Karton)</t>
    </r>
  </si>
  <si>
    <t>025269</t>
  </si>
  <si>
    <t>Padma BANDUNG</t>
  </si>
  <si>
    <t xml:space="preserve">Gudang Bekasi  </t>
  </si>
  <si>
    <t xml:space="preserve">Harga 2,2 JT </t>
  </si>
  <si>
    <t xml:space="preserve"> W 8082 UO</t>
  </si>
  <si>
    <t xml:space="preserve">PT Panasonic Manufacturing Indonesia </t>
  </si>
  <si>
    <t xml:space="preserve">Jln raya Bogor KM 29, pasar rebo jakarta 13710 Indonesia </t>
  </si>
  <si>
    <t>TKBM BONGKAR 150K</t>
  </si>
  <si>
    <t>MOWILEX</t>
  </si>
  <si>
    <t xml:space="preserve"> PT. Mowilex Sidoarjo </t>
  </si>
  <si>
    <t>Pergudangan Ritz Gate Blok AE No. 1 - 2, Bohar Timur, Bohar, Kec. Taman, Kabupaten Sidoarjo, Jawa Timur 61254</t>
  </si>
  <si>
    <t>PT Mowilex Indonesia JKT</t>
  </si>
  <si>
    <t>Jl. Daan Mogot No.2a km 10 no, RT.1/RW.8, Kedaung Kali Angke, Kecamatan Cengkareng, Kota Jakarta Barat, Daerah Khusus Ibukota Jakarta 11710</t>
  </si>
  <si>
    <t>TKBM MUAT 100K</t>
  </si>
  <si>
    <r>
      <rPr>
        <sz val="11"/>
        <color theme="1"/>
        <rFont val="Times New Roman"/>
      </rPr>
      <t xml:space="preserve">PT. Mowilex Indonesia </t>
    </r>
    <r>
      <rPr>
        <b/>
        <sz val="11"/>
        <color theme="1"/>
        <rFont val="Times New Roman"/>
      </rPr>
      <t>CIKANDE</t>
    </r>
  </si>
  <si>
    <t>Jl. Utama Modern Industri Blok. BA No. 7 kawasan Industri Modern Cikande Desa Nambo Udik Cikande Indonesia 42186</t>
  </si>
  <si>
    <t xml:space="preserve"> R 9353 OD</t>
  </si>
  <si>
    <t>085707660383</t>
  </si>
  <si>
    <t>PT. Aneka Medika Indonesia</t>
  </si>
  <si>
    <t>Jl. Raya bogor Km 33.3 No 4, Curug, Kec. Cimanggis, Kota Depok, Jawa Barat 16453</t>
  </si>
  <si>
    <r>
      <rPr>
        <sz val="11"/>
        <color theme="1"/>
        <rFont val="Times New Roman"/>
      </rPr>
      <t xml:space="preserve">RSUD Lakipadada </t>
    </r>
    <r>
      <rPr>
        <b/>
        <sz val="11"/>
        <color theme="1"/>
        <rFont val="Times New Roman"/>
      </rPr>
      <t xml:space="preserve">TURUN CAM SIDOARJO
</t>
    </r>
  </si>
  <si>
    <t>Sucipto / Sohib</t>
  </si>
  <si>
    <r>
      <rPr>
        <sz val="11"/>
        <color theme="1"/>
        <rFont val="Times New Roman"/>
      </rPr>
      <t xml:space="preserve">Bali </t>
    </r>
    <r>
      <rPr>
        <b/>
        <sz val="11"/>
        <color theme="1"/>
        <rFont val="Times New Roman"/>
      </rPr>
      <t>BONGKAR BESOK</t>
    </r>
  </si>
  <si>
    <t xml:space="preserve">Bangun Indah Graha (BIG) SUHUT MALANG </t>
  </si>
  <si>
    <r>
      <t xml:space="preserve">Malang </t>
    </r>
    <r>
      <rPr>
        <b/>
        <sz val="11"/>
        <color theme="1"/>
        <rFont val="Times New Roman"/>
      </rPr>
      <t>Tiba dilokasi Jam 8 Pagi</t>
    </r>
  </si>
  <si>
    <t>PT Sukses Perkasa Forestama MALANG</t>
  </si>
  <si>
    <t xml:space="preserve">PT Esa Jaya Mulia MALANG </t>
  </si>
  <si>
    <t>P 9373 GD</t>
  </si>
  <si>
    <t>083170445310</t>
  </si>
  <si>
    <t>PT Japfa Food Indonesia</t>
  </si>
  <si>
    <t>Jl. Randusari-Nepen Jebolan RT 04 RW 04, Randusari Teras, 57372, Boyolali</t>
  </si>
  <si>
    <t>IYAN / Arman</t>
  </si>
  <si>
    <t>TURUN CAM SEMARANG</t>
  </si>
  <si>
    <t xml:space="preserve"> S 8136 UW</t>
  </si>
  <si>
    <t>085726384898</t>
  </si>
  <si>
    <r>
      <rPr>
        <sz val="11"/>
        <color theme="1"/>
        <rFont val="Times New Roman"/>
      </rPr>
      <t>Padma Bandung</t>
    </r>
    <r>
      <rPr>
        <b/>
        <sz val="11"/>
        <color theme="1"/>
        <rFont val="Times New Roman"/>
      </rPr>
      <t xml:space="preserve"> Langsung Dor</t>
    </r>
  </si>
  <si>
    <t>Maike CAM</t>
  </si>
  <si>
    <r>
      <rPr>
        <sz val="11"/>
        <color theme="1"/>
        <rFont val="Times New Roman"/>
      </rPr>
      <t>BCA KCP Taman Tekno BSD City Serpong Tanggerang</t>
    </r>
    <r>
      <rPr>
        <b/>
        <sz val="11"/>
        <color theme="1"/>
        <rFont val="Times New Roman"/>
      </rPr>
      <t xml:space="preserve"> Langsung Dor</t>
    </r>
  </si>
  <si>
    <t xml:space="preserve">TKBM BONGKAR 300K </t>
  </si>
  <si>
    <t>026352</t>
  </si>
  <si>
    <r>
      <rPr>
        <sz val="11"/>
        <color theme="1"/>
        <rFont val="Times New Roman"/>
      </rPr>
      <t xml:space="preserve">PT. Javas Tripta Mandala SBY </t>
    </r>
    <r>
      <rPr>
        <b/>
        <sz val="11"/>
        <color theme="1"/>
        <rFont val="Times New Roman"/>
      </rPr>
      <t>DOR SIDOARJO 8.597,58 Ton</t>
    </r>
  </si>
  <si>
    <t>TKBM BONGKAR 100K</t>
  </si>
  <si>
    <t>027048</t>
  </si>
  <si>
    <r>
      <t>PT. Javas Tripta Mandala</t>
    </r>
    <r>
      <rPr>
        <b/>
        <sz val="11"/>
        <color theme="1"/>
        <rFont val="Times New Roman"/>
      </rPr>
      <t xml:space="preserve"> DOR BABAT 981,68 KG</t>
    </r>
  </si>
  <si>
    <t>026351</t>
  </si>
  <si>
    <r>
      <rPr>
        <sz val="11"/>
        <color theme="1"/>
        <rFont val="Times New Roman"/>
      </rPr>
      <t>PT. Javas Tripta Mandala</t>
    </r>
    <r>
      <rPr>
        <b/>
        <sz val="11"/>
        <color theme="1"/>
        <rFont val="Times New Roman"/>
      </rPr>
      <t xml:space="preserve"> Dor BABAT 673.34 KG</t>
    </r>
  </si>
  <si>
    <t>02709</t>
  </si>
  <si>
    <r>
      <t>PT. Javas Tripta Mandala</t>
    </r>
    <r>
      <rPr>
        <b/>
        <sz val="11"/>
        <color theme="1"/>
        <rFont val="Times New Roman"/>
      </rPr>
      <t xml:space="preserve"> DOR BABAT 934,82 KG</t>
    </r>
  </si>
  <si>
    <t>027050</t>
  </si>
  <si>
    <r>
      <rPr>
        <sz val="11"/>
        <color theme="1"/>
        <rFont val="Times New Roman"/>
      </rPr>
      <t>PT. Javas Tripta Mandala</t>
    </r>
    <r>
      <rPr>
        <b/>
        <sz val="11"/>
        <color theme="1"/>
        <rFont val="Times New Roman"/>
      </rPr>
      <t xml:space="preserve"> DOR BABAT 1.298,53 Ton</t>
    </r>
  </si>
  <si>
    <t xml:space="preserve"> DKSH Narogong </t>
  </si>
  <si>
    <t xml:space="preserve">W 8286 UO </t>
  </si>
  <si>
    <t>Eka Giezmart Plaza (Graha Anugerah)</t>
  </si>
  <si>
    <t>Jl. KH. Guru Amin No.17A 7 Pancoran Jakarta</t>
  </si>
  <si>
    <r>
      <rPr>
        <sz val="11"/>
        <color theme="1"/>
        <rFont val="Times New Roman"/>
      </rPr>
      <t>Balaraja</t>
    </r>
    <r>
      <rPr>
        <b/>
        <sz val="11"/>
        <color theme="1"/>
        <rFont val="Times New Roman"/>
      </rPr>
      <t xml:space="preserve"> 201 Colly </t>
    </r>
  </si>
  <si>
    <t>J&amp;T Oncall Vicky - PT Kubota Machinery Indonesia cab Gresik - Surabaya</t>
  </si>
  <si>
    <t xml:space="preserve">TKBM BONGKAR 185K </t>
  </si>
  <si>
    <t>021/ALFAJKT/VII/2026 | 022/ALFAJKT/VII/2026</t>
  </si>
  <si>
    <t xml:space="preserve"> Cikokol 43 Colly</t>
  </si>
  <si>
    <t xml:space="preserve">TKBM BONGKAR 40K </t>
  </si>
  <si>
    <t xml:space="preserve">023/ALFAJKT/VII/2026 </t>
  </si>
  <si>
    <r>
      <rPr>
        <sz val="11"/>
        <color theme="1"/>
        <rFont val="Times New Roman"/>
      </rPr>
      <t xml:space="preserve">Bekasi </t>
    </r>
    <r>
      <rPr>
        <b/>
        <sz val="11"/>
        <color theme="1"/>
        <rFont val="Times New Roman"/>
      </rPr>
      <t>47 Colly</t>
    </r>
  </si>
  <si>
    <t>Alim CAM - Nugi CAM</t>
  </si>
  <si>
    <t xml:space="preserve">TKBM BONGKAR 58K </t>
  </si>
  <si>
    <t xml:space="preserve">018/ALFAJKT/VII/2026 </t>
  </si>
  <si>
    <r>
      <rPr>
        <sz val="11"/>
        <color theme="1"/>
        <rFont val="Times New Roman"/>
      </rPr>
      <t xml:space="preserve">Cileungsi </t>
    </r>
    <r>
      <rPr>
        <b/>
        <sz val="11"/>
        <color theme="1"/>
        <rFont val="Times New Roman"/>
      </rPr>
      <t xml:space="preserve">35 Colly </t>
    </r>
  </si>
  <si>
    <t xml:space="preserve">Cileungsi </t>
  </si>
  <si>
    <t xml:space="preserve">019/ALFAJKT/VII/2026 </t>
  </si>
  <si>
    <r>
      <rPr>
        <sz val="11"/>
        <color theme="1"/>
        <rFont val="Times New Roman"/>
      </rPr>
      <t xml:space="preserve">Parung </t>
    </r>
    <r>
      <rPr>
        <b/>
        <sz val="11"/>
        <color theme="1"/>
        <rFont val="Times New Roman"/>
      </rPr>
      <t>42 Colly</t>
    </r>
  </si>
  <si>
    <t xml:space="preserve">TKBM BONGKAR 53K </t>
  </si>
  <si>
    <t xml:space="preserve">020/ALFAJKT/VII/2026 </t>
  </si>
  <si>
    <r>
      <rPr>
        <sz val="11"/>
        <color theme="1"/>
        <rFont val="Times New Roman"/>
      </rPr>
      <t xml:space="preserve"> S 8662 UX </t>
    </r>
    <r>
      <rPr>
        <b/>
        <sz val="11"/>
        <color theme="1"/>
        <rFont val="Times New Roman"/>
      </rPr>
      <t>WARNA HIJAU BARU</t>
    </r>
  </si>
  <si>
    <t>085731821475</t>
  </si>
  <si>
    <r>
      <rPr>
        <sz val="11"/>
        <color theme="1"/>
        <rFont val="Times New Roman"/>
      </rPr>
      <t>ALFAMART SERANG</t>
    </r>
    <r>
      <rPr>
        <b/>
        <sz val="11"/>
        <color theme="1"/>
        <rFont val="Times New Roman"/>
      </rPr>
      <t xml:space="preserve"> JAM1 SIANG</t>
    </r>
  </si>
  <si>
    <t xml:space="preserve">Bapak Eman / Bapak Sofyan PIC DC SERANG
Jl. Raya Cilegon Km. 3,5, Legok, Kel. Drangong, Kec. Taktakan, Kota Serang, Banten </t>
  </si>
  <si>
    <t xml:space="preserve">TKBM BONGKAR 249K </t>
  </si>
  <si>
    <t>AB 8084 DT</t>
  </si>
  <si>
    <t>082143121724</t>
  </si>
  <si>
    <t xml:space="preserve"> PT  Aneka Medika Indonesia </t>
  </si>
  <si>
    <t>RSUD Kabelota</t>
  </si>
  <si>
    <t>Jl. Trans Palu-Donggala No.32, Kabonga Besar, Kec. Banawa, Kabupaten Donggala, Sulawesi Tengah 94351</t>
  </si>
  <si>
    <t>Yoyok / Sohib - SUKAMDI</t>
  </si>
  <si>
    <t>UANG INAP 200K (Muat Tgl 8 Juli 2026)</t>
  </si>
  <si>
    <t>004885</t>
  </si>
  <si>
    <t>T 8045 ZW</t>
  </si>
  <si>
    <t>0895423924361</t>
  </si>
  <si>
    <t>Hendra / Maulidy</t>
  </si>
  <si>
    <t>W 8807 QA</t>
  </si>
  <si>
    <t>089665683302</t>
  </si>
  <si>
    <t>Depo Kediri</t>
  </si>
  <si>
    <t xml:space="preserve"> Abdillah / Bahrudin</t>
  </si>
  <si>
    <t>TKBM BONGKAR 111.750K</t>
  </si>
  <si>
    <r>
      <rPr>
        <sz val="11"/>
        <color theme="1"/>
        <rFont val="Times New Roman"/>
      </rPr>
      <t xml:space="preserve">W 8011 US </t>
    </r>
    <r>
      <rPr>
        <b/>
        <sz val="11"/>
        <color theme="1"/>
        <rFont val="Times New Roman"/>
      </rPr>
      <t>NAVY BARU</t>
    </r>
  </si>
  <si>
    <t xml:space="preserve">Bangun Indah Graha (BIG) MALANG </t>
  </si>
  <si>
    <t>DITECH Pusat Teknik &amp; Bangun BLITAR</t>
  </si>
  <si>
    <r>
      <rPr>
        <sz val="11"/>
        <color theme="1"/>
        <rFont val="Times New Roman"/>
      </rPr>
      <t xml:space="preserve">W 8011 US </t>
    </r>
    <r>
      <rPr>
        <b/>
        <sz val="11"/>
        <color theme="1"/>
        <rFont val="Times New Roman"/>
      </rPr>
      <t>NAVY BARU</t>
    </r>
  </si>
  <si>
    <r>
      <rPr>
        <sz val="11"/>
        <color theme="1"/>
        <rFont val="Times New Roman"/>
      </rPr>
      <t>Berlian Industrindo Gemilang</t>
    </r>
    <r>
      <rPr>
        <b/>
        <sz val="11"/>
        <color theme="1"/>
        <rFont val="Times New Roman"/>
      </rPr>
      <t xml:space="preserve"> AMBIL RETUR BLITAR </t>
    </r>
  </si>
  <si>
    <t>Jl. Cemara No.88, Karangsari, Kec. Sukorejo, Kota Blitar, Jawa Timur 66136</t>
  </si>
  <si>
    <r>
      <rPr>
        <sz val="11"/>
        <color theme="1"/>
        <rFont val="Times New Roman"/>
      </rPr>
      <t xml:space="preserve">PT Taco Krian </t>
    </r>
    <r>
      <rPr>
        <b/>
        <sz val="11"/>
        <color theme="1"/>
        <rFont val="Times New Roman"/>
      </rPr>
      <t>AMBIL RETUR, IKUT RETAIL</t>
    </r>
  </si>
  <si>
    <t>082118149486</t>
  </si>
  <si>
    <r>
      <rPr>
        <sz val="11"/>
        <color theme="1"/>
        <rFont val="Times New Roman"/>
      </rPr>
      <t>UMUM</t>
    </r>
    <r>
      <rPr>
        <b/>
        <sz val="11"/>
        <color theme="1"/>
        <rFont val="Times New Roman"/>
      </rPr>
      <t xml:space="preserve"> CS PAK SIS</t>
    </r>
  </si>
  <si>
    <t>W 8285 UO</t>
  </si>
  <si>
    <t>Tragabox</t>
  </si>
  <si>
    <t>0819388811076</t>
  </si>
  <si>
    <t>PT Asca Perak</t>
  </si>
  <si>
    <t>PT Sumber Air Dewa</t>
  </si>
  <si>
    <r>
      <rPr>
        <sz val="11"/>
        <color theme="1"/>
        <rFont val="Times New Roman"/>
      </rPr>
      <t xml:space="preserve">Bali </t>
    </r>
    <r>
      <rPr>
        <b/>
        <sz val="11"/>
        <color theme="1"/>
        <rFont val="Times New Roman"/>
      </rPr>
      <t>SBLM JAM 7 SAMPAI DILOKASI</t>
    </r>
  </si>
  <si>
    <r>
      <rPr>
        <sz val="11"/>
        <color theme="1"/>
        <rFont val="Times New Roman"/>
      </rPr>
      <t xml:space="preserve">Jember </t>
    </r>
    <r>
      <rPr>
        <b/>
        <sz val="11"/>
        <color theme="1"/>
        <rFont val="Times New Roman"/>
      </rPr>
      <t>SBLM JAM 8</t>
    </r>
  </si>
  <si>
    <r>
      <rPr>
        <sz val="11"/>
        <color theme="1"/>
        <rFont val="Times New Roman"/>
      </rPr>
      <t xml:space="preserve">MALANG </t>
    </r>
    <r>
      <rPr>
        <b/>
        <sz val="11"/>
        <color theme="1"/>
        <rFont val="Times New Roman"/>
      </rPr>
      <t>JAM 12 SDH DILOKASI</t>
    </r>
  </si>
  <si>
    <t>TKBM BONGKAR 250K</t>
  </si>
  <si>
    <r>
      <rPr>
        <sz val="11"/>
        <color theme="1"/>
        <rFont val="Times New Roman"/>
      </rPr>
      <t xml:space="preserve">Pak Ariyadi (Pak Benna) </t>
    </r>
    <r>
      <rPr>
        <b/>
        <sz val="11"/>
        <color theme="1"/>
        <rFont val="Times New Roman"/>
      </rPr>
      <t>SBLM JAM 9 SDH DILOKASI</t>
    </r>
  </si>
  <si>
    <t>Jl. Cempaka Putih Tengah XVII No.9, Kec. Cempaka Putih, Jakarta Pusat - 10510</t>
  </si>
  <si>
    <t>003/WA/VII/2026</t>
  </si>
  <si>
    <t>026353</t>
  </si>
  <si>
    <t>0895365261313</t>
  </si>
  <si>
    <r>
      <rPr>
        <sz val="11"/>
        <color theme="1"/>
        <rFont val="Times New Roman"/>
      </rPr>
      <t xml:space="preserve"> PT. Jaya Bakti Raharja </t>
    </r>
    <r>
      <rPr>
        <b/>
        <sz val="11"/>
        <color theme="1"/>
        <rFont val="Times New Roman"/>
      </rPr>
      <t>Bandung 3.676,27 Ton</t>
    </r>
  </si>
  <si>
    <t>Reza CAM</t>
  </si>
  <si>
    <t>029445</t>
  </si>
  <si>
    <t xml:space="preserve">PT Acer Indonesia </t>
  </si>
  <si>
    <t xml:space="preserve">The plaza office tower, lantai 42, jalan M.H Thamrin No. 28-3 kec. Menteng kota jakarta pusat </t>
  </si>
  <si>
    <t xml:space="preserve">Komang Joshua Denpasar </t>
  </si>
  <si>
    <t xml:space="preserve">Jalan Tukad pulet No. 1 panjer Denpasar Bali </t>
  </si>
  <si>
    <t>Rahadi CAM - Amin CAM</t>
  </si>
  <si>
    <t xml:space="preserve">W 8274 UO </t>
  </si>
  <si>
    <t>TragaBox</t>
  </si>
  <si>
    <t xml:space="preserve"> PT. Mowilex Sidoarjo</t>
  </si>
  <si>
    <t xml:space="preserve">PT. JAYA ANUGERAH YAKUN ABADI TUBAN </t>
  </si>
  <si>
    <t>BAWA RETURAN 4 BARANG 'Precoat - Water Profing Sealer 20LTR'</t>
  </si>
  <si>
    <r>
      <rPr>
        <sz val="11"/>
        <color theme="1"/>
        <rFont val="Times New Roman"/>
      </rPr>
      <t xml:space="preserve"> W 8011 US </t>
    </r>
    <r>
      <rPr>
        <b/>
        <sz val="11"/>
        <color theme="1"/>
        <rFont val="Times New Roman"/>
      </rPr>
      <t>UNIT BARU NAVY</t>
    </r>
  </si>
  <si>
    <r>
      <rPr>
        <sz val="11"/>
        <color theme="1"/>
        <rFont val="Times New Roman"/>
      </rPr>
      <t xml:space="preserve">Bangun Indah Graha LA </t>
    </r>
    <r>
      <rPr>
        <b/>
        <sz val="11"/>
        <color theme="1"/>
        <rFont val="Times New Roman"/>
      </rPr>
      <t xml:space="preserve">BIG MALANG </t>
    </r>
  </si>
  <si>
    <t xml:space="preserve">PT Esa Jaya Mulia Sentosa MALANG </t>
  </si>
  <si>
    <r>
      <rPr>
        <sz val="11"/>
        <color theme="1"/>
        <rFont val="Times New Roman"/>
      </rPr>
      <t xml:space="preserve">UMUM </t>
    </r>
    <r>
      <rPr>
        <b/>
        <sz val="11"/>
        <color theme="1"/>
        <rFont val="Times New Roman"/>
      </rPr>
      <t>CS PAK SURYA</t>
    </r>
  </si>
  <si>
    <t>J&amp;T Express Jateng Gateway</t>
  </si>
  <si>
    <t xml:space="preserve"> Jl. Siliwangi, Krapyak, Kec. Semarang Barat, Kota Semarang, Jawa Tengah 50177</t>
  </si>
  <si>
    <r>
      <rPr>
        <sz val="11"/>
        <color theme="1"/>
        <rFont val="Times New Roman"/>
      </rPr>
      <t xml:space="preserve">GATEWAY ( J&amp;T Express ) </t>
    </r>
    <r>
      <rPr>
        <b/>
        <sz val="11"/>
        <color theme="1"/>
        <rFont val="Times New Roman"/>
      </rPr>
      <t>MUAT JAM 2</t>
    </r>
  </si>
  <si>
    <t xml:space="preserve"> Pergudangan H. mukmin, Jl. Armada, Kaligandu, Serang, Serang City, Banten 42116</t>
  </si>
  <si>
    <t>1.800.000K</t>
  </si>
  <si>
    <r>
      <rPr>
        <sz val="11"/>
        <color theme="1"/>
        <rFont val="Times New Roman"/>
      </rPr>
      <t xml:space="preserve">UMUM </t>
    </r>
    <r>
      <rPr>
        <b/>
        <sz val="11"/>
        <color theme="1"/>
        <rFont val="Times New Roman"/>
      </rPr>
      <t>CS PAK SIS</t>
    </r>
  </si>
  <si>
    <t xml:space="preserve">W 9177 PG + W 8081 UO </t>
  </si>
  <si>
    <t>085784907740</t>
  </si>
  <si>
    <r>
      <rPr>
        <sz val="11"/>
        <color theme="1"/>
        <rFont val="Times New Roman"/>
      </rPr>
      <t>Surabaya</t>
    </r>
    <r>
      <rPr>
        <b/>
        <sz val="11"/>
        <color theme="1"/>
        <rFont val="Times New Roman"/>
      </rPr>
      <t xml:space="preserve"> CS PAK SIS</t>
    </r>
  </si>
  <si>
    <t>Jl. Merr Boulevard Penjaringan Sari, Kec Rungkut, Surabaya Jawa Timur</t>
  </si>
  <si>
    <t>Cluster Monte Cavello Blok EB27 No.30, Perumahan Grand Wisata, Kec Mustika Jaya, Kota Bekasi</t>
  </si>
  <si>
    <t>Fitrian CAM - Egi CAM - Alim CAM</t>
  </si>
  <si>
    <t>KARGOTECH</t>
  </si>
  <si>
    <t>PT Kimberly Clark Softex</t>
  </si>
  <si>
    <t>Jalan Trans Heksa, Kawasan Industri KJIE, Wanasari, Kec. Telukjambe Bar., Karawang, Jawa Barat 41361</t>
  </si>
  <si>
    <r>
      <rPr>
        <sz val="11"/>
        <color theme="1"/>
        <rFont val="Times New Roman"/>
      </rPr>
      <t xml:space="preserve">JKT Utara </t>
    </r>
    <r>
      <rPr>
        <b/>
        <sz val="11"/>
        <color theme="1"/>
        <rFont val="Times New Roman"/>
      </rPr>
      <t>JAM 8 SAMPAI LOKASI</t>
    </r>
  </si>
  <si>
    <t>Taman Pegangsaan indah Blok B no 21 -22 Pegangsaan Dua, Kec. Klp. Gading, Jkt Utara</t>
  </si>
  <si>
    <t xml:space="preserve">TKBM MUAT 70K </t>
  </si>
  <si>
    <t xml:space="preserve"> W 8212 UO</t>
  </si>
  <si>
    <r>
      <rPr>
        <sz val="11"/>
        <color theme="1"/>
        <rFont val="Times New Roman"/>
      </rPr>
      <t>BCA KCP Kas Limpung Batang</t>
    </r>
    <r>
      <rPr>
        <b/>
        <sz val="11"/>
        <color theme="1"/>
        <rFont val="Times New Roman"/>
      </rPr>
      <t xml:space="preserve"> JAM 11 SAMPAI DILOKASI</t>
    </r>
  </si>
  <si>
    <t>BCA KCP KBN Cakung JKT Utara</t>
  </si>
  <si>
    <t>087750548844</t>
  </si>
  <si>
    <t>PT. Arisamandiri Pratama</t>
  </si>
  <si>
    <t>Jl. Raya Karangawen KM 20 Demak 59566 Jawa Tengah</t>
  </si>
  <si>
    <r>
      <rPr>
        <sz val="11"/>
        <color theme="1"/>
        <rFont val="Times New Roman"/>
      </rPr>
      <t>Elsa EC Bali</t>
    </r>
    <r>
      <rPr>
        <b/>
        <sz val="11"/>
        <color theme="1"/>
        <rFont val="Times New Roman"/>
      </rPr>
      <t xml:space="preserve"> SM Discovery Shopping Mall Bali </t>
    </r>
  </si>
  <si>
    <r>
      <rPr>
        <sz val="11"/>
        <color theme="1"/>
        <rFont val="Times New Roman"/>
      </rPr>
      <t xml:space="preserve">Jl Kartika Plaza Kuta Kec Kuta Badung Bali. </t>
    </r>
    <r>
      <rPr>
        <b/>
        <sz val="11"/>
        <color theme="1"/>
        <rFont val="Times New Roman"/>
      </rPr>
      <t>KUTE BALI</t>
    </r>
  </si>
  <si>
    <t>Arief CAM</t>
  </si>
  <si>
    <t xml:space="preserve">Panjer Denpasar Bali </t>
  </si>
  <si>
    <t>029491</t>
  </si>
  <si>
    <t>Sinarmas</t>
  </si>
  <si>
    <r>
      <rPr>
        <sz val="11"/>
        <color theme="1"/>
        <rFont val="Times New Roman"/>
      </rPr>
      <t xml:space="preserve"> W 8011 US </t>
    </r>
    <r>
      <rPr>
        <b/>
        <sz val="11"/>
        <color theme="1"/>
        <rFont val="Times New Roman"/>
      </rPr>
      <t>UNIT BARU NAVY</t>
    </r>
  </si>
  <si>
    <r>
      <rPr>
        <sz val="11"/>
        <color theme="1"/>
        <rFont val="Times New Roman"/>
      </rPr>
      <t xml:space="preserve">Sketsa Wallpaper </t>
    </r>
    <r>
      <rPr>
        <b/>
        <sz val="11"/>
        <color theme="1"/>
        <rFont val="Times New Roman"/>
      </rPr>
      <t>RETUR</t>
    </r>
  </si>
  <si>
    <t xml:space="preserve">Leo CAM - Sutarno CAM </t>
  </si>
  <si>
    <r>
      <rPr>
        <sz val="11"/>
        <color theme="1"/>
        <rFont val="Times New Roman"/>
      </rPr>
      <t xml:space="preserve">S 8537 UZ </t>
    </r>
    <r>
      <rPr>
        <b/>
        <sz val="11"/>
        <color theme="1"/>
        <rFont val="Times New Roman"/>
      </rPr>
      <t xml:space="preserve"> MERAH BARU</t>
    </r>
  </si>
  <si>
    <t xml:space="preserve">DNA JAYA GROUP - PT Surya Internasional School KEDIRI </t>
  </si>
  <si>
    <t xml:space="preserve">MITRA TANGGUH REKACIPTA CV - Kapal Api Group SJA KEDIRI </t>
  </si>
  <si>
    <t>PT Catur Sentosa Adiprana Tbk</t>
  </si>
  <si>
    <t>026354</t>
  </si>
  <si>
    <t xml:space="preserve"> S 8077 UW </t>
  </si>
  <si>
    <r>
      <rPr>
        <sz val="11"/>
        <color theme="1"/>
        <rFont val="Times New Roman"/>
      </rPr>
      <t xml:space="preserve">PT jaya bakti raharja </t>
    </r>
    <r>
      <rPr>
        <b/>
        <sz val="11"/>
        <color theme="1"/>
        <rFont val="Times New Roman"/>
      </rPr>
      <t xml:space="preserve">CIREBON 8.091,04 TON
</t>
    </r>
  </si>
  <si>
    <t xml:space="preserve">DKSH Narogong </t>
  </si>
  <si>
    <t xml:space="preserve"> B 9406 FXR</t>
  </si>
  <si>
    <t>PT ENDO</t>
  </si>
  <si>
    <t>Jl. Raya Menganti No.14, Kedurus, Kec. Karangpilang, Surabaya, Jawa Timur 60223</t>
  </si>
  <si>
    <r>
      <rPr>
        <sz val="11"/>
        <color theme="1"/>
        <rFont val="Times New Roman"/>
      </rPr>
      <t xml:space="preserve">GUDANG SML CIBUBUR </t>
    </r>
    <r>
      <rPr>
        <b/>
        <sz val="11"/>
        <color theme="1"/>
        <rFont val="Times New Roman"/>
      </rPr>
      <t xml:space="preserve">TOLL PANJANG </t>
    </r>
  </si>
  <si>
    <t xml:space="preserve">Cibubur JKT </t>
  </si>
  <si>
    <t xml:space="preserve">Distrindo Bakti Wutama MADIUN </t>
  </si>
  <si>
    <t xml:space="preserve">Yuni Indah Plywood MADIUN </t>
  </si>
  <si>
    <t>029299</t>
  </si>
  <si>
    <t>B 9511 BXT</t>
  </si>
  <si>
    <t>085216538818</t>
  </si>
  <si>
    <t xml:space="preserve"> DKSH Narogong Bekasi </t>
  </si>
  <si>
    <t xml:space="preserve"> Citra Warna Sukoharjo</t>
  </si>
  <si>
    <t>Afif / Yeni</t>
  </si>
  <si>
    <t>4112166942</t>
  </si>
  <si>
    <t>026357</t>
  </si>
  <si>
    <t>082213248484</t>
  </si>
  <si>
    <r>
      <rPr>
        <sz val="11"/>
        <color theme="1"/>
        <rFont val="Times New Roman"/>
      </rPr>
      <t xml:space="preserve">PT. Javas Tripta Sejahtera </t>
    </r>
    <r>
      <rPr>
        <b/>
        <sz val="11"/>
        <color theme="1"/>
        <rFont val="Times New Roman"/>
      </rPr>
      <t>CARUBAN 1.808,03 Ton</t>
    </r>
  </si>
  <si>
    <t>Caruban</t>
  </si>
  <si>
    <t>Rizky CAM</t>
  </si>
  <si>
    <t>026358</t>
  </si>
  <si>
    <r>
      <rPr>
        <sz val="11"/>
        <color theme="1"/>
        <rFont val="Times New Roman"/>
      </rPr>
      <t xml:space="preserve">PT. Javas Tripta Sejahtera </t>
    </r>
    <r>
      <rPr>
        <b/>
        <sz val="11"/>
        <color theme="1"/>
        <rFont val="Times New Roman"/>
      </rPr>
      <t>KEDIRI 1.961,28 Ton</t>
    </r>
  </si>
  <si>
    <t>026356</t>
  </si>
  <si>
    <r>
      <rPr>
        <sz val="11"/>
        <color theme="1"/>
        <rFont val="Times New Roman"/>
      </rPr>
      <t xml:space="preserve">PT. Javas Tripta Sejahtera </t>
    </r>
    <r>
      <rPr>
        <b/>
        <sz val="11"/>
        <color theme="1"/>
        <rFont val="Times New Roman"/>
      </rPr>
      <t>BLITAR 1.238,96 Ton</t>
    </r>
  </si>
  <si>
    <t>026355</t>
  </si>
  <si>
    <r>
      <rPr>
        <sz val="11"/>
        <color theme="1"/>
        <rFont val="Times New Roman"/>
      </rPr>
      <t xml:space="preserve">PT. Javas Tripta Sejahtera </t>
    </r>
    <r>
      <rPr>
        <b/>
        <sz val="11"/>
        <color theme="1"/>
        <rFont val="Times New Roman"/>
      </rPr>
      <t>TULUNGAGUNG 2.767,35 Ton</t>
    </r>
  </si>
  <si>
    <t xml:space="preserve">YCH TRAVEL BLUE </t>
  </si>
  <si>
    <t>S 8684 UX + S 8077 UW</t>
  </si>
  <si>
    <t xml:space="preserve">Denpasar Bali </t>
  </si>
  <si>
    <t>4.</t>
  </si>
  <si>
    <t>Reza CAM - Yasin CAM</t>
  </si>
  <si>
    <t>3.</t>
  </si>
  <si>
    <t>2.</t>
  </si>
  <si>
    <t>TKBM BONGKAR 200K</t>
  </si>
  <si>
    <t xml:space="preserve">TBIG Bali </t>
  </si>
  <si>
    <r>
      <t xml:space="preserve">Bali </t>
    </r>
    <r>
      <rPr>
        <b/>
        <sz val="11"/>
        <color theme="1"/>
        <rFont val="Times New Roman"/>
      </rPr>
      <t>JAM 11 SAMPAI DILOKASI</t>
    </r>
  </si>
  <si>
    <t>Helper Bali</t>
  </si>
  <si>
    <t xml:space="preserve"> '085931020309</t>
  </si>
  <si>
    <r>
      <rPr>
        <sz val="11"/>
        <color theme="1"/>
        <rFont val="Times New Roman"/>
      </rPr>
      <t xml:space="preserve">Padma Bandung </t>
    </r>
    <r>
      <rPr>
        <b/>
        <sz val="11"/>
        <color theme="1"/>
        <rFont val="Times New Roman"/>
      </rPr>
      <t>TOLL PANJANG</t>
    </r>
  </si>
  <si>
    <t xml:space="preserve"> W 8081 UO + S 8662 UX</t>
  </si>
  <si>
    <t>Egi Cam - Kurniawan CAM</t>
  </si>
  <si>
    <t>026359</t>
  </si>
  <si>
    <r>
      <rPr>
        <sz val="11"/>
        <color theme="1"/>
        <rFont val="Times New Roman"/>
      </rPr>
      <t xml:space="preserve">PT. Javas Tripta Sejahtera </t>
    </r>
    <r>
      <rPr>
        <b/>
        <sz val="11"/>
        <color theme="1"/>
        <rFont val="Times New Roman"/>
      </rPr>
      <t>BANGIL 2.117,67 Ton</t>
    </r>
  </si>
  <si>
    <t>Bangil</t>
  </si>
  <si>
    <t>026360</t>
  </si>
  <si>
    <r>
      <rPr>
        <sz val="11"/>
        <color theme="1"/>
        <rFont val="Times New Roman"/>
      </rPr>
      <t>PT. Javas Tripta Sejahtera</t>
    </r>
    <r>
      <rPr>
        <b/>
        <sz val="11"/>
        <color theme="1"/>
        <rFont val="Times New Roman"/>
      </rPr>
      <t xml:space="preserve"> MALANG 7.034,55 Ton</t>
    </r>
  </si>
  <si>
    <t>029300</t>
  </si>
  <si>
    <t>H 9479 OV</t>
  </si>
  <si>
    <t>082134034873</t>
  </si>
  <si>
    <t xml:space="preserve"> Mazzoni Sukoharjo </t>
  </si>
  <si>
    <t>Alvian / Sohib</t>
  </si>
  <si>
    <t xml:space="preserve"> S 8629 UW </t>
  </si>
  <si>
    <t>PT.ENDO</t>
  </si>
  <si>
    <t xml:space="preserve">CAM Surabaya + CAM SMG </t>
  </si>
  <si>
    <t xml:space="preserve">Slamet CAM - Doni CAM </t>
  </si>
  <si>
    <t xml:space="preserve">Tulus </t>
  </si>
  <si>
    <r>
      <rPr>
        <b/>
        <sz val="11"/>
        <color theme="1"/>
        <rFont val="Times New Roman"/>
      </rPr>
      <t xml:space="preserve">J&amp;T Oncall Wawan - </t>
    </r>
    <r>
      <rPr>
        <sz val="11"/>
        <color theme="1"/>
        <rFont val="Times New Roman"/>
      </rPr>
      <t>Galaxy Solusindo
Cyber Mall</t>
    </r>
    <r>
      <rPr>
        <b/>
        <sz val="11"/>
        <color theme="1"/>
        <rFont val="Times New Roman"/>
      </rPr>
      <t xml:space="preserve"> </t>
    </r>
    <r>
      <rPr>
        <sz val="11"/>
        <color theme="1"/>
        <rFont val="Times New Roman"/>
      </rPr>
      <t>SF/245 (Lantai 3) (depan cinema21)</t>
    </r>
  </si>
  <si>
    <t>Jl. Raya Langsep No.2 Kecamatan Sukun Kota Malang Jawa Timur - 65146</t>
  </si>
  <si>
    <t>PT Geptronika Sentosa Utama BEKASI</t>
  </si>
  <si>
    <t>Jl. Cikunir raya no 54.A cikunir jatiasih bekasi</t>
  </si>
  <si>
    <t>029493</t>
  </si>
  <si>
    <t xml:space="preserve">Sinarmas </t>
  </si>
  <si>
    <t>AD 9420BV</t>
  </si>
  <si>
    <t>081325730616</t>
  </si>
  <si>
    <r>
      <rPr>
        <sz val="11"/>
        <color theme="1"/>
        <rFont val="Times New Roman"/>
      </rPr>
      <t xml:space="preserve">Citra Warna Sukoharjo </t>
    </r>
    <r>
      <rPr>
        <b/>
        <sz val="11"/>
        <color theme="1"/>
        <rFont val="Times New Roman"/>
      </rPr>
      <t>Tolong Barang ini ditata paling depan sendiri belakang cabin</t>
    </r>
  </si>
  <si>
    <t xml:space="preserve"> Khoirul / Arman</t>
  </si>
  <si>
    <r>
      <rPr>
        <sz val="11"/>
        <color theme="1"/>
        <rFont val="Times New Roman"/>
      </rPr>
      <t>Jateng Multidrop</t>
    </r>
    <r>
      <rPr>
        <b/>
        <sz val="11"/>
        <color theme="1"/>
        <rFont val="Times New Roman"/>
      </rPr>
      <t xml:space="preserve"> CAM Semarang</t>
    </r>
    <r>
      <rPr>
        <sz val="11"/>
        <color theme="1"/>
        <rFont val="Times New Roman"/>
      </rPr>
      <t xml:space="preserve">
</t>
    </r>
  </si>
  <si>
    <r>
      <t xml:space="preserve"> AA 8039 LG  + W 8082 UO </t>
    </r>
    <r>
      <rPr>
        <b/>
        <sz val="11"/>
        <color theme="1"/>
        <rFont val="Times New Roman"/>
      </rPr>
      <t>MERAH BARU</t>
    </r>
  </si>
  <si>
    <t xml:space="preserve">PT Tata Nutrisana Bogor </t>
  </si>
  <si>
    <t>Doni CAM - Tanto CAM</t>
  </si>
  <si>
    <t>TKBM BONGKAR 75K</t>
  </si>
  <si>
    <t xml:space="preserve">Cikande </t>
  </si>
  <si>
    <t>029447</t>
  </si>
  <si>
    <t xml:space="preserve"> W 8286 UO </t>
  </si>
  <si>
    <r>
      <rPr>
        <sz val="11"/>
        <color theme="1"/>
        <rFont val="Times New Roman"/>
      </rPr>
      <t>Karawang</t>
    </r>
    <r>
      <rPr>
        <b/>
        <sz val="11"/>
        <color theme="1"/>
        <rFont val="Times New Roman"/>
      </rPr>
      <t xml:space="preserve"> 58 Colly</t>
    </r>
  </si>
  <si>
    <t>Nugi CAM - Roby CAM</t>
  </si>
  <si>
    <t>TKBM BONGKAR 76,600</t>
  </si>
  <si>
    <t>025/ALFAJKT/VII/2026</t>
  </si>
  <si>
    <t>029446</t>
  </si>
  <si>
    <r>
      <rPr>
        <sz val="11"/>
        <color theme="1"/>
        <rFont val="Times New Roman"/>
      </rPr>
      <t>Bogor</t>
    </r>
    <r>
      <rPr>
        <b/>
        <sz val="11"/>
        <color theme="1"/>
        <rFont val="Times New Roman"/>
      </rPr>
      <t xml:space="preserve"> 42 Colly </t>
    </r>
    <r>
      <rPr>
        <sz val="11"/>
        <color theme="1"/>
        <rFont val="Times New Roman"/>
      </rPr>
      <t xml:space="preserve">
</t>
    </r>
  </si>
  <si>
    <t>TKBM BONGKAR 53,600</t>
  </si>
  <si>
    <t>026/ALFAJKT/Vll/2026</t>
  </si>
  <si>
    <t xml:space="preserve">PT. Maja Bintang Indonesia </t>
  </si>
  <si>
    <t>Jl. Setu Cipayung No.77, RT.9/RW.5, Bambu Apus, Kec. Cipayung, Kota Jakarta Timur, Daerah Khusus Ibukota Jakarta 13890</t>
  </si>
  <si>
    <t xml:space="preserve">PT Bioinovasi Global Indonesia Tebet JKT Selatan </t>
  </si>
  <si>
    <t>Jakarta Selatan</t>
  </si>
  <si>
    <t>028412</t>
  </si>
  <si>
    <r>
      <rPr>
        <sz val="11"/>
        <color theme="1"/>
        <rFont val="Times New Roman"/>
      </rPr>
      <t xml:space="preserve">UMUM </t>
    </r>
    <r>
      <rPr>
        <b/>
        <sz val="11"/>
        <color theme="1"/>
        <rFont val="Times New Roman"/>
      </rPr>
      <t>MOVING</t>
    </r>
  </si>
  <si>
    <t>Moving Long Kedungrawan</t>
  </si>
  <si>
    <t>Pak Faridho Bekasi (Barang Pindahan)</t>
  </si>
  <si>
    <t xml:space="preserve">PT Distrindo Bakti Wutama MADIUN </t>
  </si>
  <si>
    <t xml:space="preserve">PT Distrindo Bakti Wutama </t>
  </si>
  <si>
    <r>
      <rPr>
        <sz val="11"/>
        <color theme="1"/>
        <rFont val="Times New Roman"/>
      </rPr>
      <t xml:space="preserve">PT. TACO Krian </t>
    </r>
    <r>
      <rPr>
        <b/>
        <sz val="11"/>
        <color theme="1"/>
        <rFont val="Times New Roman"/>
      </rPr>
      <t xml:space="preserve"> RETURAN </t>
    </r>
  </si>
  <si>
    <t xml:space="preserve"> Jl. Bypass Krian Sidoarjo</t>
  </si>
  <si>
    <t xml:space="preserve">TCO-DNKR-2607-00132 | TCO-DNKR-2606-00404 | TCO-DNKR-2606-00305 | TCO-DNKR-2606-00365 | TCO-DNKR-2607-00024 | TCO-DNKR-2607-00199 | TCO-DNKR-2606-00605 | TCO-DNKR-2606-00629 | TCO-DNKR-2606-00441 | TCO-DNKR-2606-00577 | TCO-DNKR-2607-00090 | TCO-DNKR-2607-00056 | TCO-DNKR-2606-00496 </t>
  </si>
  <si>
    <t>027588</t>
  </si>
  <si>
    <t>PT. Mitracitra Mandiri Offset - Sepanjang</t>
  </si>
  <si>
    <r>
      <rPr>
        <sz val="11"/>
        <color theme="1"/>
        <rFont val="Times New Roman"/>
      </rPr>
      <t xml:space="preserve">PT. Fonterra Brands Manufacturing Indonesia - Store </t>
    </r>
    <r>
      <rPr>
        <b/>
        <sz val="11"/>
        <color theme="1"/>
        <rFont val="Times New Roman"/>
      </rPr>
      <t>EXSPRESS jam 7 sampai dilokasi</t>
    </r>
  </si>
  <si>
    <t>DR1126070276 + DR1126070277 + DR1126070278 + DR1126070279 + DR1126070280</t>
  </si>
  <si>
    <t>DR1126070282 + DR1126070281 + DR1126070283</t>
  </si>
  <si>
    <t>B 9291 SYK</t>
  </si>
  <si>
    <t>WB KOHLER</t>
  </si>
  <si>
    <t>085863032576</t>
  </si>
  <si>
    <t>Indonesia Convention Exhibition (ICE)</t>
  </si>
  <si>
    <t>Jl. BSD Grand Boulevard No.1, Pagedangan, Kec. Pagedangan, Kabupaten Tangerang, Banten 15339</t>
  </si>
  <si>
    <r>
      <t xml:space="preserve">PT. Nippotech Sejahtera Gresik  </t>
    </r>
    <r>
      <rPr>
        <b/>
        <sz val="11"/>
        <color theme="1"/>
        <rFont val="Times New Roman"/>
      </rPr>
      <t>JAM 3 SORE SAMPAI DI LOKASI BSD</t>
    </r>
  </si>
  <si>
    <t>Irfan / Wawan</t>
  </si>
  <si>
    <t>004483</t>
  </si>
  <si>
    <t>IJS</t>
  </si>
  <si>
    <r>
      <t xml:space="preserve">Sidoarjo </t>
    </r>
    <r>
      <rPr>
        <b/>
        <sz val="11"/>
        <color theme="1"/>
        <rFont val="Times New Roman"/>
      </rPr>
      <t>SBLM JAM 11 SUDAH DILOKASI</t>
    </r>
  </si>
  <si>
    <t>027589</t>
  </si>
  <si>
    <t>Traga Box</t>
  </si>
  <si>
    <t>Sejahtera Lestari Pasuruan</t>
  </si>
  <si>
    <r>
      <t xml:space="preserve">Pasuruan </t>
    </r>
    <r>
      <rPr>
        <b/>
        <sz val="11"/>
        <color theme="1"/>
        <rFont val="Times New Roman"/>
      </rPr>
      <t>SBLM JAM 7 DILOKASI</t>
    </r>
  </si>
  <si>
    <r>
      <rPr>
        <sz val="11"/>
        <color theme="1"/>
        <rFont val="Times New Roman"/>
      </rPr>
      <t>S 8631 UW</t>
    </r>
    <r>
      <rPr>
        <b/>
        <sz val="11"/>
        <color theme="1"/>
        <rFont val="Times New Roman"/>
      </rPr>
      <t xml:space="preserve"> BARU COKLT</t>
    </r>
  </si>
  <si>
    <r>
      <t xml:space="preserve">Bali </t>
    </r>
    <r>
      <rPr>
        <b/>
        <sz val="11"/>
        <color theme="1"/>
        <rFont val="Times New Roman"/>
      </rPr>
      <t>Jam 8 sdh dilokasi</t>
    </r>
  </si>
  <si>
    <t>FFI JANGKAR</t>
  </si>
  <si>
    <t xml:space="preserve"> W 8145 UO</t>
  </si>
  <si>
    <t xml:space="preserve">Jangkar Barang Paramarta </t>
  </si>
  <si>
    <t xml:space="preserve">PT CKU CABANG BALI DENPASAR BARAT </t>
  </si>
  <si>
    <t xml:space="preserve">TKBM BONGKAR 400K </t>
  </si>
  <si>
    <t>044/SJ-PD/VII/2026</t>
  </si>
  <si>
    <r>
      <rPr>
        <sz val="11"/>
        <color theme="1"/>
        <rFont val="Times New Roman"/>
      </rPr>
      <t xml:space="preserve">S 8662 UX </t>
    </r>
    <r>
      <rPr>
        <b/>
        <sz val="11"/>
        <color theme="1"/>
        <rFont val="Times New Roman"/>
      </rPr>
      <t>WARNA HIJAU</t>
    </r>
  </si>
  <si>
    <t xml:space="preserve">Eko Kurnia CAM </t>
  </si>
  <si>
    <t>025903</t>
  </si>
  <si>
    <r>
      <rPr>
        <sz val="11"/>
        <color theme="1"/>
        <rFont val="Times New Roman"/>
      </rPr>
      <t>UMUM</t>
    </r>
    <r>
      <rPr>
        <b/>
        <sz val="11"/>
        <color theme="1"/>
        <rFont val="Times New Roman"/>
      </rPr>
      <t xml:space="preserve"> CS PHILOS KRWNG</t>
    </r>
  </si>
  <si>
    <t xml:space="preserve"> S 8684 UX </t>
  </si>
  <si>
    <t>Customer philos karawang</t>
  </si>
  <si>
    <t xml:space="preserve">Perum griya Mitra sukasari BLOK F2 nomor 17 karawang </t>
  </si>
  <si>
    <r>
      <rPr>
        <sz val="11"/>
        <color theme="1"/>
        <rFont val="Times New Roman"/>
      </rPr>
      <t xml:space="preserve">Bandung </t>
    </r>
    <r>
      <rPr>
        <b/>
        <sz val="11"/>
        <color theme="1"/>
        <rFont val="Times New Roman"/>
      </rPr>
      <t>TOLL PANJANG</t>
    </r>
  </si>
  <si>
    <t xml:space="preserve"> JANGKAR</t>
  </si>
  <si>
    <r>
      <rPr>
        <sz val="11"/>
        <color theme="1"/>
        <rFont val="Calibri"/>
      </rPr>
      <t xml:space="preserve">PT Aris Nawasena Amerta Giesmart Plaza </t>
    </r>
    <r>
      <rPr>
        <b/>
        <sz val="11"/>
        <color theme="1"/>
        <rFont val="Calibri"/>
      </rPr>
      <t>TOLL PANJANG</t>
    </r>
  </si>
  <si>
    <t>004887</t>
  </si>
  <si>
    <t>CV Liqun Specer Bali</t>
  </si>
  <si>
    <t>PT Hon Chuan Indonesia</t>
  </si>
  <si>
    <t>Apotek Soulmed - Denpasar</t>
  </si>
  <si>
    <t>Sebelah utara, Jl. Pura Demak Jl. Marlboro No.21, Pemecutan Klod, Kec. Denpasar Bar., Kota Denpasar, Bali 80119</t>
  </si>
  <si>
    <t xml:space="preserve"> B 9858 KXS + W 8284 UO</t>
  </si>
  <si>
    <t>085775167286</t>
  </si>
  <si>
    <t>Yudia / Maulidy</t>
  </si>
  <si>
    <t>Yudia / Maulidy - Jamal CAM</t>
  </si>
  <si>
    <t xml:space="preserve">W 8011 US </t>
  </si>
  <si>
    <r>
      <rPr>
        <sz val="11"/>
        <color theme="1"/>
        <rFont val="Times New Roman"/>
      </rPr>
      <t>Padma Bandung</t>
    </r>
    <r>
      <rPr>
        <b/>
        <sz val="11"/>
        <color theme="1"/>
        <rFont val="Times New Roman"/>
      </rPr>
      <t xml:space="preserve"> TOLL PANJANG</t>
    </r>
  </si>
  <si>
    <t xml:space="preserve">PT. Indo Pasifik Kreasi Utama Kawasan Industri Delta Silion Lippo Cikarang </t>
  </si>
  <si>
    <t>029626</t>
  </si>
  <si>
    <t xml:space="preserve">PT. Samafitro SBY </t>
  </si>
  <si>
    <t>Jemur Wonosari Jl. Raya Jemursari No.313, Sidosermo, Kec. Wonocolo, Surabaya, Jawa Timur 60299</t>
  </si>
  <si>
    <t xml:space="preserve">PT. SAMAFITRO JKT </t>
  </si>
  <si>
    <t>FAMILY FOOD Driyorejo</t>
  </si>
  <si>
    <t xml:space="preserve"> Giezmart Plaza (Graha Anugerah)</t>
  </si>
  <si>
    <t>005/WA/VII/2026 + 006/WA/VII/2026</t>
  </si>
  <si>
    <r>
      <rPr>
        <sz val="11"/>
        <color theme="1"/>
        <rFont val="Times New Roman"/>
      </rPr>
      <t>UMUM</t>
    </r>
    <r>
      <rPr>
        <b/>
        <sz val="11"/>
        <color theme="1"/>
        <rFont val="Times New Roman"/>
      </rPr>
      <t xml:space="preserve"> CS PT Suryamas </t>
    </r>
  </si>
  <si>
    <t xml:space="preserve">PT Suryamas Gemilang Lubricant Jakarta Utara 
</t>
  </si>
  <si>
    <t xml:space="preserve">PT Suryamas Gemilang Lubricant Sidoarjo Jawa Timur
</t>
  </si>
  <si>
    <t>026361</t>
  </si>
  <si>
    <t xml:space="preserve"> W 8147 UO </t>
  </si>
  <si>
    <r>
      <rPr>
        <sz val="11"/>
        <color theme="1"/>
        <rFont val="Times New Roman"/>
      </rPr>
      <t>PT Laut Indah Jaya B</t>
    </r>
    <r>
      <rPr>
        <b/>
        <sz val="11"/>
        <color theme="1"/>
        <rFont val="Times New Roman"/>
      </rPr>
      <t>anjarmasin 367,20kg DOR HITORY SBY</t>
    </r>
  </si>
  <si>
    <r>
      <rPr>
        <sz val="11"/>
        <color theme="1"/>
        <rFont val="Times New Roman"/>
      </rPr>
      <t xml:space="preserve">PT Sumber Anugrah Mandiri Prima </t>
    </r>
    <r>
      <rPr>
        <b/>
        <sz val="11"/>
        <color theme="1"/>
        <rFont val="Times New Roman"/>
      </rPr>
      <t>Samar 3.868,01 TON DOR HITORY SBY</t>
    </r>
    <r>
      <rPr>
        <sz val="11"/>
        <color theme="1"/>
        <rFont val="Times New Roman"/>
      </rPr>
      <t xml:space="preserve">
</t>
    </r>
  </si>
  <si>
    <t xml:space="preserve"> '082211153697</t>
  </si>
  <si>
    <t>Kawanishi Cikarang + DKSH Narogong Bekasi</t>
  </si>
  <si>
    <t>Cikarang + Bekasi</t>
  </si>
  <si>
    <r>
      <rPr>
        <sz val="11"/>
        <color theme="1"/>
        <rFont val="Times New Roman"/>
      </rPr>
      <t>Bekasi</t>
    </r>
    <r>
      <rPr>
        <b/>
        <sz val="11"/>
        <color theme="1"/>
        <rFont val="Times New Roman"/>
      </rPr>
      <t xml:space="preserve"> 53 Colly</t>
    </r>
  </si>
  <si>
    <t xml:space="preserve">TKBM BONGKAR 67k </t>
  </si>
  <si>
    <t>027/ALFAJKT/VII/2026</t>
  </si>
  <si>
    <t>PT. MOWILEX INDONESIA Cikande</t>
  </si>
  <si>
    <t>Babakan, Kec. Bandung, Kabupaten Serang, Banten 42176</t>
  </si>
  <si>
    <t>Jl. Pulo Nangka II K No.3 17, RT.8/RW.1, Rw. Buaya, Kecamatan Cengkareng, Kota Jakarta Barat, Daerah Khusus Ibukota Jakarta 11740</t>
  </si>
  <si>
    <t>028527</t>
  </si>
  <si>
    <t xml:space="preserve">W 8284 UO </t>
  </si>
  <si>
    <r>
      <rPr>
        <sz val="11"/>
        <color theme="1"/>
        <rFont val="Times New Roman"/>
      </rPr>
      <t xml:space="preserve">PT Mowilex </t>
    </r>
    <r>
      <rPr>
        <b/>
        <sz val="11"/>
        <color theme="1"/>
        <rFont val="Times New Roman"/>
      </rPr>
      <t>Semarang</t>
    </r>
  </si>
  <si>
    <t xml:space="preserve"> Kawasan Industri Candi Gatot Subroto Blok 11E No. 8-9 Kelurahan Bambankerep Kec. Ngaliyan Semarang Jawa Tengah </t>
  </si>
  <si>
    <t xml:space="preserve">Mowilex Sidoarjo </t>
  </si>
  <si>
    <t xml:space="preserve">Mowilex SBY Kompleks Industri &amp; Pergudangan Permata Gedangan Blok AE 1-2 Sidoarjo </t>
  </si>
  <si>
    <t>TKBM MUAT 100K / TKBM BONGKAR 100K</t>
  </si>
  <si>
    <t xml:space="preserve">Cirebon sebelah timur terminal, Jl. Jend. Ahmad Yani ''ByPass No.01, Kecapi, Kec. Harjamukti, Kota Cirebon, Jawa Barat 45142
</t>
  </si>
  <si>
    <t xml:space="preserve">NCS SBY </t>
  </si>
  <si>
    <t xml:space="preserve">Traga Box </t>
  </si>
  <si>
    <t>NCS P&amp;G</t>
  </si>
  <si>
    <t xml:space="preserve">ANYMIND - PT. ANYMIND TECHNOLOGY INDONESIA TAMRIN TANAH ABANG JKT PUSAT </t>
  </si>
  <si>
    <t xml:space="preserve">Thamrin nine complex, gedung autograph tower lantai 53 unit K-01 
Jln. MH Thamrin no.10 kebon melati Tanah Abang Jakpus 
</t>
  </si>
  <si>
    <t xml:space="preserve">BIDMATH JKT </t>
  </si>
  <si>
    <t xml:space="preserve">SCGI JKT JL BATU CEPER JKT </t>
  </si>
  <si>
    <t xml:space="preserve">SAGACITA CILANDAK </t>
  </si>
  <si>
    <t xml:space="preserve">GREEN ANDARA RESIDENCE PONDOK LABU CILANDAK JKT SELATAN </t>
  </si>
  <si>
    <t>027791</t>
  </si>
  <si>
    <r>
      <rPr>
        <sz val="11"/>
        <color theme="1"/>
        <rFont val="Times New Roman"/>
      </rPr>
      <t>W 8011 US</t>
    </r>
    <r>
      <rPr>
        <b/>
        <sz val="11"/>
        <color theme="1"/>
        <rFont val="Times New Roman"/>
      </rPr>
      <t xml:space="preserve"> BARU WARNA NAVY</t>
    </r>
  </si>
  <si>
    <r>
      <rPr>
        <sz val="11"/>
        <color theme="1"/>
        <rFont val="Times New Roman"/>
      </rPr>
      <t>DMA SUB</t>
    </r>
    <r>
      <rPr>
        <b/>
        <sz val="11"/>
        <color theme="1"/>
        <rFont val="Times New Roman"/>
      </rPr>
      <t xml:space="preserve"> SJ DIAMBIL BESOK</t>
    </r>
  </si>
  <si>
    <t>SJ2600002363</t>
  </si>
  <si>
    <r>
      <rPr>
        <sz val="11"/>
        <color theme="1"/>
        <rFont val="Times New Roman"/>
      </rPr>
      <t xml:space="preserve">S 8662 UX </t>
    </r>
    <r>
      <rPr>
        <b/>
        <sz val="11"/>
        <color theme="1"/>
        <rFont val="Times New Roman"/>
      </rPr>
      <t xml:space="preserve">Bawa Mobil CDE Std Baru Warna Hijau </t>
    </r>
  </si>
  <si>
    <t>Jl. Romokalisari I, Segoromadu, Romokalisari, Kec. Kebomas, Surabaya, Jawa Timur 60192</t>
  </si>
  <si>
    <t xml:space="preserve">PT. Pilar Putra Teknik - Atambua
</t>
  </si>
  <si>
    <t>Kurnia CAM - Vendor Erik</t>
  </si>
  <si>
    <t xml:space="preserve">Luar Pulau </t>
  </si>
  <si>
    <t>W 8744 PF</t>
  </si>
  <si>
    <t>085743088082</t>
  </si>
  <si>
    <t>PT. Pilar Putra Teknik - Nagekeo</t>
  </si>
  <si>
    <t>Amin CAM - Vendor Erik</t>
  </si>
  <si>
    <r>
      <rPr>
        <sz val="11"/>
        <color theme="1"/>
        <rFont val="Times New Roman"/>
      </rPr>
      <t xml:space="preserve">S 8662 UX </t>
    </r>
    <r>
      <rPr>
        <b/>
        <sz val="11"/>
        <color theme="1"/>
        <rFont val="Times New Roman"/>
      </rPr>
      <t>Bawa Mobik CDE Std Baru Warna Hijau</t>
    </r>
  </si>
  <si>
    <r>
      <rPr>
        <sz val="11"/>
        <color theme="1"/>
        <rFont val="Times New Roman"/>
      </rPr>
      <t>DC IDM</t>
    </r>
    <r>
      <rPr>
        <b/>
        <sz val="11"/>
        <color theme="1"/>
        <rFont val="Times New Roman"/>
      </rPr>
      <t xml:space="preserve"> Jombang Dor Tgl 16 Juli 2026</t>
    </r>
  </si>
  <si>
    <t>Eko Kurnia CAM</t>
  </si>
  <si>
    <r>
      <rPr>
        <sz val="11"/>
        <color theme="1"/>
        <rFont val="Times New Roman"/>
      </rPr>
      <t>Lion</t>
    </r>
    <r>
      <rPr>
        <b/>
        <sz val="11"/>
        <color theme="1"/>
        <rFont val="Times New Roman"/>
      </rPr>
      <t xml:space="preserve"> Mojokerto Dor Tgl 17 Juli 2026</t>
    </r>
  </si>
  <si>
    <t>TKBM BONGKAR 111K</t>
  </si>
  <si>
    <t>029494</t>
  </si>
  <si>
    <t xml:space="preserve"> IPM Lingkar Timur </t>
  </si>
  <si>
    <r>
      <rPr>
        <sz val="11"/>
        <color theme="1"/>
        <rFont val="Times New Roman"/>
      </rPr>
      <t>Karya Indah Gresik</t>
    </r>
    <r>
      <rPr>
        <b/>
        <sz val="11"/>
        <color theme="1"/>
        <rFont val="Times New Roman"/>
      </rPr>
      <t xml:space="preserve"> MUAT SORE</t>
    </r>
  </si>
  <si>
    <t>W 8284 UO + AG 9901 VJ</t>
  </si>
  <si>
    <t xml:space="preserve">                                                            </t>
  </si>
  <si>
    <t>Jamal CAM - Unggul CAM</t>
  </si>
  <si>
    <t>026362</t>
  </si>
  <si>
    <t xml:space="preserve"> W 8144 UO</t>
  </si>
  <si>
    <t>081230319243'0</t>
  </si>
  <si>
    <r>
      <rPr>
        <sz val="11"/>
        <color theme="1"/>
        <rFont val="Times New Roman"/>
      </rPr>
      <t xml:space="preserve"> CV. Mitra Niaga Mandiri </t>
    </r>
    <r>
      <rPr>
        <b/>
        <sz val="11"/>
        <color theme="1"/>
        <rFont val="Times New Roman"/>
      </rPr>
      <t>SOLO 7.196,06 TON</t>
    </r>
    <r>
      <rPr>
        <sz val="11"/>
        <color theme="1"/>
        <rFont val="Times New Roman"/>
      </rPr>
      <t xml:space="preserve">
</t>
    </r>
  </si>
  <si>
    <t xml:space="preserve"> W 8146 UO </t>
  </si>
  <si>
    <t xml:space="preserve"> Kawanishi Cikarang </t>
  </si>
  <si>
    <t>AICE Mojokerto</t>
  </si>
  <si>
    <t>Kedurus</t>
  </si>
  <si>
    <t>PT MAJA BINTANG INDONESIA</t>
  </si>
  <si>
    <t xml:space="preserve">PT. BIO INOVASI TEBET JKT </t>
  </si>
  <si>
    <t>PT Nusantara Medical Industri</t>
  </si>
  <si>
    <t>Laksana Buniess Park, Blk. K No.29, Laksana, Pakuhaji, Tangerang Regency, Banten 15520</t>
  </si>
  <si>
    <t>Tirta Medical Pondok Aren</t>
  </si>
  <si>
    <t>B 9924 FXY</t>
  </si>
  <si>
    <t>081373370480</t>
  </si>
  <si>
    <t>PT Mitramulia Makmur Nganjuk</t>
  </si>
  <si>
    <t xml:space="preserve"> Jl. Gondang - Lengkong, Sempayang, Jaan, Kec. Gondang, Kabupaten Nganjuk, Jawa Timur 64451</t>
  </si>
  <si>
    <r>
      <rPr>
        <sz val="11"/>
        <color theme="1"/>
        <rFont val="Times New Roman"/>
      </rPr>
      <t xml:space="preserve">Tegal  </t>
    </r>
    <r>
      <rPr>
        <b/>
        <sz val="11"/>
        <color theme="1"/>
        <rFont val="Times New Roman"/>
      </rPr>
      <t>BAWA RETUR 11 COLLY DIBAWA KE CAM BKSI</t>
    </r>
  </si>
  <si>
    <t>Dadang / Maulidy</t>
  </si>
  <si>
    <t>Bawa RETUR 11 COLLY</t>
  </si>
  <si>
    <t xml:space="preserve"> BAWA RETURAN DARI TEGAL  11 COLLY DIBAWA KE CAM BKSI</t>
  </si>
  <si>
    <t>Dadang / Maulidy - Deri CAM</t>
  </si>
  <si>
    <t xml:space="preserve"> B 9124 KXU</t>
  </si>
  <si>
    <t>085782087860</t>
  </si>
  <si>
    <r>
      <rPr>
        <sz val="11"/>
        <color theme="1"/>
        <rFont val="Times New Roman"/>
      </rPr>
      <t>Indocipta Wisesa</t>
    </r>
    <r>
      <rPr>
        <b/>
        <sz val="11"/>
        <color theme="1"/>
        <rFont val="Times New Roman"/>
      </rPr>
      <t xml:space="preserve"> SMG Dor Langsung</t>
    </r>
  </si>
  <si>
    <t>Basukarno / Arman</t>
  </si>
  <si>
    <r>
      <rPr>
        <sz val="11"/>
        <color theme="1"/>
        <rFont val="Times New Roman"/>
      </rPr>
      <t>Jateng Multidrop</t>
    </r>
    <r>
      <rPr>
        <b/>
        <sz val="11"/>
        <color theme="1"/>
        <rFont val="Times New Roman"/>
      </rPr>
      <t xml:space="preserve"> CAM SMG</t>
    </r>
  </si>
  <si>
    <t>029305</t>
  </si>
  <si>
    <t xml:space="preserve"> L 8842 AAA</t>
  </si>
  <si>
    <t>081476661096</t>
  </si>
  <si>
    <t>Indocipta Wisesa Semarang</t>
  </si>
  <si>
    <t xml:space="preserve">Asmuni / Arman
</t>
  </si>
  <si>
    <t>P 9677 VQ</t>
  </si>
  <si>
    <t>085181600977</t>
  </si>
  <si>
    <t>PT. Pilihan Utama</t>
  </si>
  <si>
    <t>RT/RW 005/004, Cikuwul, Jl. Narogong Km. 13, Bantar Gebang, Kota Bekasi</t>
  </si>
  <si>
    <t xml:space="preserve"> Gudang Valentino</t>
  </si>
  <si>
    <t>Jl. Mertasari No.78-68, Sidakarya, Denpasar Selatan, Kota Denpasar, Bali</t>
  </si>
  <si>
    <t>Rizal / Didik</t>
  </si>
  <si>
    <t xml:space="preserve">BCA KCP Pasar Keliwon Kudus </t>
  </si>
  <si>
    <t>TKBM BONGKAR 500K</t>
  </si>
  <si>
    <t xml:space="preserve">BCA KCP KAS MEDISTRA JKT </t>
  </si>
  <si>
    <t xml:space="preserve"> B 9964 PT</t>
  </si>
  <si>
    <t>081336635379</t>
  </si>
  <si>
    <t>Depo Madiun</t>
  </si>
  <si>
    <r>
      <rPr>
        <sz val="11"/>
        <color theme="1"/>
        <rFont val="Times New Roman"/>
      </rPr>
      <t>Madiun</t>
    </r>
    <r>
      <rPr>
        <b/>
        <sz val="11"/>
        <color theme="1"/>
        <rFont val="Times New Roman"/>
      </rPr>
      <t xml:space="preserve"> KURANG DIPAKETKAN</t>
    </r>
  </si>
  <si>
    <t>Mustain / Mustain</t>
  </si>
  <si>
    <t>TKBM BONGKAR 567.300K</t>
  </si>
  <si>
    <t>Baja Utama Nusantara</t>
  </si>
  <si>
    <t xml:space="preserve"> Jl raya Ranca Iyuh No.156 Kec.Panongan Kab. Tangerang</t>
  </si>
  <si>
    <t>Mowilex Cikande</t>
  </si>
  <si>
    <t>Biaya INAP 250K</t>
  </si>
  <si>
    <t>082140900807</t>
  </si>
  <si>
    <t>Jebsen Lingkar Timur</t>
  </si>
  <si>
    <t>PT Nestle Indonesia</t>
  </si>
  <si>
    <t>Dimas CAM</t>
  </si>
  <si>
    <t>027792</t>
  </si>
  <si>
    <t xml:space="preserve">PT Daya Muda Agung </t>
  </si>
  <si>
    <t>TKBM BONGKAR 257,600</t>
  </si>
  <si>
    <t>SJ2600002374</t>
  </si>
  <si>
    <t>0089678850312</t>
  </si>
  <si>
    <t>Megah Indah Persada</t>
  </si>
  <si>
    <t>Seto CAM - Ferry CAM</t>
  </si>
  <si>
    <t>CV Maju Jaya Abadi</t>
  </si>
  <si>
    <t>029495</t>
  </si>
  <si>
    <t xml:space="preserve"> S 9501 UZ</t>
  </si>
  <si>
    <t xml:space="preserve"> IPM Lingkar Timur</t>
  </si>
  <si>
    <t>Karya Indah, Gresik</t>
  </si>
  <si>
    <t xml:space="preserve">J&amp;T Oncall Meli - PT Emudah Surabaya </t>
  </si>
  <si>
    <t xml:space="preserve"> Jl. Margomulyo No.65B, (B3) . Greges, Kec. Asem Rowo, Surabaya, Jawa Timur 60183</t>
  </si>
  <si>
    <r>
      <rPr>
        <sz val="11"/>
        <color theme="1"/>
        <rFont val="Times New Roman"/>
      </rPr>
      <t>Kawasan Industri Terpadu Indonesia China</t>
    </r>
    <r>
      <rPr>
        <b/>
        <sz val="11"/>
        <color theme="1"/>
        <rFont val="Times New Roman"/>
      </rPr>
      <t xml:space="preserve"> SBLM JM 8 SDH DILOKASI</t>
    </r>
  </si>
  <si>
    <t>Kaveling No.49 Lantai, RW.3, Nagasari, Kec. Serang Baru, Kabupaten Bekasi, Jawa Barat 17330</t>
  </si>
  <si>
    <t xml:space="preserve"> DK 8747 ME</t>
  </si>
  <si>
    <t>085379348498</t>
  </si>
  <si>
    <t>Pergudangan NAS (Simpang Kedep)</t>
  </si>
  <si>
    <t>Jl. Kampung Momonot, RT/RW 001/005, Desa Tlajung Udik, Kec. Gunung Putri, Kabupaten Bogor 16962, Jawa Barat</t>
  </si>
  <si>
    <r>
      <rPr>
        <sz val="11"/>
        <color theme="1"/>
        <rFont val="Times New Roman"/>
      </rPr>
      <t xml:space="preserve">Gudang Valentino </t>
    </r>
    <r>
      <rPr>
        <b/>
        <sz val="11"/>
        <color theme="1"/>
        <rFont val="Times New Roman"/>
      </rPr>
      <t>DOR SENIN</t>
    </r>
  </si>
  <si>
    <t>l. Mertasari No.78-68, Sidakarya, Denpasar Selatan, Kota Denpasar, Bali</t>
  </si>
  <si>
    <t>Sukamto / Didik</t>
  </si>
  <si>
    <t>026363</t>
  </si>
  <si>
    <t>Jalan Raya Narogong Km 12, cikiwul, bantar gebang Bekasi</t>
  </si>
  <si>
    <r>
      <rPr>
        <sz val="11"/>
        <color theme="1"/>
        <rFont val="Times New Roman"/>
      </rPr>
      <t xml:space="preserve">PT. Javas tripta sejahtera </t>
    </r>
    <r>
      <rPr>
        <b/>
        <sz val="11"/>
        <color theme="1"/>
        <rFont val="Times New Roman"/>
      </rPr>
      <t>MADIUN 1.786,68 TON</t>
    </r>
  </si>
  <si>
    <t>026364</t>
  </si>
  <si>
    <r>
      <rPr>
        <sz val="11"/>
        <color theme="1"/>
        <rFont val="Times New Roman"/>
      </rPr>
      <t>PT. Javas tripta sejahtera</t>
    </r>
    <r>
      <rPr>
        <b/>
        <sz val="11"/>
        <color theme="1"/>
        <rFont val="Times New Roman"/>
      </rPr>
      <t xml:space="preserve"> PONOROGO 2.445,84 TON</t>
    </r>
  </si>
  <si>
    <t>Alim CAM - Deri CAM</t>
  </si>
  <si>
    <t>Jabsen Lingkar Timur</t>
  </si>
  <si>
    <t>PT Baramuda Bahari</t>
  </si>
  <si>
    <t>Eko Kurniawan CAM</t>
  </si>
  <si>
    <t>PT Mega Marine Pride</t>
  </si>
  <si>
    <t xml:space="preserve"> '0895365261313</t>
  </si>
  <si>
    <r>
      <rPr>
        <sz val="11"/>
        <color theme="1"/>
        <rFont val="Times New Roman"/>
      </rPr>
      <t xml:space="preserve">Karawang </t>
    </r>
    <r>
      <rPr>
        <b/>
        <sz val="11"/>
        <color theme="1"/>
        <rFont val="Times New Roman"/>
      </rPr>
      <t>TOLL PANJANG</t>
    </r>
  </si>
  <si>
    <t>Gudang Pajak IMRR</t>
  </si>
  <si>
    <t>Jl. Kasuari Raya no.12 RT.004/RW.003, Cipadu Jaya, Kec. Larangan, Kota Tangerang, Banten</t>
  </si>
  <si>
    <t>028528</t>
  </si>
  <si>
    <t>PT Pelita Hati</t>
  </si>
  <si>
    <t xml:space="preserve"> Jl. Utama Timur, Wonorejo, Wonotenggang, Kec. Rowosari, Kabupaten Kendal, Jawa Tengah 51355</t>
  </si>
  <si>
    <t>Barokah surabaya</t>
  </si>
  <si>
    <t>‎JL Kendalsari selatan no 14 Desa / kelurahan:Penjaringan Sari kecamatan : Rungkut</t>
  </si>
  <si>
    <t>50</t>
  </si>
  <si>
    <r>
      <rPr>
        <sz val="11"/>
        <color theme="1"/>
        <rFont val="Times New Roman"/>
      </rPr>
      <t xml:space="preserve">UMUM </t>
    </r>
    <r>
      <rPr>
        <b/>
        <sz val="11"/>
        <color theme="1"/>
        <rFont val="Times New Roman"/>
      </rPr>
      <t xml:space="preserve">Cust Pak Adi SGL </t>
    </r>
  </si>
  <si>
    <t xml:space="preserve"> L 8806 UJ</t>
  </si>
  <si>
    <t>082230461271</t>
  </si>
  <si>
    <t xml:space="preserve"> PT. Suryamas Gemilang Lubricat Sidoarjo </t>
  </si>
  <si>
    <t xml:space="preserve"> Banjarsari, Kec. Buduran, Kabupaten Sidoarjo, Jawa Timur 61252</t>
  </si>
  <si>
    <r>
      <rPr>
        <sz val="11"/>
        <color theme="1"/>
        <rFont val="Times New Roman"/>
      </rPr>
      <t xml:space="preserve"> PT. Mitra Dewata Sejati BALI </t>
    </r>
    <r>
      <rPr>
        <b/>
        <sz val="11"/>
        <color theme="1"/>
        <rFont val="Times New Roman"/>
      </rPr>
      <t>DOR SENIN</t>
    </r>
  </si>
  <si>
    <t>Jl. Gatot Subroto Timir No. 123 Kec Denpasar Tim 80237 Denpasar Bali</t>
  </si>
  <si>
    <t>Hozi / Mustain</t>
  </si>
  <si>
    <t xml:space="preserve">TKBM BONGKAR 600K </t>
  </si>
  <si>
    <t xml:space="preserve"> W 8188 PV </t>
  </si>
  <si>
    <t xml:space="preserve"> DKSH Narogong Bekasi</t>
  </si>
  <si>
    <t>PT Ares Kusuma Raya SBY  3 TON</t>
  </si>
  <si>
    <t>PT Inovasi Teknologi Kosmetika SBY  660 Kg</t>
  </si>
  <si>
    <t xml:space="preserve"> S 8077 UW + W 8145 UO</t>
  </si>
  <si>
    <t>Jalan Tukad Pulet N0 1 Panjer Denpasar Bali</t>
  </si>
  <si>
    <t xml:space="preserve">PT Acer Manufacturing Indonesia </t>
  </si>
  <si>
    <t xml:space="preserve">Kawasan Industri dan Pergudangan , Marunda Center Blok T No. 6-10 
Jl. Marunda Makmur Kel. Segara, Kec.Tarumajaya, Bekasi  Post Code: 17211 Indonesia </t>
  </si>
  <si>
    <t>Yasin CAM - Arief CAM</t>
  </si>
  <si>
    <t xml:space="preserve"> B 9078 TC</t>
  </si>
  <si>
    <t>085784281986</t>
  </si>
  <si>
    <t>Erje London Tangerang</t>
  </si>
  <si>
    <t xml:space="preserve"> Akhmad / Vian</t>
  </si>
  <si>
    <t xml:space="preserve"> DKSH Narogong</t>
  </si>
  <si>
    <r>
      <rPr>
        <sz val="11"/>
        <color theme="1"/>
        <rFont val="Times New Roman"/>
      </rPr>
      <t xml:space="preserve">Jatim Multidrop </t>
    </r>
    <r>
      <rPr>
        <b/>
        <sz val="11"/>
        <color theme="1"/>
        <rFont val="Times New Roman"/>
      </rPr>
      <t>(1.174.41 TON ini yg ada di List pak)</t>
    </r>
  </si>
  <si>
    <t xml:space="preserve">Tanto CAM </t>
  </si>
  <si>
    <r>
      <rPr>
        <sz val="11"/>
        <color theme="1"/>
        <rFont val="Times New Roman"/>
      </rPr>
      <t>REKATINDO MULYA ABADI, CV</t>
    </r>
    <r>
      <rPr>
        <b/>
        <sz val="11"/>
        <color theme="1"/>
        <rFont val="Times New Roman"/>
      </rPr>
      <t xml:space="preserve"> SDA 1100 TON</t>
    </r>
  </si>
  <si>
    <t>Tambahan Tempo Moker (200Kg)</t>
  </si>
  <si>
    <t>BIOGEN</t>
  </si>
  <si>
    <t>Biogen Driyorejo Gresik</t>
  </si>
  <si>
    <r>
      <rPr>
        <sz val="11"/>
        <color theme="1"/>
        <rFont val="Times New Roman"/>
      </rPr>
      <t>CAM SMG</t>
    </r>
    <r>
      <rPr>
        <b/>
        <sz val="11"/>
        <color theme="1"/>
        <rFont val="Times New Roman"/>
      </rPr>
      <t xml:space="preserve"> Nanti diambil Cust OTW JAM 5</t>
    </r>
  </si>
  <si>
    <t xml:space="preserve">001/PV/VII/2026 FFI |  PJBER2607075 </t>
  </si>
  <si>
    <t xml:space="preserve">WH FBI GGC JABABEKA CIKARANG </t>
  </si>
  <si>
    <t>DK 8732 WD</t>
  </si>
  <si>
    <t>082342705001</t>
  </si>
  <si>
    <t>Gudang PKL 3</t>
  </si>
  <si>
    <t>Jl. Tari Kolot No. 110
RT/RW 003/001, Kel. Cikuwul
Kecamatan Bantar Gebang
Kota Bekasi</t>
  </si>
  <si>
    <t>Gudang Valentino</t>
  </si>
  <si>
    <t xml:space="preserve">  Supriyanto / Didik 
</t>
  </si>
  <si>
    <t>CAPSLOG</t>
  </si>
  <si>
    <t>PT Selaras Husada Karanganyar</t>
  </si>
  <si>
    <t>Jl. Tasikmadu - Kebakkramat, Nglano Wetan, Ngijo, Kec. Tasikmadu</t>
  </si>
  <si>
    <t xml:space="preserve"> PT Primarasa Abadi Sejahtera</t>
  </si>
  <si>
    <t>Jl. Galian Pasir, No. 13, Desa Bitung Jaya, Kec. Cikupa, Kab. Tangerang</t>
  </si>
  <si>
    <t>CV Indo Aroma Mandiri</t>
  </si>
  <si>
    <r>
      <rPr>
        <sz val="11"/>
        <color theme="1"/>
        <rFont val="Times New Roman"/>
      </rPr>
      <t xml:space="preserve">ekspedisi Fajar Agung Jaya Jln.Bisma Raya Timur 2 Blok D1 No.24 </t>
    </r>
    <r>
      <rPr>
        <b/>
        <sz val="11"/>
        <color theme="1"/>
        <rFont val="Times New Roman"/>
      </rPr>
      <t>DKI Jakarta</t>
    </r>
  </si>
  <si>
    <r>
      <rPr>
        <sz val="11"/>
        <color theme="1"/>
        <rFont val="Times New Roman"/>
      </rPr>
      <t xml:space="preserve">W 8011 US </t>
    </r>
    <r>
      <rPr>
        <b/>
        <sz val="11"/>
        <color theme="1"/>
        <rFont val="Times New Roman"/>
      </rPr>
      <t>BARU NAVY</t>
    </r>
  </si>
  <si>
    <r>
      <t xml:space="preserve">Padma Bandung </t>
    </r>
    <r>
      <rPr>
        <b/>
        <sz val="11"/>
        <color theme="1"/>
        <rFont val="Times New Roman"/>
      </rPr>
      <t>TOLL PANJANG</t>
    </r>
  </si>
  <si>
    <r>
      <rPr>
        <sz val="11"/>
        <color theme="1"/>
        <rFont val="Times New Roman"/>
      </rPr>
      <t>ADR Bekasi</t>
    </r>
    <r>
      <rPr>
        <b/>
        <sz val="11"/>
        <color theme="1"/>
        <rFont val="Times New Roman"/>
      </rPr>
      <t xml:space="preserve"> TURUN PADMA BNDUNG</t>
    </r>
  </si>
  <si>
    <t xml:space="preserve">BCA KCP KBN Cakung JKT UTARA </t>
  </si>
  <si>
    <r>
      <rPr>
        <sz val="11"/>
        <color theme="1"/>
        <rFont val="Times New Roman"/>
      </rPr>
      <t>Gudang Roda Mutiara Cakra Cilincing JKT</t>
    </r>
    <r>
      <rPr>
        <b/>
        <sz val="11"/>
        <color theme="1"/>
        <rFont val="Times New Roman"/>
      </rPr>
      <t xml:space="preserve"> TMBHN 1 PALET</t>
    </r>
  </si>
  <si>
    <t xml:space="preserve"> W 8081 UO  + S 8684 UX</t>
  </si>
  <si>
    <t xml:space="preserve">YCH Philips
</t>
  </si>
  <si>
    <t xml:space="preserve">Pondok Ungu, Komplek Pergudangan Widya Sakti Kusuma, Jl. Harapan Baru Raya Jl. Wahab Affan Blok F24, RT.006/RW.007, Medan Satria, Kecamatan Medan Satria Bekasi
</t>
  </si>
  <si>
    <r>
      <rPr>
        <sz val="11"/>
        <color theme="1"/>
        <rFont val="Times New Roman"/>
      </rPr>
      <t>PT. Kanmo Multi Gemilang</t>
    </r>
    <r>
      <rPr>
        <b/>
        <sz val="11"/>
        <color theme="1"/>
        <rFont val="Times New Roman"/>
      </rPr>
      <t xml:space="preserve"> Semarang 3217 pcs | 2,1 CBM</t>
    </r>
  </si>
  <si>
    <t>Jerry CAM - Reza CAM</t>
  </si>
  <si>
    <t>330615488 (DI SERAHKAN TGL 22 JULI 2026)</t>
  </si>
  <si>
    <t>087787550251</t>
  </si>
  <si>
    <r>
      <t xml:space="preserve">Mattel Cikarang </t>
    </r>
    <r>
      <rPr>
        <b/>
        <sz val="11"/>
        <color theme="1"/>
        <rFont val="Times New Roman"/>
      </rPr>
      <t>EXPRESS</t>
    </r>
  </si>
  <si>
    <r>
      <t xml:space="preserve">Cikarang </t>
    </r>
    <r>
      <rPr>
        <b/>
        <sz val="11"/>
        <color theme="1"/>
        <rFont val="Times New Roman"/>
      </rPr>
      <t>EXPRESS</t>
    </r>
  </si>
  <si>
    <t>DR1126070394 + DR1126070397 + DR1126070396 + DR1126070395</t>
  </si>
  <si>
    <t>Mondelez</t>
  </si>
  <si>
    <t>DR1126070399 + DR1126070398 + DR1126070400</t>
  </si>
  <si>
    <t>004888</t>
  </si>
  <si>
    <t xml:space="preserve"> B 9569 FO</t>
  </si>
  <si>
    <t>085142914177</t>
  </si>
  <si>
    <t xml:space="preserve"> ZUL / Avian</t>
  </si>
  <si>
    <t xml:space="preserve">Ada Barang yang Rusak </t>
  </si>
  <si>
    <t>027642</t>
  </si>
  <si>
    <r>
      <rPr>
        <sz val="11"/>
        <color theme="1"/>
        <rFont val="Times New Roman"/>
      </rPr>
      <t>Bali</t>
    </r>
    <r>
      <rPr>
        <b/>
        <sz val="11"/>
        <color theme="1"/>
        <rFont val="Times New Roman"/>
      </rPr>
      <t xml:space="preserve"> SBLM JAM 8 DILOKASI</t>
    </r>
  </si>
  <si>
    <t>028645</t>
  </si>
  <si>
    <t xml:space="preserve"> S 8136 UW </t>
  </si>
  <si>
    <t>082245878408</t>
  </si>
  <si>
    <t>MCMO JASEM NGORO</t>
  </si>
  <si>
    <t xml:space="preserve"> Indofood CIBITUNG </t>
  </si>
  <si>
    <t>Ifin CAM</t>
  </si>
  <si>
    <t>TKBM BONGKAR 80K</t>
  </si>
  <si>
    <t>SPP 004485</t>
  </si>
  <si>
    <t xml:space="preserve">PT SINAR NONWOVEN INDONESIA BANDUNG </t>
  </si>
  <si>
    <t>Jl. Mekar Molek No.5, Mekarwangi, Kec. Bojongloa Kidul, Kota Bandung, Jawa Barat 40237</t>
  </si>
  <si>
    <t>027643</t>
  </si>
  <si>
    <t xml:space="preserve">B 9964 PT </t>
  </si>
  <si>
    <t>081333111550</t>
  </si>
  <si>
    <t xml:space="preserve">Wika Driyorejo </t>
  </si>
  <si>
    <t xml:space="preserve">ARMADA GEMA NUSANTARA PT SAMPANG </t>
  </si>
  <si>
    <t>Aditya / Mustain</t>
  </si>
  <si>
    <t xml:space="preserve">CV Varia Anugrah Perkasa </t>
  </si>
  <si>
    <t xml:space="preserve">CV Sari Sofa Jaya </t>
  </si>
  <si>
    <t>CV Putra Sion Jaya Mulia</t>
  </si>
  <si>
    <t>PT Avia Avian Tbk Cikande</t>
  </si>
  <si>
    <t>Ferry CAM + Dwi CAM</t>
  </si>
  <si>
    <r>
      <rPr>
        <sz val="11"/>
        <color theme="1"/>
        <rFont val="Times New Roman"/>
      </rPr>
      <t>Depo Malang</t>
    </r>
    <r>
      <rPr>
        <b/>
        <sz val="11"/>
        <color theme="1"/>
        <rFont val="Times New Roman"/>
      </rPr>
      <t xml:space="preserve"> PAGI JAM 8</t>
    </r>
  </si>
  <si>
    <t xml:space="preserve"> NCS P&amp;G</t>
  </si>
  <si>
    <r>
      <rPr>
        <sz val="11"/>
        <color theme="1"/>
        <rFont val="Times New Roman"/>
      </rPr>
      <t xml:space="preserve">Gudang Pajak IMRR </t>
    </r>
    <r>
      <rPr>
        <b/>
        <sz val="11"/>
        <color theme="1"/>
        <rFont val="Times New Roman"/>
      </rPr>
      <t xml:space="preserve">TOLL PANJANG </t>
    </r>
  </si>
  <si>
    <t>Jl. Kasuari Raya No.12, RT.004/RW.003, Cipadu Jaya, Kec. Larangan, Kota Tangerang, Banten 15155</t>
  </si>
  <si>
    <t xml:space="preserve"> S 9501 UZ +  S 9455 UZ </t>
  </si>
  <si>
    <t xml:space="preserve">EBC Bali </t>
  </si>
  <si>
    <t>Sutarno CAM -  Taufiq CAM</t>
  </si>
  <si>
    <t>PT Mowilex Indonesia</t>
  </si>
  <si>
    <t xml:space="preserve">Sign + Stamp </t>
  </si>
  <si>
    <t>PT Surya Internasional School</t>
  </si>
  <si>
    <r>
      <rPr>
        <sz val="11"/>
        <color theme="1"/>
        <rFont val="Times New Roman"/>
      </rPr>
      <t xml:space="preserve">Family Food Driyorejo </t>
    </r>
    <r>
      <rPr>
        <b/>
        <sz val="11"/>
        <color theme="1"/>
        <rFont val="Times New Roman"/>
      </rPr>
      <t>Muat diJANGKAR</t>
    </r>
  </si>
  <si>
    <t>Pak Benna JKT</t>
  </si>
  <si>
    <t>007/WA/VII/2026</t>
  </si>
  <si>
    <r>
      <rPr>
        <sz val="11"/>
        <color theme="1"/>
        <rFont val="Times New Roman"/>
      </rPr>
      <t>Jl. Raya mojokerto surabaya KM 19, Jl. Raya Trosobo Jl. Raya Bringin Wetan No.36, Bringin Wetan, Bringinbendo, Kec. Taman, Kabupaten Sidoarjo</t>
    </r>
    <r>
      <rPr>
        <b/>
        <sz val="11"/>
        <color theme="1"/>
        <rFont val="Times New Roman"/>
      </rPr>
      <t xml:space="preserve"> EXPRESS</t>
    </r>
  </si>
  <si>
    <r>
      <rPr>
        <sz val="11"/>
        <color theme="1"/>
        <rFont val="Times New Roman"/>
      </rPr>
      <t>Mattel P2</t>
    </r>
    <r>
      <rPr>
        <b/>
        <sz val="11"/>
        <color theme="1"/>
        <rFont val="Times New Roman"/>
      </rPr>
      <t xml:space="preserve">  EXPRESS MUAT JAM 5</t>
    </r>
  </si>
  <si>
    <t>Mattel P1</t>
  </si>
  <si>
    <t>026369</t>
  </si>
  <si>
    <r>
      <rPr>
        <sz val="11"/>
        <color theme="1"/>
        <rFont val="Times New Roman"/>
      </rPr>
      <t>PT. Jaya Bakti Raharja</t>
    </r>
    <r>
      <rPr>
        <b/>
        <sz val="11"/>
        <color theme="1"/>
        <rFont val="Times New Roman"/>
      </rPr>
      <t xml:space="preserve"> BANDUNG 4,141.08 TON</t>
    </r>
  </si>
  <si>
    <t>026368</t>
  </si>
  <si>
    <r>
      <rPr>
        <sz val="11"/>
        <color theme="1"/>
        <rFont val="Times New Roman"/>
      </rPr>
      <t xml:space="preserve">PT. Duta Intra Yasa </t>
    </r>
    <r>
      <rPr>
        <b/>
        <sz val="11"/>
        <color theme="1"/>
        <rFont val="Times New Roman"/>
      </rPr>
      <t>Yogyakarta 5,949.96 TON</t>
    </r>
  </si>
  <si>
    <t>026367</t>
  </si>
  <si>
    <r>
      <rPr>
        <sz val="11"/>
        <color theme="1"/>
        <rFont val="Times New Roman"/>
      </rPr>
      <t xml:space="preserve"> CV. Mitra Niaga Mandiri</t>
    </r>
    <r>
      <rPr>
        <b/>
        <sz val="11"/>
        <color theme="1"/>
        <rFont val="Times New Roman"/>
      </rPr>
      <t xml:space="preserve"> Klaten 2,231.11 TON</t>
    </r>
  </si>
  <si>
    <t>026366</t>
  </si>
  <si>
    <r>
      <rPr>
        <sz val="11"/>
        <color theme="1"/>
        <rFont val="Times New Roman"/>
      </rPr>
      <t xml:space="preserve">CV. Mitra Niaga Mandiri </t>
    </r>
    <r>
      <rPr>
        <b/>
        <sz val="11"/>
        <color theme="1"/>
        <rFont val="Times New Roman"/>
      </rPr>
      <t>Sukoharjo 3,090.37 TON</t>
    </r>
  </si>
  <si>
    <t>026370</t>
  </si>
  <si>
    <r>
      <rPr>
        <sz val="11"/>
        <color theme="1"/>
        <rFont val="Times New Roman"/>
      </rPr>
      <t xml:space="preserve"> PT. Javas tripta gemala </t>
    </r>
    <r>
      <rPr>
        <b/>
        <sz val="11"/>
        <color theme="1"/>
        <rFont val="Times New Roman"/>
      </rPr>
      <t>TEGAL 6.249, 89 TON</t>
    </r>
  </si>
  <si>
    <t>08211307966</t>
  </si>
  <si>
    <t>PT Best Travel Bogor</t>
  </si>
  <si>
    <t>jl. Cikopo, ruko no. 06  , pasir kaliki, sukamaju, megamendung bogor</t>
  </si>
  <si>
    <r>
      <rPr>
        <sz val="11"/>
        <color theme="1"/>
        <rFont val="Times New Roman"/>
      </rPr>
      <t>Bandara Soetta Tangerang terminal 3</t>
    </r>
    <r>
      <rPr>
        <b/>
        <sz val="11"/>
        <color theme="1"/>
        <rFont val="Times New Roman"/>
      </rPr>
      <t xml:space="preserve"> TOLL PANJANG</t>
    </r>
  </si>
  <si>
    <t>JANGKAR</t>
  </si>
  <si>
    <r>
      <rPr>
        <sz val="11"/>
        <color theme="1"/>
        <rFont val="Times New Roman"/>
      </rPr>
      <t xml:space="preserve">UMUM </t>
    </r>
    <r>
      <rPr>
        <b/>
        <sz val="11"/>
        <color theme="1"/>
        <rFont val="Times New Roman"/>
      </rPr>
      <t>CS PAK SURYA</t>
    </r>
  </si>
  <si>
    <t>PT Polosonic Sukses Mandiri</t>
  </si>
  <si>
    <t>6, Bawu IV, Bawu, Kec. Batealit, Kabupaten Jepara, Jawa Tengah 59461</t>
  </si>
  <si>
    <t>Atlantic Cargo</t>
  </si>
  <si>
    <t xml:space="preserve">CV Kitra Indah </t>
  </si>
  <si>
    <t xml:space="preserve"> Cahaya Medika Alkesindo</t>
  </si>
  <si>
    <t xml:space="preserve"> Jl Raya Manyar Tirtomoyo No. 52 Menur Pumpungan Sukolilo Kota SBY</t>
  </si>
  <si>
    <r>
      <rPr>
        <sz val="11"/>
        <color theme="1"/>
        <rFont val="Times New Roman"/>
      </rPr>
      <t xml:space="preserve"> S 8662 UX </t>
    </r>
    <r>
      <rPr>
        <b/>
        <sz val="11"/>
        <color theme="1"/>
        <rFont val="Times New Roman"/>
      </rPr>
      <t xml:space="preserve"> Baru Warna Hijau + </t>
    </r>
    <r>
      <rPr>
        <sz val="11"/>
        <color theme="1"/>
        <rFont val="Times New Roman"/>
      </rPr>
      <t>W 8017 UO</t>
    </r>
  </si>
  <si>
    <t>Eko Kurnia CAM - Rahadi CAM</t>
  </si>
  <si>
    <t xml:space="preserve">Barang Kurang 2 Pcs </t>
  </si>
  <si>
    <r>
      <rPr>
        <sz val="11"/>
        <color theme="1"/>
        <rFont val="Times New Roman"/>
      </rPr>
      <t xml:space="preserve">UMUM </t>
    </r>
    <r>
      <rPr>
        <b/>
        <sz val="11"/>
        <color theme="1"/>
        <rFont val="Times New Roman"/>
      </rPr>
      <t>SETVI</t>
    </r>
  </si>
  <si>
    <t>T 9586 DD</t>
  </si>
  <si>
    <t>085945603535</t>
  </si>
  <si>
    <t xml:space="preserve"> PT. Niro Cramics Sales Indonesia Pergudangan suri mulia </t>
  </si>
  <si>
    <t xml:space="preserve">permai Blok K nomer 17 - 18 Jln Margomulyo nomer 44 SBY </t>
  </si>
  <si>
    <t xml:space="preserve">RS HARAPAN KITA </t>
  </si>
  <si>
    <t xml:space="preserve"> RT 1/8 KOTA BAMBU UTARA PALMERAH KOTA JAKARTA BARAT</t>
  </si>
  <si>
    <t>Saipul / Sohib</t>
  </si>
  <si>
    <t>Gudang SML Cibubur</t>
  </si>
  <si>
    <t xml:space="preserve">PT Dover Chemical Cilegon </t>
  </si>
  <si>
    <t>Jl. Mayjend. Soetoyo No.KM 117, Gerem, Kec. Gerogol, Kota Cilegon, Banten 42438</t>
  </si>
  <si>
    <r>
      <rPr>
        <sz val="11"/>
        <color theme="1"/>
        <rFont val="Times New Roman"/>
      </rPr>
      <t xml:space="preserve">CV Varia Anugrah Perkasa </t>
    </r>
    <r>
      <rPr>
        <b/>
        <sz val="11"/>
        <color theme="1"/>
        <rFont val="Times New Roman"/>
      </rPr>
      <t xml:space="preserve"> RETUR</t>
    </r>
  </si>
  <si>
    <r>
      <rPr>
        <sz val="11"/>
        <color theme="1"/>
        <rFont val="Times New Roman"/>
      </rPr>
      <t xml:space="preserve">CV Putra Sion Jaya Mulia </t>
    </r>
    <r>
      <rPr>
        <b/>
        <sz val="11"/>
        <color theme="1"/>
        <rFont val="Times New Roman"/>
      </rPr>
      <t xml:space="preserve"> RETUR</t>
    </r>
  </si>
  <si>
    <r>
      <rPr>
        <sz val="11"/>
        <color theme="1"/>
        <rFont val="Times New Roman"/>
      </rPr>
      <t xml:space="preserve">S 8662 UX </t>
    </r>
    <r>
      <rPr>
        <b/>
        <sz val="11"/>
        <color theme="1"/>
        <rFont val="Times New Roman"/>
      </rPr>
      <t>Std Warna Hijau</t>
    </r>
  </si>
  <si>
    <r>
      <rPr>
        <sz val="11"/>
        <color theme="1"/>
        <rFont val="Times New Roman"/>
      </rPr>
      <t>Padma Bandung</t>
    </r>
    <r>
      <rPr>
        <b/>
        <sz val="11"/>
        <color theme="1"/>
        <rFont val="Times New Roman"/>
      </rPr>
      <t xml:space="preserve"> MUAT JAM 1</t>
    </r>
  </si>
  <si>
    <t>Eko Kurniawa CAM</t>
  </si>
  <si>
    <t>010590</t>
  </si>
  <si>
    <t xml:space="preserve"> S 9328 UZ </t>
  </si>
  <si>
    <t xml:space="preserve">ITA </t>
  </si>
  <si>
    <t>Budi Dalbo - Tanto CAM</t>
  </si>
  <si>
    <t>027796</t>
  </si>
  <si>
    <r>
      <rPr>
        <sz val="11"/>
        <color theme="1"/>
        <rFont val="Times New Roman"/>
      </rPr>
      <t xml:space="preserve">DMA SBY </t>
    </r>
    <r>
      <rPr>
        <b/>
        <sz val="11"/>
        <color theme="1"/>
        <rFont val="Times New Roman"/>
      </rPr>
      <t>SJ DIAMBIL SENIN</t>
    </r>
  </si>
  <si>
    <t>SJ 2600002432</t>
  </si>
  <si>
    <t>26371</t>
  </si>
  <si>
    <r>
      <rPr>
        <sz val="11"/>
        <color theme="1"/>
        <rFont val="Times New Roman"/>
      </rPr>
      <t>PT. Javas Tripta Mandala</t>
    </r>
    <r>
      <rPr>
        <b/>
        <sz val="11"/>
        <color theme="1"/>
        <rFont val="Times New Roman"/>
      </rPr>
      <t xml:space="preserve"> SURABAYA 8.026,94 TON</t>
    </r>
  </si>
  <si>
    <t xml:space="preserve">PT Mowilex Indonesia </t>
  </si>
  <si>
    <t xml:space="preserve">BINTANG SURYA PACITAN CV </t>
  </si>
  <si>
    <t>TKBM MUAT 100K / TKBM BONGKAR 130K</t>
  </si>
  <si>
    <t xml:space="preserve"> AA 8039 LG</t>
  </si>
  <si>
    <t xml:space="preserve">Paramartha Dharmaguna Bambe Driyorejo </t>
  </si>
  <si>
    <t xml:space="preserve">Driyorejo Bambe </t>
  </si>
  <si>
    <t xml:space="preserve">PT. CKU BANAG BALI </t>
  </si>
  <si>
    <t>0857188020626</t>
  </si>
  <si>
    <t>Usaha Makmur</t>
  </si>
  <si>
    <t>Taufiq CAM</t>
  </si>
  <si>
    <t xml:space="preserve">TKBM Muat 100K </t>
  </si>
  <si>
    <t>CV Sekolah Rakyat</t>
  </si>
  <si>
    <t>S 8495 US</t>
  </si>
  <si>
    <t>085859688764</t>
  </si>
  <si>
    <t xml:space="preserve"> Priyo / Wawan</t>
  </si>
  <si>
    <t xml:space="preserve"> Jateng Multidrop</t>
  </si>
  <si>
    <r>
      <rPr>
        <sz val="11"/>
        <color theme="1"/>
        <rFont val="Times New Roman"/>
      </rPr>
      <t xml:space="preserve">PT. Tirta Medical Indonesia </t>
    </r>
    <r>
      <rPr>
        <b/>
        <sz val="11"/>
        <color theme="1"/>
        <rFont val="Times New Roman"/>
      </rPr>
      <t>TOLL PANJANG</t>
    </r>
  </si>
  <si>
    <t>Ruko Emerald Boulevard Blok AA1 No. 5, Parigi, Kec. Pd. Aren, Kota Tangerang Selatan, Banten 15224</t>
  </si>
  <si>
    <t>029496</t>
  </si>
  <si>
    <t xml:space="preserve"> Karya Indah Gresik </t>
  </si>
  <si>
    <t>029007</t>
  </si>
  <si>
    <r>
      <rPr>
        <sz val="11"/>
        <color theme="1"/>
        <rFont val="Times New Roman"/>
      </rPr>
      <t>EPM SMG</t>
    </r>
    <r>
      <rPr>
        <b/>
        <sz val="11"/>
        <color theme="1"/>
        <rFont val="Times New Roman"/>
      </rPr>
      <t xml:space="preserve"> URGENT </t>
    </r>
  </si>
  <si>
    <t>026373</t>
  </si>
  <si>
    <r>
      <rPr>
        <sz val="11"/>
        <color theme="1"/>
        <rFont val="Times New Roman"/>
      </rPr>
      <t>PT javas tripta Mandala</t>
    </r>
    <r>
      <rPr>
        <b/>
        <sz val="11"/>
        <color theme="1"/>
        <rFont val="Times New Roman"/>
      </rPr>
      <t xml:space="preserve"> BANYUWANGI 883,24 KG DROP JEMBER</t>
    </r>
  </si>
  <si>
    <r>
      <rPr>
        <sz val="11"/>
        <color theme="1"/>
        <rFont val="Times New Roman"/>
      </rPr>
      <t xml:space="preserve">PT javas tripta Mandala </t>
    </r>
    <r>
      <rPr>
        <b/>
        <sz val="11"/>
        <color theme="1"/>
        <rFont val="Times New Roman"/>
      </rPr>
      <t>JEMBER 2.760,93 TON DROP JEMBER</t>
    </r>
  </si>
  <si>
    <r>
      <rPr>
        <sz val="11"/>
        <color theme="1"/>
        <rFont val="Times New Roman"/>
      </rPr>
      <t xml:space="preserve">PT javas tripta Mandala </t>
    </r>
    <r>
      <rPr>
        <b/>
        <sz val="11"/>
        <color theme="1"/>
        <rFont val="Times New Roman"/>
      </rPr>
      <t>LUMAJANG 1.051,87 TON DROP JEMBER</t>
    </r>
  </si>
  <si>
    <r>
      <rPr>
        <sz val="11"/>
        <color theme="1"/>
        <rFont val="Times New Roman"/>
      </rPr>
      <t>PT javas tripta Mandala</t>
    </r>
    <r>
      <rPr>
        <b/>
        <sz val="11"/>
        <color theme="1"/>
        <rFont val="Times New Roman"/>
      </rPr>
      <t xml:space="preserve"> PROBOLINGGO 1.517,43 TON DROP JEMBER</t>
    </r>
  </si>
  <si>
    <r>
      <rPr>
        <sz val="11"/>
        <color theme="1"/>
        <rFont val="Times New Roman"/>
      </rPr>
      <t xml:space="preserve">PT javas tripta Mandala </t>
    </r>
    <r>
      <rPr>
        <b/>
        <sz val="11"/>
        <color theme="1"/>
        <rFont val="Times New Roman"/>
      </rPr>
      <t>SITUBONDO 690,63 KG DROP JEMBER</t>
    </r>
  </si>
  <si>
    <t>026372</t>
  </si>
  <si>
    <t>06282213248484</t>
  </si>
  <si>
    <r>
      <rPr>
        <sz val="11"/>
        <color theme="1"/>
        <rFont val="Times New Roman"/>
      </rPr>
      <t>PT javas tripta Mandala</t>
    </r>
    <r>
      <rPr>
        <b/>
        <sz val="11"/>
        <color theme="1"/>
        <rFont val="Times New Roman"/>
      </rPr>
      <t xml:space="preserve"> (BABAT) 564,15 KG DROP BABAT</t>
    </r>
  </si>
  <si>
    <t xml:space="preserve">Babat Lamongan </t>
  </si>
  <si>
    <r>
      <rPr>
        <sz val="11"/>
        <color theme="1"/>
        <rFont val="Times New Roman"/>
      </rPr>
      <t>PT javas tripta Mandala</t>
    </r>
    <r>
      <rPr>
        <b/>
        <sz val="11"/>
        <color theme="1"/>
        <rFont val="Times New Roman"/>
      </rPr>
      <t xml:space="preserve"> (BOJONEGORO) 1.031,05 TON DROP BABAT</t>
    </r>
  </si>
  <si>
    <r>
      <rPr>
        <sz val="11"/>
        <color theme="1"/>
        <rFont val="Times New Roman"/>
      </rPr>
      <t xml:space="preserve">PT javas tripta Mandala </t>
    </r>
    <r>
      <rPr>
        <b/>
        <sz val="11"/>
        <color theme="1"/>
        <rFont val="Times New Roman"/>
      </rPr>
      <t>(GRESIK) 1.081,51 TON DROP BABAT</t>
    </r>
  </si>
  <si>
    <r>
      <rPr>
        <sz val="11"/>
        <color theme="1"/>
        <rFont val="Times New Roman"/>
      </rPr>
      <t>PT javas tripta Mandala</t>
    </r>
    <r>
      <rPr>
        <b/>
        <sz val="11"/>
        <color theme="1"/>
        <rFont val="Times New Roman"/>
      </rPr>
      <t xml:space="preserve"> (TUBAN) 1.454,84 TON DROP BABAT</t>
    </r>
  </si>
  <si>
    <t xml:space="preserve">        Jl. Raya Bibis No.2, Bibis, Kec. Tandes, Surabaya, Jawa Timur 60186</t>
  </si>
  <si>
    <t>Depo MADIUN</t>
  </si>
  <si>
    <t>KMSA</t>
  </si>
  <si>
    <t>B 9338 KY</t>
  </si>
  <si>
    <t>082325321835</t>
  </si>
  <si>
    <r>
      <rPr>
        <sz val="11"/>
        <color theme="1"/>
        <rFont val="Times New Roman"/>
      </rPr>
      <t>Gudang Nippo Bekasi</t>
    </r>
    <r>
      <rPr>
        <b/>
        <sz val="11"/>
        <color theme="1"/>
        <rFont val="Times New Roman"/>
      </rPr>
      <t xml:space="preserve"> Dor Pertama</t>
    </r>
  </si>
  <si>
    <t>Ruswandi / Vian</t>
  </si>
  <si>
    <r>
      <rPr>
        <sz val="11"/>
        <color theme="1"/>
        <rFont val="Times New Roman"/>
      </rPr>
      <t>BCA Gatot Subroto JKT Pancoran</t>
    </r>
    <r>
      <rPr>
        <b/>
        <sz val="11"/>
        <color theme="1"/>
        <rFont val="Times New Roman"/>
      </rPr>
      <t xml:space="preserve"> Turun CAM Bekasi karena Harus pakai Unit Kecil</t>
    </r>
  </si>
  <si>
    <t>Ruswandi / Vian - Alim CAM</t>
  </si>
  <si>
    <t xml:space="preserve">TKBM Bongkar 300K </t>
  </si>
  <si>
    <r>
      <rPr>
        <sz val="11"/>
        <color theme="1"/>
        <rFont val="Times New Roman"/>
      </rPr>
      <t>UMUM</t>
    </r>
    <r>
      <rPr>
        <b/>
        <sz val="11"/>
        <color theme="1"/>
        <rFont val="Times New Roman"/>
      </rPr>
      <t xml:space="preserve"> CS PAK SIS</t>
    </r>
  </si>
  <si>
    <t xml:space="preserve"> W 8784 PF </t>
  </si>
  <si>
    <t xml:space="preserve">Juanda Air Kargo ( JAS ) </t>
  </si>
  <si>
    <t xml:space="preserve">PT Trisakti Purwosari Makmur </t>
  </si>
  <si>
    <r>
      <rPr>
        <sz val="11"/>
        <color theme="1"/>
        <rFont val="Times New Roman"/>
      </rPr>
      <t xml:space="preserve">PIER PAsuruan Kraton, Pasuruan ya. </t>
    </r>
    <r>
      <rPr>
        <b/>
        <sz val="11"/>
        <color theme="1"/>
        <rFont val="Times New Roman"/>
      </rPr>
      <t>Cargo 1 pallet, 20 Ctns berat 440 Kg</t>
    </r>
  </si>
  <si>
    <t>Amin CAM</t>
  </si>
  <si>
    <t>223/07/2026</t>
  </si>
  <si>
    <t xml:space="preserve">Eka Giezmart Plaza (Graha Anugerah)
</t>
  </si>
  <si>
    <t xml:space="preserve">Jl. KH. Guru Amin No.17A 7 Pancoran Jakarta
</t>
  </si>
  <si>
    <r>
      <rPr>
        <sz val="11"/>
        <color theme="1"/>
        <rFont val="Times New Roman"/>
      </rPr>
      <t>Balaraja</t>
    </r>
    <r>
      <rPr>
        <b/>
        <sz val="11"/>
        <color theme="1"/>
        <rFont val="Times New Roman"/>
      </rPr>
      <t xml:space="preserve"> 61 Colly</t>
    </r>
  </si>
  <si>
    <t>Jerry CAM - Unggul CAM</t>
  </si>
  <si>
    <t xml:space="preserve">TKBM BONGKAR 70K </t>
  </si>
  <si>
    <t>042/ALFAJKT/VII/2026</t>
  </si>
  <si>
    <r>
      <rPr>
        <sz val="11"/>
        <color theme="1"/>
        <rFont val="Times New Roman"/>
      </rPr>
      <t xml:space="preserve">Cileungsi </t>
    </r>
    <r>
      <rPr>
        <b/>
        <sz val="11"/>
        <color theme="1"/>
        <rFont val="Times New Roman"/>
      </rPr>
      <t>47 Colly</t>
    </r>
  </si>
  <si>
    <t xml:space="preserve">TKBM BONGKAR 60K </t>
  </si>
  <si>
    <t>043/ALFAJKT/VII/2026</t>
  </si>
  <si>
    <r>
      <rPr>
        <sz val="11"/>
        <color theme="1"/>
        <rFont val="Times New Roman"/>
      </rPr>
      <t xml:space="preserve">Bekasi </t>
    </r>
    <r>
      <rPr>
        <b/>
        <sz val="11"/>
        <color theme="1"/>
        <rFont val="Times New Roman"/>
      </rPr>
      <t>67 Colly</t>
    </r>
  </si>
  <si>
    <t>Jerry CAM - Sidik CAM</t>
  </si>
  <si>
    <t xml:space="preserve">TKBM BONGKAR 80K </t>
  </si>
  <si>
    <t>044/ALFAJKT/VII/2026</t>
  </si>
  <si>
    <r>
      <rPr>
        <sz val="11"/>
        <color theme="1"/>
        <rFont val="Times New Roman"/>
      </rPr>
      <t>Karawang</t>
    </r>
    <r>
      <rPr>
        <b/>
        <sz val="11"/>
        <color theme="1"/>
        <rFont val="Times New Roman"/>
      </rPr>
      <t xml:space="preserve"> 49 Colly</t>
    </r>
  </si>
  <si>
    <t xml:space="preserve">TKBM BONGKAR 65K </t>
  </si>
  <si>
    <t>045/ALFAJKT/VII/2026</t>
  </si>
  <si>
    <r>
      <rPr>
        <sz val="11"/>
        <color theme="1"/>
        <rFont val="Times New Roman"/>
      </rPr>
      <t>UMUM</t>
    </r>
    <r>
      <rPr>
        <b/>
        <sz val="11"/>
        <color theme="1"/>
        <rFont val="Times New Roman"/>
      </rPr>
      <t xml:space="preserve"> CS EXXON (YCH)</t>
    </r>
  </si>
  <si>
    <t>PT Balrich logistics</t>
  </si>
  <si>
    <t xml:space="preserve">Jln. Raya cakung cilincing Pal. II, RT.7/RW.2, jakarta utara </t>
  </si>
  <si>
    <r>
      <t xml:space="preserve">Surabaya </t>
    </r>
    <r>
      <rPr>
        <b/>
        <sz val="11"/>
        <color theme="1"/>
        <rFont val="Times New Roman"/>
      </rPr>
      <t>BONGKAR SENIN</t>
    </r>
  </si>
  <si>
    <t>8027351958 (Di Serahkan Ke Finance Tgl 27 Juli 2026)</t>
  </si>
  <si>
    <t xml:space="preserve">SDA 162 Denpasar </t>
  </si>
  <si>
    <t>026375</t>
  </si>
  <si>
    <t xml:space="preserve"> '082245878408</t>
  </si>
  <si>
    <r>
      <rPr>
        <sz val="11"/>
        <color theme="1"/>
        <rFont val="Times New Roman"/>
      </rPr>
      <t xml:space="preserve">CV. Karunia Jaya Madura </t>
    </r>
    <r>
      <rPr>
        <b/>
        <sz val="11"/>
        <color theme="1"/>
        <rFont val="Times New Roman"/>
      </rPr>
      <t>(BANGKALAN) 1.519, 47 TON</t>
    </r>
  </si>
  <si>
    <r>
      <rPr>
        <sz val="11"/>
        <color theme="1"/>
        <rFont val="Times New Roman"/>
      </rPr>
      <t>Madura</t>
    </r>
    <r>
      <rPr>
        <b/>
        <sz val="11"/>
        <color theme="1"/>
        <rFont val="Times New Roman"/>
      </rPr>
      <t xml:space="preserve"> </t>
    </r>
    <r>
      <rPr>
        <b/>
        <sz val="11"/>
        <color rgb="FFFF0000"/>
        <rFont val="Times New Roman"/>
      </rPr>
      <t>WARNING!!!</t>
    </r>
  </si>
  <si>
    <t>026374</t>
  </si>
  <si>
    <r>
      <rPr>
        <sz val="11"/>
        <color theme="1"/>
        <rFont val="Times New Roman"/>
      </rPr>
      <t xml:space="preserve">CV. Karunia Jaya Madura </t>
    </r>
    <r>
      <rPr>
        <b/>
        <sz val="11"/>
        <color theme="1"/>
        <rFont val="Times New Roman"/>
      </rPr>
      <t>(PAMEKASAN) 2.661,49 TON</t>
    </r>
  </si>
  <si>
    <r>
      <rPr>
        <sz val="11"/>
        <color theme="1"/>
        <rFont val="Times New Roman"/>
      </rPr>
      <t xml:space="preserve">Madura </t>
    </r>
    <r>
      <rPr>
        <sz val="11"/>
        <color rgb="FFFF0000"/>
        <rFont val="Times New Roman"/>
      </rPr>
      <t xml:space="preserve"> </t>
    </r>
    <r>
      <rPr>
        <b/>
        <sz val="11"/>
        <color rgb="FFFF0000"/>
        <rFont val="Times New Roman"/>
      </rPr>
      <t>WARNING!!!</t>
    </r>
  </si>
  <si>
    <t>026376</t>
  </si>
  <si>
    <r>
      <rPr>
        <sz val="11"/>
        <color theme="1"/>
        <rFont val="Times New Roman"/>
      </rPr>
      <t>PT. Javas Tripta Sejahtera</t>
    </r>
    <r>
      <rPr>
        <b/>
        <sz val="11"/>
        <color theme="1"/>
        <rFont val="Times New Roman"/>
      </rPr>
      <t xml:space="preserve"> (MALANG) 6.215,35 TON</t>
    </r>
  </si>
  <si>
    <r>
      <rPr>
        <sz val="11"/>
        <color theme="1"/>
        <rFont val="Times New Roman"/>
      </rPr>
      <t>UMUM</t>
    </r>
    <r>
      <rPr>
        <b/>
        <sz val="11"/>
        <color theme="1"/>
        <rFont val="Times New Roman"/>
      </rPr>
      <t xml:space="preserve"> CS PAK SONY</t>
    </r>
  </si>
  <si>
    <t>CDE LONG</t>
  </si>
  <si>
    <t>PT. Guru Indonesia</t>
  </si>
  <si>
    <t>Jln. Raya jakarta bogor KM 26 jl PKP ciracas jakarta 13740</t>
  </si>
  <si>
    <r>
      <rPr>
        <sz val="11"/>
        <color theme="1"/>
        <rFont val="Times New Roman"/>
      </rPr>
      <t xml:space="preserve">Gudang ketewel </t>
    </r>
    <r>
      <rPr>
        <b/>
        <sz val="11"/>
        <color theme="1"/>
        <rFont val="Times New Roman"/>
      </rPr>
      <t xml:space="preserve">SENIN SAMPAI DILOKASI </t>
    </r>
    <r>
      <rPr>
        <b/>
        <sz val="11"/>
        <color rgb="FFFF0000"/>
        <rFont val="Times New Roman"/>
      </rPr>
      <t xml:space="preserve">WARNING!!! </t>
    </r>
  </si>
  <si>
    <t xml:space="preserve"> Jln. Prof. Dr. Ida bagus mantra NO. 99 ketewel kec. Sukawati kabupaten Gianyar bali 80582</t>
  </si>
  <si>
    <t>026378</t>
  </si>
  <si>
    <r>
      <rPr>
        <sz val="11"/>
        <color theme="1"/>
        <rFont val="Times New Roman"/>
      </rPr>
      <t xml:space="preserve">PT. Javas Tripta Gemala </t>
    </r>
    <r>
      <rPr>
        <b/>
        <sz val="11"/>
        <color theme="1"/>
        <rFont val="Times New Roman"/>
      </rPr>
      <t>(BLORA) 2.523,18 TON</t>
    </r>
  </si>
  <si>
    <t>026377</t>
  </si>
  <si>
    <r>
      <rPr>
        <sz val="11"/>
        <color theme="1"/>
        <rFont val="Times New Roman"/>
      </rPr>
      <t xml:space="preserve">PT. Javas Tripta Gemala </t>
    </r>
    <r>
      <rPr>
        <b/>
        <sz val="11"/>
        <color theme="1"/>
        <rFont val="Times New Roman"/>
      </rPr>
      <t>(PURWODADI) 3.522,84 TON</t>
    </r>
  </si>
  <si>
    <r>
      <rPr>
        <sz val="11"/>
        <color theme="1"/>
        <rFont val="Times New Roman"/>
      </rPr>
      <t>UMUM</t>
    </r>
    <r>
      <rPr>
        <b/>
        <sz val="11"/>
        <color theme="1"/>
        <rFont val="Times New Roman"/>
      </rPr>
      <t xml:space="preserve"> CS PT. Citra Makmur Jaya Lestari </t>
    </r>
  </si>
  <si>
    <t>L 8670 GF</t>
  </si>
  <si>
    <t>085718977923</t>
  </si>
  <si>
    <t>Pergudangan Ocean Park</t>
  </si>
  <si>
    <t xml:space="preserve"> Blok LH-LI, Kosambi Tim., Kec. Kosambi, Kabupaten Tangerang, Banten 15213</t>
  </si>
  <si>
    <t xml:space="preserve">Projek Wai Hing </t>
  </si>
  <si>
    <t>Cabean, Karang Tengah Prandon, Ngawi, Ngawi Regency, East Java 63218</t>
  </si>
  <si>
    <t>Arisona / Arisona</t>
  </si>
  <si>
    <r>
      <rPr>
        <sz val="11"/>
        <color theme="1"/>
        <rFont val="Times New Roman"/>
      </rPr>
      <t>Terang Jaya -</t>
    </r>
    <r>
      <rPr>
        <b/>
        <sz val="11"/>
        <color theme="1"/>
        <rFont val="Times New Roman"/>
      </rPr>
      <t xml:space="preserve"> Bojonegoro</t>
    </r>
  </si>
  <si>
    <t>Jl. Jaksa Agung Suprapto No.176, Banjarejo, Banjarjo, Kec. Bojonegoro, Kabupaten Bojonegoro, Jawa Timur 62118</t>
  </si>
  <si>
    <t>Selaras Husada Karanganyar</t>
  </si>
  <si>
    <t>PT Selaras Husada</t>
  </si>
  <si>
    <t>Jl. Pergudangan Tiara Jabon Blok F2 no 6, Jabon, Tambak Sawah, Waru, Sidoarjo</t>
  </si>
  <si>
    <t xml:space="preserve"> S 8629 UW</t>
  </si>
  <si>
    <t xml:space="preserve">Depo Jember  </t>
  </si>
  <si>
    <t>TKBM BONGKAR 350K</t>
  </si>
  <si>
    <t>AD 8135 IA</t>
  </si>
  <si>
    <r>
      <rPr>
        <sz val="11"/>
        <color theme="1"/>
        <rFont val="Times New Roman"/>
      </rPr>
      <t xml:space="preserve">Jateng Multidrop </t>
    </r>
    <r>
      <rPr>
        <b/>
        <sz val="11"/>
        <color theme="1"/>
        <rFont val="Times New Roman"/>
      </rPr>
      <t>SUDAH DITRIMA MBK VINDA</t>
    </r>
  </si>
  <si>
    <t>UANG INAP 100K</t>
  </si>
  <si>
    <t>B 9883 RFW</t>
  </si>
  <si>
    <t>081818213939</t>
  </si>
  <si>
    <t>NCS
Cirebon sebelah timur terminal</t>
  </si>
  <si>
    <t>Jl. Jend. Ahmad Yani ''ByPass No.01, Kecapi, Kec. Harjamukti, Kota Cirebon, Jawa Barat 45142</t>
  </si>
  <si>
    <t>Sapphire Residence</t>
  </si>
  <si>
    <t>6i/35, Desa Prasung, Kec. Buduran, Kab. Sidoarjo</t>
  </si>
  <si>
    <t xml:space="preserve"> Abdul / Sohib</t>
  </si>
  <si>
    <t xml:space="preserve"> B 9299 TRO</t>
  </si>
  <si>
    <t>0895-6218-60807</t>
  </si>
  <si>
    <t xml:space="preserve">Rizgate STO </t>
  </si>
  <si>
    <t>Toni / Ariwibowo</t>
  </si>
  <si>
    <r>
      <rPr>
        <sz val="11"/>
        <color theme="1"/>
        <rFont val="Times New Roman"/>
      </rPr>
      <t>UMUM</t>
    </r>
    <r>
      <rPr>
        <b/>
        <sz val="11"/>
        <color theme="1"/>
        <rFont val="Times New Roman"/>
      </rPr>
      <t xml:space="preserve"> CS PT DWATA MTRA INTRNUSA</t>
    </r>
  </si>
  <si>
    <t>B 9802 BCL</t>
  </si>
  <si>
    <t>085779865378</t>
  </si>
  <si>
    <t>Ruko De’Minimalis</t>
  </si>
  <si>
    <t xml:space="preserve"> Jl. Jatimulya Pengasinan RT/RW 05/06, Tambun Selatan, Jatimulya, Bekasi Timur, Bekasi Regency, West Java 17510</t>
  </si>
  <si>
    <t>Banjarmasin (TURUN CAM SDA)</t>
  </si>
  <si>
    <t>Mustain / Bendot</t>
  </si>
  <si>
    <t xml:space="preserve"> S 8662 UX</t>
  </si>
  <si>
    <r>
      <rPr>
        <sz val="11"/>
        <color theme="1"/>
        <rFont val="Times New Roman"/>
      </rPr>
      <t xml:space="preserve">PT Vitapharm SBY </t>
    </r>
    <r>
      <rPr>
        <b/>
        <sz val="11"/>
        <color theme="1"/>
        <rFont val="Times New Roman"/>
      </rPr>
      <t>DOR Langsung</t>
    </r>
  </si>
  <si>
    <r>
      <rPr>
        <sz val="11"/>
        <color theme="1"/>
        <rFont val="Times New Roman"/>
      </rPr>
      <t>PT Sensatia WBU SBY</t>
    </r>
    <r>
      <rPr>
        <b/>
        <sz val="11"/>
        <color theme="1"/>
        <rFont val="Times New Roman"/>
      </rPr>
      <t xml:space="preserve"> DOR Langsung</t>
    </r>
  </si>
  <si>
    <t xml:space="preserve">Kawanishi </t>
  </si>
  <si>
    <t>STO Ritzgate Gedangan Sidoarjo</t>
  </si>
  <si>
    <r>
      <rPr>
        <sz val="11"/>
        <color theme="1"/>
        <rFont val="Times New Roman"/>
      </rPr>
      <t xml:space="preserve">Tirta Medical Pondok Aren </t>
    </r>
    <r>
      <rPr>
        <b/>
        <sz val="11"/>
        <color theme="1"/>
        <rFont val="Times New Roman"/>
      </rPr>
      <t>TOLL PANJANG</t>
    </r>
  </si>
  <si>
    <t>W 8082 UO + W 8285 UO</t>
  </si>
  <si>
    <r>
      <rPr>
        <sz val="11"/>
        <color theme="1"/>
        <rFont val="Times New Roman"/>
      </rPr>
      <t>PT. Borwita Warehous</t>
    </r>
    <r>
      <rPr>
        <b/>
        <sz val="11"/>
        <color theme="1"/>
        <rFont val="Times New Roman"/>
      </rPr>
      <t xml:space="preserve"> Denpasar 690pcs | 1,8cbm</t>
    </r>
  </si>
  <si>
    <t>Pagi JAM 10 Maks</t>
  </si>
  <si>
    <t xml:space="preserve">Jerry CAM - Egi CAM - Hasyim </t>
  </si>
  <si>
    <t>330715064 (Di Serahkan ke Finance Tgl 27 Juli 2026)</t>
  </si>
  <si>
    <r>
      <rPr>
        <sz val="11"/>
        <color theme="1"/>
        <rFont val="Times New Roman"/>
      </rPr>
      <t>PT. Medika Niaga Solusindo</t>
    </r>
    <r>
      <rPr>
        <b/>
        <sz val="11"/>
        <color theme="1"/>
        <rFont val="Times New Roman"/>
      </rPr>
      <t xml:space="preserve"> Denpasar 1898pcs | 2,5cbm</t>
    </r>
  </si>
  <si>
    <t>330698686 (Di Serahkan ke Finance Tgl 27 Juli 2026)</t>
  </si>
  <si>
    <t>SEKAWAN</t>
  </si>
  <si>
    <t xml:space="preserve"> L 8220 UK</t>
  </si>
  <si>
    <t xml:space="preserve">SEKAWAN Sidoarjo </t>
  </si>
  <si>
    <t>CV. SAIKU PUTRA EXPRESS</t>
  </si>
  <si>
    <t>JL. ANCOL 8 NO. 01-02 ANCOL, PADEMANGAN, JAKARTA UTARA</t>
  </si>
  <si>
    <t>Novian / Vian</t>
  </si>
  <si>
    <t>KANTOR SEKAWAN JAKARTA</t>
  </si>
  <si>
    <t>JL. JEMBATAN DUA RAYA NO.2 APARTEMEN ROBINSON B22 NO.S 20, PEJAGALAN, PENJARINGAN JAKARTA UTARA, DKI JAKARTA - 14450</t>
  </si>
  <si>
    <t>CV Lestari Abadi</t>
  </si>
  <si>
    <t>PT Sukses Wijaya Indomapan</t>
  </si>
  <si>
    <t>027592</t>
  </si>
  <si>
    <t xml:space="preserve">PT. Mitracitra Mandiri Offset - Sepanjang
</t>
  </si>
  <si>
    <t xml:space="preserve">Jl. Raya mojokerto surabaya KM 19, Jl. Raya Trosobo Jl. Raya Bringin Wetan No.36, Bringin Wetan, Bringinbendo, Kec. Taman, Kabupaten Sidoarjo </t>
  </si>
  <si>
    <r>
      <rPr>
        <sz val="11"/>
        <color theme="1"/>
        <rFont val="Times New Roman"/>
      </rPr>
      <t xml:space="preserve">Mattel P2 </t>
    </r>
    <r>
      <rPr>
        <b/>
        <sz val="11"/>
        <color theme="1"/>
        <rFont val="Times New Roman"/>
      </rPr>
      <t>EXSPRESS</t>
    </r>
  </si>
  <si>
    <t>SIDOARJO</t>
  </si>
  <si>
    <t xml:space="preserve"> RH Denpasar Bali</t>
  </si>
  <si>
    <t>DK 8390 LE</t>
  </si>
  <si>
    <t>087883606724</t>
  </si>
  <si>
    <r>
      <rPr>
        <sz val="11"/>
        <color theme="1"/>
        <rFont val="Times New Roman"/>
      </rPr>
      <t>Pergudangan NAS</t>
    </r>
    <r>
      <rPr>
        <b/>
        <sz val="11"/>
        <color theme="1"/>
        <rFont val="Times New Roman"/>
      </rPr>
      <t xml:space="preserve"> Simpang Kedep</t>
    </r>
  </si>
  <si>
    <t>Muhamad / Didik</t>
  </si>
  <si>
    <t xml:space="preserve"> W 8297 UO</t>
  </si>
  <si>
    <t xml:space="preserve">TEBA EXPRESS SURABAYA </t>
  </si>
  <si>
    <t>Ruko Graha Tirta Jl. Brigjend Katamso No.26, Pulosari, Kureksari, Kec. Waru, Kabupaten Sidoarjo, Jawa Timur 61256</t>
  </si>
  <si>
    <t>JAKARTA</t>
  </si>
  <si>
    <r>
      <rPr>
        <sz val="11"/>
        <color theme="1"/>
        <rFont val="Times New Roman"/>
      </rPr>
      <t>KONIMEX</t>
    </r>
    <r>
      <rPr>
        <b/>
        <sz val="11"/>
        <color theme="1"/>
        <rFont val="Times New Roman"/>
      </rPr>
      <t xml:space="preserve"> CS PAK SIS</t>
    </r>
  </si>
  <si>
    <t>0877-5054-8844</t>
  </si>
  <si>
    <t>Konimex</t>
  </si>
  <si>
    <t>Jl. Mantung, Dusun II, Manang, Kec. Grogol, Kabupaten Sukoharjo, Jawa Tengah 57552</t>
  </si>
  <si>
    <t xml:space="preserve">Kendari Depo Meratus Tembaga SBY Perak </t>
  </si>
  <si>
    <t>Perak Surabaya</t>
  </si>
  <si>
    <t xml:space="preserve">Mamuju di Triguna SBY Perak </t>
  </si>
  <si>
    <t xml:space="preserve">Jl. T Batu No. 15Q </t>
  </si>
  <si>
    <t xml:space="preserve">Jayapura Depo Spill T Batu SBY Perak </t>
  </si>
  <si>
    <t xml:space="preserve"> Connel Semarang</t>
  </si>
  <si>
    <t xml:space="preserve"> W 8081 UO </t>
  </si>
  <si>
    <r>
      <rPr>
        <sz val="11"/>
        <color theme="1"/>
        <rFont val="Times New Roman"/>
      </rPr>
      <t>ASHTA District 8</t>
    </r>
    <r>
      <rPr>
        <b/>
        <sz val="11"/>
        <color theme="1"/>
        <rFont val="Times New Roman"/>
      </rPr>
      <t xml:space="preserve">  TOLL PANJANG</t>
    </r>
  </si>
  <si>
    <t>Jl. Senopati No.83, RT.8/RW.3, Senayan, Kec. Kby. Baru, Kota Jakarta Selatan, Daerah Khusus Ibukota Jakarta 12190</t>
  </si>
  <si>
    <t>0822-1115-3697</t>
  </si>
  <si>
    <t>Jl. Gondang - Lengkong, Sempayang, Jaan, Kec. Gondang, Kabupaten Nganjuk, Jawa Timur 64451</t>
  </si>
  <si>
    <t>PT. MOWILEX INDONESIA (Cikande Plant)</t>
  </si>
  <si>
    <t xml:space="preserve"> Babakan, Kec. Bandung, Kabupaten Serang, Banten 42176</t>
  </si>
  <si>
    <t xml:space="preserve">Mowilex Site Solo  </t>
  </si>
  <si>
    <t xml:space="preserve"> W 8286 UO</t>
  </si>
  <si>
    <t xml:space="preserve">Eka Giezmart Plaza (Graha Anugerah)
</t>
  </si>
  <si>
    <t xml:space="preserve">Jl. KH. Guru Amin No.17A 7 Pancoran Jakarta
</t>
  </si>
  <si>
    <t>Balaraja 109 Colly</t>
  </si>
  <si>
    <t xml:space="preserve">TKBM Bongkar 130K </t>
  </si>
  <si>
    <t>051/ALFAJKT/VII/2026</t>
  </si>
  <si>
    <t xml:space="preserve"> Cikokol 43 Colly </t>
  </si>
  <si>
    <t xml:space="preserve">TKBM Bongkar 50K </t>
  </si>
  <si>
    <t>052/ALFAJKT/VII/2026</t>
  </si>
  <si>
    <t>000729</t>
  </si>
  <si>
    <t xml:space="preserve"> W 8147 UO + W 8339 UO</t>
  </si>
  <si>
    <t xml:space="preserve">PT Medika Maesindo Global </t>
  </si>
  <si>
    <t>PT Cahaya Medika Alkesindo</t>
  </si>
  <si>
    <t>Agung CAM - Tanto CAM</t>
  </si>
  <si>
    <t xml:space="preserve"> '085188020626</t>
  </si>
  <si>
    <t xml:space="preserve">ATT CS ACCESORIES JOMBANG </t>
  </si>
  <si>
    <t>Warehouse Infinia Jakarta</t>
  </si>
  <si>
    <r>
      <rPr>
        <sz val="11"/>
        <color theme="1"/>
        <rFont val="Times New Roman"/>
      </rPr>
      <t xml:space="preserve">Rs Pantai Indah Kapuk </t>
    </r>
    <r>
      <rPr>
        <b/>
        <sz val="11"/>
        <color theme="1"/>
        <rFont val="Times New Roman"/>
      </rPr>
      <t xml:space="preserve">TOLL PANJANG </t>
    </r>
  </si>
  <si>
    <t>Komplek Pantai Indah Kapuk, Jl. Pantai Indah Utara 3, Kapuk Muara, Kecamatan Penjaringan, Jkt Utara, Daerah Khusus Ibukota Jakarta 14460</t>
  </si>
  <si>
    <t>026384</t>
  </si>
  <si>
    <t>085113623795</t>
  </si>
  <si>
    <r>
      <rPr>
        <sz val="11"/>
        <color theme="1"/>
        <rFont val="Times New Roman"/>
      </rPr>
      <t xml:space="preserve">PT Javas Tripta Gemala </t>
    </r>
    <r>
      <rPr>
        <b/>
        <sz val="11"/>
        <color theme="1"/>
        <rFont val="Times New Roman"/>
      </rPr>
      <t>(DEMAK) 17.00 Dor SEMARANG</t>
    </r>
  </si>
  <si>
    <r>
      <rPr>
        <sz val="11"/>
        <color theme="1"/>
        <rFont val="Times New Roman"/>
      </rPr>
      <t>PT javas tripta Gemala</t>
    </r>
    <r>
      <rPr>
        <b/>
        <sz val="11"/>
        <color theme="1"/>
        <rFont val="Times New Roman"/>
      </rPr>
      <t xml:space="preserve"> (PATI) 345.60 Dor SEMARANG</t>
    </r>
  </si>
  <si>
    <t>026383</t>
  </si>
  <si>
    <r>
      <rPr>
        <sz val="11"/>
        <color theme="1"/>
        <rFont val="Times New Roman"/>
      </rPr>
      <t>PT javas tripta Gemala</t>
    </r>
    <r>
      <rPr>
        <b/>
        <sz val="11"/>
        <color theme="1"/>
        <rFont val="Times New Roman"/>
      </rPr>
      <t xml:space="preserve"> (SALATIGA) 1,023.30 Dor SALATIGA</t>
    </r>
  </si>
  <si>
    <r>
      <rPr>
        <sz val="11"/>
        <color theme="1"/>
        <rFont val="Times New Roman"/>
      </rPr>
      <t xml:space="preserve"> PT javas tripta Gemala</t>
    </r>
    <r>
      <rPr>
        <b/>
        <sz val="11"/>
        <color theme="1"/>
        <rFont val="Times New Roman"/>
      </rPr>
      <t xml:space="preserve"> (SEMARANG) 6,378.18 Dor SEMARANG</t>
    </r>
  </si>
  <si>
    <t xml:space="preserve"> S 8537 UZ</t>
  </si>
  <si>
    <t xml:space="preserve">Depo Madiun </t>
  </si>
  <si>
    <t>TKBM BONGKAR 115K</t>
  </si>
  <si>
    <t>026379</t>
  </si>
  <si>
    <r>
      <rPr>
        <sz val="11"/>
        <color theme="1"/>
        <rFont val="Times New Roman"/>
      </rPr>
      <t xml:space="preserve"> PT. Javas Bali Lestari</t>
    </r>
    <r>
      <rPr>
        <b/>
        <sz val="11"/>
        <color theme="1"/>
        <rFont val="Times New Roman"/>
      </rPr>
      <t xml:space="preserve"> (Bali) 4.116,44 Ton</t>
    </r>
  </si>
  <si>
    <t>TKBM BONGKAR 450K</t>
  </si>
  <si>
    <t>28/07/0226</t>
  </si>
  <si>
    <t>026381</t>
  </si>
  <si>
    <r>
      <rPr>
        <sz val="11"/>
        <color theme="1"/>
        <rFont val="Times New Roman"/>
      </rPr>
      <t xml:space="preserve">PT javas tripta Gemala </t>
    </r>
    <r>
      <rPr>
        <b/>
        <sz val="11"/>
        <color theme="1"/>
        <rFont val="Times New Roman"/>
      </rPr>
      <t>(BABAT) 873.94 Dor SIDOARJO</t>
    </r>
  </si>
  <si>
    <r>
      <rPr>
        <sz val="11"/>
        <color theme="1"/>
        <rFont val="Times New Roman"/>
      </rPr>
      <t>Sidoarjo</t>
    </r>
    <r>
      <rPr>
        <b/>
        <sz val="11"/>
        <color theme="1"/>
        <rFont val="Times New Roman"/>
      </rPr>
      <t xml:space="preserve"> TITIPAN SAMPLE 4 KARTON WAJIB DIBAWA PULANG LAGI KE US JKT</t>
    </r>
  </si>
  <si>
    <t>TKBM BONGKAR 200K SIDOARJO DAN KEDURUS</t>
  </si>
  <si>
    <r>
      <rPr>
        <sz val="11"/>
        <color theme="1"/>
        <rFont val="Times New Roman"/>
      </rPr>
      <t xml:space="preserve">PT javas tripta Gemala </t>
    </r>
    <r>
      <rPr>
        <b/>
        <sz val="11"/>
        <color theme="1"/>
        <rFont val="Times New Roman"/>
      </rPr>
      <t>(BOJONEGORO) 258.18 Dor SIDOARJO</t>
    </r>
  </si>
  <si>
    <r>
      <rPr>
        <sz val="11"/>
        <color theme="1"/>
        <rFont val="Times New Roman"/>
      </rPr>
      <t xml:space="preserve">PT javas tripta Gemala </t>
    </r>
    <r>
      <rPr>
        <b/>
        <sz val="11"/>
        <color theme="1"/>
        <rFont val="Times New Roman"/>
      </rPr>
      <t>(GRESIK) 112.83 Dor SIDOARJO</t>
    </r>
  </si>
  <si>
    <t>026380</t>
  </si>
  <si>
    <r>
      <rPr>
        <sz val="11"/>
        <color theme="1"/>
        <rFont val="Times New Roman"/>
      </rPr>
      <t xml:space="preserve">PT javas tripta Gemala </t>
    </r>
    <r>
      <rPr>
        <b/>
        <sz val="11"/>
        <color theme="1"/>
        <rFont val="Times New Roman"/>
      </rPr>
      <t>(KEDURUS) 3,550.14 Dor KEDURUS</t>
    </r>
  </si>
  <si>
    <r>
      <rPr>
        <sz val="11"/>
        <color theme="1"/>
        <rFont val="Times New Roman"/>
      </rPr>
      <t xml:space="preserve">PT javas tripta Gemala </t>
    </r>
    <r>
      <rPr>
        <b/>
        <sz val="11"/>
        <color theme="1"/>
        <rFont val="Times New Roman"/>
      </rPr>
      <t>(PROBOLINGGO) 345.60 Dor SIDOARJO</t>
    </r>
  </si>
  <si>
    <r>
      <rPr>
        <sz val="11"/>
        <color theme="1"/>
        <rFont val="Times New Roman"/>
      </rPr>
      <t>PT javas tripta Gemala</t>
    </r>
    <r>
      <rPr>
        <b/>
        <sz val="11"/>
        <color theme="1"/>
        <rFont val="Times New Roman"/>
      </rPr>
      <t xml:space="preserve"> (SURABAYA) 420.03 Dor SIDOARJO</t>
    </r>
  </si>
  <si>
    <r>
      <rPr>
        <sz val="11"/>
        <color theme="1"/>
        <rFont val="Times New Roman"/>
      </rPr>
      <t>PT javas tripta Gemala</t>
    </r>
    <r>
      <rPr>
        <b/>
        <sz val="11"/>
        <color theme="1"/>
        <rFont val="Times New Roman"/>
      </rPr>
      <t xml:space="preserve"> (TUBAN) 234.13 Dor SIDOARJO</t>
    </r>
  </si>
  <si>
    <t>5 kav 50, Jl. Raya Serang KM 60 Kawasan industri, Jl. Pancatama, Leuwilimus, Cikande, Serang Regency, Banten 42186</t>
  </si>
  <si>
    <t>029497</t>
  </si>
  <si>
    <t>0882-1716-7528</t>
  </si>
  <si>
    <t>Sidaorjo</t>
  </si>
  <si>
    <t>Bayer, Surabaya</t>
  </si>
  <si>
    <t xml:space="preserve">PT Nusantara Medical Industri </t>
  </si>
  <si>
    <r>
      <rPr>
        <sz val="11"/>
        <color theme="1"/>
        <rFont val="Times New Roman"/>
      </rPr>
      <t xml:space="preserve">Tirta Medical Pondok Aren </t>
    </r>
    <r>
      <rPr>
        <b/>
        <sz val="11"/>
        <color theme="1"/>
        <rFont val="Times New Roman"/>
      </rPr>
      <t>TOLL PANJANG</t>
    </r>
    <r>
      <rPr>
        <sz val="11"/>
        <color theme="1"/>
        <rFont val="Times New Roman"/>
      </rPr>
      <t xml:space="preserve"> </t>
    </r>
  </si>
  <si>
    <t xml:space="preserve">Tanggerang </t>
  </si>
  <si>
    <t>0851-3752-8965</t>
  </si>
  <si>
    <t>Gudang Sarana Mulya Logistik Cibubur</t>
  </si>
  <si>
    <r>
      <rPr>
        <sz val="11"/>
        <color theme="1"/>
        <rFont val="Times New Roman"/>
      </rPr>
      <t>PT. SANBE FARMA</t>
    </r>
    <r>
      <rPr>
        <b/>
        <sz val="11"/>
        <color theme="1"/>
        <rFont val="Times New Roman"/>
      </rPr>
      <t xml:space="preserve"> TOLL PANJANG </t>
    </r>
  </si>
  <si>
    <t>Jl. Industri I No.9, Utama, Kec. Cimahi Sel., Kota Cimahi, Jawa Barat 40533</t>
  </si>
  <si>
    <t>W 8273 UO + W 8147 UO</t>
  </si>
  <si>
    <t>0822-4587-8408</t>
  </si>
  <si>
    <t xml:space="preserve">Sinar Harapan Aluminium JEPARA </t>
  </si>
  <si>
    <t xml:space="preserve"> Ifin CAM</t>
  </si>
  <si>
    <t xml:space="preserve">Toko Anyar Jaya Jepara </t>
  </si>
  <si>
    <t xml:space="preserve">Sukses Wijaya Indomapan SMG </t>
  </si>
  <si>
    <t xml:space="preserve">DELTAMAS CIKARANG </t>
  </si>
  <si>
    <t>PT. Giat Putra Abadi Cab Surabaya</t>
  </si>
  <si>
    <t>TPS MBA, Jl. Kalianak Barat No.65, Kalianak, Kec. Asem Rowo, Surabaya, Jawa Timur 60165</t>
  </si>
  <si>
    <t>Pergudangan Meiko abadi 3,Sidoarjo No B 39 ya</t>
  </si>
  <si>
    <t xml:space="preserve">PT Catur Sentosa Adiprana Kediri </t>
  </si>
  <si>
    <t xml:space="preserve">CV Narnia Garden Nganjuk </t>
  </si>
  <si>
    <t>B 9867 SCJ</t>
  </si>
  <si>
    <t>082116577955</t>
  </si>
  <si>
    <t>EBC BALI</t>
  </si>
  <si>
    <t>Agus / Riyan</t>
  </si>
  <si>
    <t xml:space="preserve">Agus / Riyan - Imam S CAM </t>
  </si>
  <si>
    <r>
      <rPr>
        <sz val="11"/>
        <color theme="1"/>
        <rFont val="Times New Roman"/>
      </rPr>
      <t>UMUM</t>
    </r>
    <r>
      <rPr>
        <b/>
        <sz val="11"/>
        <color theme="1"/>
        <rFont val="Times New Roman"/>
      </rPr>
      <t xml:space="preserve"> CS PK SIS</t>
    </r>
  </si>
  <si>
    <t>085714523206</t>
  </si>
  <si>
    <t>Gedung Graha Dayaguna</t>
  </si>
  <si>
    <t xml:space="preserve"> Jl. Pulobuaran V, RT.1/RW.7, Jatinegara, Kec. Cakung, Kota Jakarta Timur, Daerah Khusus Ibukota Jakarta 13930</t>
  </si>
  <si>
    <t xml:space="preserve">EBC SBY </t>
  </si>
  <si>
    <t xml:space="preserve"> Sunanta / Sohib</t>
  </si>
  <si>
    <r>
      <rPr>
        <sz val="11"/>
        <color theme="1"/>
        <rFont val="Times New Roman"/>
      </rPr>
      <t xml:space="preserve">W 8145 UO </t>
    </r>
    <r>
      <rPr>
        <b/>
        <sz val="11"/>
        <color theme="1"/>
        <rFont val="Times New Roman"/>
      </rPr>
      <t xml:space="preserve"> Baru Warna Abu</t>
    </r>
  </si>
  <si>
    <t>0858-8842-2640</t>
  </si>
  <si>
    <t xml:space="preserve">Gudang DKP COIL </t>
  </si>
  <si>
    <t>SML RUNGKUT</t>
  </si>
  <si>
    <t xml:space="preserve"> Ridhotul CAM</t>
  </si>
  <si>
    <r>
      <rPr>
        <sz val="11"/>
        <color theme="1"/>
        <rFont val="Times New Roman"/>
      </rPr>
      <t>UMUM</t>
    </r>
    <r>
      <rPr>
        <b/>
        <sz val="11"/>
        <color theme="1"/>
        <rFont val="Times New Roman"/>
      </rPr>
      <t xml:space="preserve"> CS PAK SIS</t>
    </r>
  </si>
  <si>
    <t xml:space="preserve"> S 8075 UW</t>
  </si>
  <si>
    <t xml:space="preserve"> PT WOOK GLOBAL TECHNOLOGI +  SBY Greges Barat Gang Mulyo Asem Rowo 
</t>
  </si>
  <si>
    <t>Jl. Margomulyo No.11b, Balongsari, Kec. Tandes, Surabaya, Jawa Timur 60186</t>
  </si>
  <si>
    <r>
      <rPr>
        <sz val="11"/>
        <color rgb="FF000000"/>
        <rFont val="Calibri"/>
        <scheme val="minor"/>
      </rPr>
      <t xml:space="preserve">Toko Sari Sofa HPL Lumajang </t>
    </r>
    <r>
      <rPr>
        <b/>
        <sz val="11"/>
        <color rgb="FF000000"/>
        <rFont val="Calibri"/>
        <scheme val="minor"/>
      </rPr>
      <t>JAM 8 SDH DILOKASI</t>
    </r>
  </si>
  <si>
    <t>Jl. Lumajang - Jember, Pandanwangi, Tukum, Kec. Tekung, Kabupaten Lumajang, Jawa Timur 67381</t>
  </si>
  <si>
    <t>J&amp;T Oncall Meli - WH ISS</t>
  </si>
  <si>
    <t>JL. RUSA 5A PD RANJI, KEC CIPUTAT, 
 TANGGERANG SELATAN, BANTEN 15422</t>
  </si>
  <si>
    <r>
      <rPr>
        <sz val="11"/>
        <color theme="1"/>
        <rFont val="Times New Roman"/>
      </rPr>
      <t>RSU PKU Muhammadiyah Gubug</t>
    </r>
    <r>
      <rPr>
        <b/>
        <sz val="11"/>
        <color theme="1"/>
        <rFont val="Times New Roman"/>
      </rPr>
      <t xml:space="preserve"> FULL TOLL , TIBA DILOKSI BNGKR SBLM JM 11</t>
    </r>
  </si>
  <si>
    <t>Jl. Letjen R Suprapto No.12, Kuwaron, Kec. Gubug, Kabupaten Grobogan, Jawa Tengah 58164</t>
  </si>
  <si>
    <t>DKSH Narogong Bekasi + DHL Cikarang</t>
  </si>
  <si>
    <t>Roby CAM - Unggul CAM</t>
  </si>
  <si>
    <t xml:space="preserve">Bekasi 58 Colly </t>
  </si>
  <si>
    <t>Rahadi CAM - Nugi CAM - Roby CAM</t>
  </si>
  <si>
    <t>TKBM Bongkar 76,400</t>
  </si>
  <si>
    <t>058/ALFAJKT/VII/2026</t>
  </si>
  <si>
    <t>Karawang 45 Colly</t>
  </si>
  <si>
    <t>Rahadi CAM - Nugi CAM</t>
  </si>
  <si>
    <t xml:space="preserve">TKBM Bongkar 61K </t>
  </si>
  <si>
    <t>059/ALFAJKT/VII/2026</t>
  </si>
  <si>
    <t>029008</t>
  </si>
  <si>
    <t xml:space="preserve"> W 8284 UO </t>
  </si>
  <si>
    <t xml:space="preserve"> W 8011 US </t>
  </si>
  <si>
    <t xml:space="preserve">Connel Semarang </t>
  </si>
  <si>
    <r>
      <rPr>
        <sz val="11"/>
        <color theme="1"/>
        <rFont val="Times New Roman"/>
      </rPr>
      <t xml:space="preserve">Gresik </t>
    </r>
    <r>
      <rPr>
        <b/>
        <sz val="11"/>
        <color theme="1"/>
        <rFont val="Times New Roman"/>
      </rPr>
      <t>PP</t>
    </r>
  </si>
  <si>
    <t>CV Sari Sofa Jaya Abadi</t>
  </si>
  <si>
    <t>Rs Pantai Indah Kapuk</t>
  </si>
  <si>
    <r>
      <rPr>
        <sz val="11"/>
        <color theme="1"/>
        <rFont val="Times New Roman"/>
      </rPr>
      <t xml:space="preserve">DELTAMAS CIKARANG </t>
    </r>
    <r>
      <rPr>
        <b/>
        <sz val="11"/>
        <color theme="1"/>
        <rFont val="Times New Roman"/>
      </rPr>
      <t>TOLL PANJANG</t>
    </r>
  </si>
  <si>
    <t>CIKARANG</t>
  </si>
  <si>
    <t>0813-1535-1985</t>
  </si>
  <si>
    <t>J&amp;T Oncall Planner - PT Malidas Sterilindo</t>
  </si>
  <si>
    <t>Jl. Kidemang Singomenggolo No.22, Sidomulyo, Kec. Buduran, Kabupaten Sidoarjo, Jawa Timur 61252</t>
  </si>
  <si>
    <t>PT Samudera Logistics Services</t>
  </si>
  <si>
    <t>Delta Silicon 2, Jl. Waru No.5 Blok F2, Cibatu, Cikarang Sel., Kabupaten Bekasi, Jawa Barat 17530</t>
  </si>
  <si>
    <t>085188020626</t>
  </si>
  <si>
    <t>PT Mowilex Sidoarjo</t>
  </si>
  <si>
    <t>Trenggalex</t>
  </si>
  <si>
    <r>
      <rPr>
        <sz val="11"/>
        <color theme="1"/>
        <rFont val="Times New Roman"/>
      </rPr>
      <t xml:space="preserve"> S 8136 UW </t>
    </r>
    <r>
      <rPr>
        <b/>
        <sz val="11"/>
        <color theme="1"/>
        <rFont val="Times New Roman"/>
      </rPr>
      <t>UNIT BARU MARON</t>
    </r>
  </si>
  <si>
    <t>081990814000</t>
  </si>
  <si>
    <t xml:space="preserve">EPM Nambangan Kenjeran </t>
  </si>
  <si>
    <t>Jl. Nambangan No.34 36, RW.38, Tanah Kali Kedinding, Kec. Kenjeran, Surabaya, Jawa Timur 60129</t>
  </si>
  <si>
    <t xml:space="preserve">EPM Brebek  </t>
  </si>
  <si>
    <t>Jl. Berbek Industri VII No.8 - 10, Ngeni, Kepuhkiriman, Kec. Waru, Kabupaten Sidoarjo, Jawa Timur 61256</t>
  </si>
  <si>
    <t>Edi CAM</t>
  </si>
  <si>
    <t>TKBM MUAT 300K / TKBM BONGKAR 250K</t>
  </si>
  <si>
    <t xml:space="preserve"> S 8631 UW</t>
  </si>
  <si>
    <t>PT Cahaya Abadi Multiprima</t>
  </si>
  <si>
    <t>Anugerah Aluminium</t>
  </si>
  <si>
    <t>Genesis Kediri</t>
  </si>
  <si>
    <t>029498</t>
  </si>
  <si>
    <t xml:space="preserve">IPM Lingkar Timur </t>
  </si>
  <si>
    <t>Pangan Berkah, Jombang</t>
  </si>
  <si>
    <t>SML JKT</t>
  </si>
  <si>
    <t>Belum Kembali / Belum Dipaketkan</t>
  </si>
  <si>
    <r>
      <rPr>
        <sz val="11"/>
        <color theme="1"/>
        <rFont val="Times New Roman"/>
      </rPr>
      <t xml:space="preserve">Cilacap </t>
    </r>
    <r>
      <rPr>
        <b/>
        <sz val="11"/>
        <color theme="1"/>
        <rFont val="Times New Roman"/>
      </rPr>
      <t>PP</t>
    </r>
  </si>
  <si>
    <r>
      <rPr>
        <sz val="11"/>
        <color theme="1"/>
        <rFont val="Times New Roman"/>
      </rPr>
      <t>PT. Hartono Wiesesa</t>
    </r>
    <r>
      <rPr>
        <b/>
        <sz val="11"/>
        <color theme="1"/>
        <rFont val="Times New Roman"/>
      </rPr>
      <t xml:space="preserve"> BONGKAR PAGI JM 7</t>
    </r>
  </si>
  <si>
    <t>NCS P&amp;G KARAWANG</t>
  </si>
  <si>
    <r>
      <rPr>
        <sz val="11"/>
        <color theme="1"/>
        <rFont val="Times New Roman"/>
      </rPr>
      <t xml:space="preserve">PT Panasonic manufacturing Indonesia  </t>
    </r>
    <r>
      <rPr>
        <b/>
        <sz val="11"/>
        <color theme="1"/>
        <rFont val="Times New Roman"/>
      </rPr>
      <t xml:space="preserve">TOLL PANJANG </t>
    </r>
  </si>
  <si>
    <t xml:space="preserve">TKBM BONGKAR 250K </t>
  </si>
  <si>
    <t>027797</t>
  </si>
  <si>
    <t xml:space="preserve"> H 8322 KX</t>
  </si>
  <si>
    <t>081296764055</t>
  </si>
  <si>
    <t xml:space="preserve"> DMA Semarang</t>
  </si>
  <si>
    <t>Rinduwan / Arman</t>
  </si>
  <si>
    <t>SJ 2600002548</t>
  </si>
  <si>
    <t xml:space="preserve"> W 8581 QJ</t>
  </si>
  <si>
    <t>083876680944</t>
  </si>
  <si>
    <t xml:space="preserve"> Jebsen Lingkar Timur </t>
  </si>
  <si>
    <t>PT Karya Terang Sedati</t>
  </si>
  <si>
    <t>TKBM BONGKAR 68K</t>
  </si>
  <si>
    <t>026385</t>
  </si>
  <si>
    <r>
      <rPr>
        <sz val="11"/>
        <color theme="1"/>
        <rFont val="Times New Roman"/>
      </rPr>
      <t xml:space="preserve">PT. Javas tripta sejahtera </t>
    </r>
    <r>
      <rPr>
        <b/>
        <sz val="11"/>
        <color theme="1"/>
        <rFont val="Times New Roman"/>
      </rPr>
      <t>(MADIUN) 1.853,41 TON</t>
    </r>
  </si>
  <si>
    <t>026386</t>
  </si>
  <si>
    <r>
      <rPr>
        <sz val="11"/>
        <color theme="1"/>
        <rFont val="Times New Roman"/>
      </rPr>
      <t xml:space="preserve">PT. Javas tripta sejahtera </t>
    </r>
    <r>
      <rPr>
        <b/>
        <sz val="11"/>
        <color theme="1"/>
        <rFont val="Times New Roman"/>
      </rPr>
      <t>(PONOROGO) 2.476,22 TON</t>
    </r>
  </si>
  <si>
    <t>029499</t>
  </si>
  <si>
    <t xml:space="preserve"> Karya Indah, Gresik</t>
  </si>
  <si>
    <t xml:space="preserve">SLS Cikarang </t>
  </si>
  <si>
    <t xml:space="preserve"> Mitrapak Bekasi </t>
  </si>
  <si>
    <r>
      <rPr>
        <sz val="11"/>
        <color theme="1"/>
        <rFont val="Times New Roman"/>
      </rPr>
      <t>W 8145 UO</t>
    </r>
    <r>
      <rPr>
        <b/>
        <sz val="11"/>
        <color theme="1"/>
        <rFont val="Times New Roman"/>
      </rPr>
      <t xml:space="preserve"> Baru CDL  Silver</t>
    </r>
  </si>
  <si>
    <t>085888422640</t>
  </si>
  <si>
    <t>Casaland Pergudangan (Dua) Blok C6 Gudang Taco</t>
  </si>
  <si>
    <t>Jl. Barengkrajan, Sidorono Barengkrajan, Kec. Krian Kab. Sidoarjo</t>
  </si>
  <si>
    <t>Podomoro Lumajang</t>
  </si>
  <si>
    <r>
      <rPr>
        <sz val="11"/>
        <color theme="1"/>
        <rFont val="Times New Roman"/>
      </rPr>
      <t>S 8075 UW</t>
    </r>
    <r>
      <rPr>
        <b/>
        <sz val="11"/>
        <color theme="1"/>
        <rFont val="Times New Roman"/>
      </rPr>
      <t xml:space="preserve"> Baru Warna Biru Navy</t>
    </r>
  </si>
  <si>
    <t>0895401100989</t>
  </si>
  <si>
    <t xml:space="preserve">Distrindo Bakti Wutama </t>
  </si>
  <si>
    <t xml:space="preserve"> Riski Kukuh CAM</t>
  </si>
  <si>
    <t>CV Sumber Bangun Jaya Gemilang</t>
  </si>
  <si>
    <t>N 8073 BQ</t>
  </si>
  <si>
    <t>085860660360</t>
  </si>
  <si>
    <r>
      <rPr>
        <sz val="11"/>
        <color theme="1"/>
        <rFont val="Times New Roman"/>
      </rPr>
      <t>NCS</t>
    </r>
    <r>
      <rPr>
        <b/>
        <sz val="11"/>
        <color theme="1"/>
        <rFont val="Times New Roman"/>
      </rPr>
      <t xml:space="preserve"> Bu Sari</t>
    </r>
  </si>
  <si>
    <t>Jl. Kemanggisan Utama Raya No.19, RT.11/RW.6, Kemanggisan, Kec. Palmerah, Kota Jakarta Barat.</t>
  </si>
  <si>
    <t>Firli / Gunawan</t>
  </si>
  <si>
    <t>004889</t>
  </si>
  <si>
    <t>0822-1324-8484</t>
  </si>
  <si>
    <t xml:space="preserve"> Liqun JKT </t>
  </si>
  <si>
    <t>W 8342 UO</t>
  </si>
  <si>
    <t>0857-2938-1023</t>
  </si>
  <si>
    <t>PT Mitramulia Makmur</t>
  </si>
  <si>
    <t>Martines CAM</t>
  </si>
  <si>
    <t>029320</t>
  </si>
  <si>
    <t>0812-3031-9243</t>
  </si>
  <si>
    <t xml:space="preserve">Kosme SBY </t>
  </si>
  <si>
    <t>W 8136 UW</t>
  </si>
  <si>
    <t xml:space="preserve">S 9328 UZ </t>
  </si>
  <si>
    <t>0812-3245-4834</t>
  </si>
  <si>
    <t xml:space="preserve">Depo Jember </t>
  </si>
  <si>
    <t>Aziz CAM</t>
  </si>
  <si>
    <r>
      <rPr>
        <sz val="11"/>
        <color theme="1"/>
        <rFont val="Times New Roman"/>
      </rPr>
      <t>UMUM</t>
    </r>
    <r>
      <rPr>
        <b/>
        <sz val="11"/>
        <color theme="1"/>
        <rFont val="Times New Roman"/>
      </rPr>
      <t xml:space="preserve"> CS PK SIS</t>
    </r>
  </si>
  <si>
    <t xml:space="preserve">L 8168 AC </t>
  </si>
  <si>
    <t>FUSO BAK</t>
  </si>
  <si>
    <t>Kawasan Komersial Fira 51 Blok B-23 Jl. Nambangan No.173, Kedung Cowek, Kec. Bulak, Surabaya, Jawa Timur 60125</t>
  </si>
  <si>
    <t>DEPO SPILL</t>
  </si>
  <si>
    <t>Jl. Laksda Moh. Nazir No.17, Perak Bar., Kec. Krembangan, Surabaya, Jawa Timur 60177</t>
  </si>
  <si>
    <t>Rohman  / Edi</t>
  </si>
  <si>
    <t xml:space="preserve">Alim CAM - IFIN OS </t>
  </si>
  <si>
    <t xml:space="preserve">UTS </t>
  </si>
  <si>
    <t xml:space="preserve">W 8339 UO </t>
  </si>
  <si>
    <t xml:space="preserve">PT. Semesta Perkakas Mandiri Sidoarjo </t>
  </si>
  <si>
    <t>Ritz Gate BE 62, Bohar Timur, Bohar, Kec. Taman, Kabupaten Sidoarjo, Jawa Timur 61257</t>
  </si>
  <si>
    <t>Jl. Suci No.58 9, RT.9/RW.6, Susukan, Kec. Ciracas, Kota Jakarta Timur, Daerah Khusus Ibukota Jakarta 13750</t>
  </si>
  <si>
    <r>
      <rPr>
        <sz val="11"/>
        <color theme="1"/>
        <rFont val="Times New Roman"/>
      </rPr>
      <t xml:space="preserve">S 8136 UW </t>
    </r>
    <r>
      <rPr>
        <b/>
        <sz val="11"/>
        <color theme="1"/>
        <rFont val="Times New Roman"/>
      </rPr>
      <t>Unit  CDL Warna Marun</t>
    </r>
  </si>
  <si>
    <t>Artha Kencana ngagel SBY</t>
  </si>
  <si>
    <t>TKBM MUAT 100K / TKBM BONGKAR 250K</t>
  </si>
  <si>
    <t>TRAGA BOX</t>
  </si>
  <si>
    <t xml:space="preserve"> '085217097729</t>
  </si>
  <si>
    <r>
      <rPr>
        <sz val="11"/>
        <color theme="1"/>
        <rFont val="Times New Roman"/>
      </rPr>
      <t xml:space="preserve">PT anymind technology Indonesia JKT </t>
    </r>
    <r>
      <rPr>
        <b/>
        <sz val="11"/>
        <color theme="1"/>
        <rFont val="Times New Roman"/>
      </rPr>
      <t>TOLL PANJANG</t>
    </r>
  </si>
  <si>
    <t xml:space="preserve">Thamrin nine complex gedung autograph tower lantai 53 unit K -01 jln. MH thamrin no. 10 kebon melati tanah abang jakpus </t>
  </si>
  <si>
    <t xml:space="preserve"> W 8017 UO </t>
  </si>
  <si>
    <r>
      <rPr>
        <sz val="11"/>
        <color theme="1"/>
        <rFont val="Times New Roman"/>
      </rPr>
      <t>PT Tirta Medical Pondok Aren</t>
    </r>
    <r>
      <rPr>
        <b/>
        <sz val="11"/>
        <color theme="1"/>
        <rFont val="Times New Roman"/>
      </rPr>
      <t xml:space="preserve"> TOLL PANJANG</t>
    </r>
  </si>
  <si>
    <t xml:space="preserve">PT Tirta Medical Pondok Aren </t>
  </si>
  <si>
    <t>Sekawan Cosmetics</t>
  </si>
  <si>
    <t>Jalan Lingkar Timur No.183, Dusun Rangkah Lor, Bluru Kidul, Kec. Sidoarjo, Kabupaten Sidoarjo, Jawa Timur 61233</t>
  </si>
  <si>
    <t>CV. INDO JAYA ABADI</t>
  </si>
  <si>
    <t>JL. LODAN RAYA KOMPLEK LODAN CENTER BLOK L NO.8 - 9, ANCOL, PADEMANGAN, JAKARTA UTARA</t>
  </si>
  <si>
    <r>
      <rPr>
        <sz val="11"/>
        <color theme="1"/>
        <rFont val="Times New Roman"/>
      </rPr>
      <t xml:space="preserve"> </t>
    </r>
    <r>
      <rPr>
        <b/>
        <sz val="11"/>
        <color theme="1"/>
        <rFont val="Times New Roman"/>
      </rPr>
      <t xml:space="preserve">ABS KARGO </t>
    </r>
    <r>
      <rPr>
        <sz val="11"/>
        <color theme="1"/>
        <rFont val="Times New Roman"/>
      </rPr>
      <t>PT. ANUGERAH BERKAT SINERGI</t>
    </r>
  </si>
  <si>
    <t>Jl. Lodan Raya No.9B, Ancol, Jakarta Utara (Sebelah Gudang Kayu, depan Gudang Aqua) 14430</t>
  </si>
  <si>
    <r>
      <rPr>
        <sz val="11"/>
        <color theme="1"/>
        <rFont val="Times New Roman"/>
      </rPr>
      <t xml:space="preserve"> S 8136 UW </t>
    </r>
    <r>
      <rPr>
        <b/>
        <sz val="11"/>
        <color theme="1"/>
        <rFont val="Times New Roman"/>
      </rPr>
      <t>Unit Baru Warna Marun</t>
    </r>
  </si>
  <si>
    <t xml:space="preserve"> Edi 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</si>
</sst>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d&quot;-&quot;mmm&quot;-&quot;yy"/>
    <numFmt numFmtId="165" formatCode="0.0"/>
    <numFmt numFmtId="168" formatCode="d\.m"/>
    <numFmt numFmtId="169" formatCode="d\-mmm\-yy"/>
    <numFmt numFmtId="173" formatCode="dd\.mm"/>
    <numFmt numFmtId="175" formatCode="0.000"/>
  </numFmts>
  <fonts count="25">
    <font>
      <sz val="11"/>
      <color theme="1"/>
      <name val="Calibri"/>
      <scheme val="minor"/>
    </font>
    <font>
      <b/>
      <sz val="10"/>
      <color theme="1"/>
      <name val="Times New Roman"/>
    </font>
    <font>
      <sz val="11"/>
      <color theme="1"/>
      <name val="Times New Roman"/>
    </font>
    <font>
      <b/>
      <sz val="13"/>
      <color theme="1"/>
      <name val="Times New Roman"/>
    </font>
    <font>
      <sz val="10"/>
      <color theme="1"/>
      <name val="Times New Roman"/>
    </font>
    <font>
      <sz val="11"/>
      <name val="Calibri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Times New Roman"/>
    </font>
    <font>
      <b/>
      <sz val="11"/>
      <color theme="1"/>
      <name val="Calibri"/>
    </font>
    <font>
      <b/>
      <sz val="15"/>
      <color theme="1"/>
      <name val="Times New Roman"/>
    </font>
    <font>
      <sz val="15"/>
      <color theme="1"/>
      <name val="Calibri"/>
      <scheme val="minor"/>
    </font>
    <font>
      <sz val="11"/>
      <color rgb="FF000000"/>
      <name val="&quot;Google Sans&quot;"/>
    </font>
    <font>
      <b/>
      <sz val="11"/>
      <color rgb="FF000000"/>
      <name val="&quot;Google Sans&quot;"/>
    </font>
    <font>
      <sz val="11"/>
      <color rgb="FF1F1F1F"/>
      <name val="Times New Roman"/>
    </font>
    <font>
      <sz val="11"/>
      <color rgb="FF1F1F1F"/>
      <name val="Arial"/>
    </font>
    <font>
      <sz val="11"/>
      <color rgb="FF1F1F1F"/>
      <name val="&quot;Google Sans&quot;"/>
    </font>
    <font>
      <sz val="11"/>
      <color rgb="FF000000"/>
      <name val="Arial"/>
    </font>
    <font>
      <b/>
      <sz val="11"/>
      <color theme="1"/>
      <name val="Times New Roman"/>
    </font>
    <font>
      <b/>
      <sz val="11"/>
      <color rgb="FFFF0000"/>
      <name val="Times New Roman"/>
    </font>
    <font>
      <sz val="11"/>
      <color rgb="FFFF0000"/>
      <name val="Times New Roman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3399"/>
        <bgColor rgb="FFFF33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57BB8A"/>
        <bgColor rgb="FF57BB8A"/>
      </patternFill>
    </fill>
    <fill>
      <patternFill patternType="solid">
        <fgColor rgb="FFF8FAFD"/>
        <bgColor rgb="FFF8FAFD"/>
      </patternFill>
    </fill>
    <fill>
      <patternFill patternType="solid">
        <fgColor rgb="FF38761D"/>
        <bgColor rgb="FF38761D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3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5" fontId="6" fillId="0" borderId="12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165" fontId="6" fillId="4" borderId="12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2" fillId="0" borderId="12" xfId="0" quotePrefix="1" applyFont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  <xf numFmtId="165" fontId="2" fillId="4" borderId="12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165" fontId="2" fillId="4" borderId="14" xfId="0" applyNumberFormat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165" fontId="2" fillId="4" borderId="12" xfId="0" applyNumberFormat="1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65" fontId="2" fillId="4" borderId="12" xfId="0" applyNumberFormat="1" applyFont="1" applyFill="1" applyBorder="1" applyAlignment="1">
      <alignment vertical="center" wrapText="1"/>
    </xf>
    <xf numFmtId="0" fontId="4" fillId="5" borderId="12" xfId="0" applyFont="1" applyFill="1" applyBorder="1"/>
    <xf numFmtId="0" fontId="4" fillId="0" borderId="12" xfId="0" applyFont="1" applyBorder="1"/>
    <xf numFmtId="0" fontId="4" fillId="0" borderId="12" xfId="0" applyFont="1" applyBorder="1" applyAlignment="1">
      <alignment horizontal="left"/>
    </xf>
    <xf numFmtId="14" fontId="2" fillId="4" borderId="13" xfId="0" applyNumberFormat="1" applyFont="1" applyFill="1" applyBorder="1" applyAlignment="1">
      <alignment horizontal="center" vertical="center" wrapText="1"/>
    </xf>
    <xf numFmtId="14" fontId="2" fillId="4" borderId="12" xfId="0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/>
    </xf>
    <xf numFmtId="0" fontId="2" fillId="4" borderId="12" xfId="0" applyFont="1" applyFill="1" applyBorder="1" applyAlignment="1">
      <alignment vertical="center" wrapText="1"/>
    </xf>
    <xf numFmtId="0" fontId="4" fillId="4" borderId="12" xfId="0" applyFont="1" applyFill="1" applyBorder="1"/>
    <xf numFmtId="165" fontId="2" fillId="4" borderId="12" xfId="0" applyNumberFormat="1" applyFont="1" applyFill="1" applyBorder="1" applyAlignment="1">
      <alignment wrapText="1"/>
    </xf>
    <xf numFmtId="0" fontId="4" fillId="6" borderId="12" xfId="0" applyFont="1" applyFill="1" applyBorder="1" applyAlignment="1">
      <alignment horizontal="center"/>
    </xf>
    <xf numFmtId="0" fontId="4" fillId="6" borderId="12" xfId="0" applyFont="1" applyFill="1" applyBorder="1"/>
    <xf numFmtId="0" fontId="2" fillId="4" borderId="12" xfId="0" quotePrefix="1" applyFont="1" applyFill="1" applyBorder="1" applyAlignment="1">
      <alignment horizontal="center" vertical="center" wrapText="1"/>
    </xf>
    <xf numFmtId="165" fontId="6" fillId="4" borderId="12" xfId="0" applyNumberFormat="1" applyFont="1" applyFill="1" applyBorder="1" applyAlignment="1">
      <alignment horizontal="left" vertical="center" wrapText="1"/>
    </xf>
    <xf numFmtId="165" fontId="2" fillId="4" borderId="13" xfId="0" applyNumberFormat="1" applyFont="1" applyFill="1" applyBorder="1" applyAlignment="1">
      <alignment wrapText="1"/>
    </xf>
    <xf numFmtId="0" fontId="6" fillId="4" borderId="12" xfId="0" quotePrefix="1" applyFont="1" applyFill="1" applyBorder="1" applyAlignment="1">
      <alignment horizontal="center" vertical="center" wrapText="1"/>
    </xf>
    <xf numFmtId="0" fontId="2" fillId="4" borderId="12" xfId="0" quotePrefix="1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center" vertical="center" wrapText="1"/>
    </xf>
    <xf numFmtId="165" fontId="2" fillId="4" borderId="13" xfId="0" applyNumberFormat="1" applyFont="1" applyFill="1" applyBorder="1" applyAlignment="1">
      <alignment horizontal="left" vertical="center" wrapText="1"/>
    </xf>
    <xf numFmtId="165" fontId="2" fillId="4" borderId="14" xfId="0" applyNumberFormat="1" applyFont="1" applyFill="1" applyBorder="1" applyAlignment="1">
      <alignment horizontal="left" vertical="center" wrapText="1"/>
    </xf>
    <xf numFmtId="168" fontId="4" fillId="0" borderId="12" xfId="0" applyNumberFormat="1" applyFont="1" applyBorder="1" applyAlignment="1">
      <alignment horizontal="center"/>
    </xf>
    <xf numFmtId="165" fontId="2" fillId="5" borderId="12" xfId="0" applyNumberFormat="1" applyFont="1" applyFill="1" applyBorder="1" applyAlignment="1">
      <alignment horizontal="center" vertical="center" wrapText="1"/>
    </xf>
    <xf numFmtId="14" fontId="2" fillId="5" borderId="13" xfId="0" applyNumberFormat="1" applyFont="1" applyFill="1" applyBorder="1" applyAlignment="1">
      <alignment horizontal="center" vertical="center" wrapText="1"/>
    </xf>
    <xf numFmtId="14" fontId="2" fillId="0" borderId="12" xfId="0" applyNumberFormat="1" applyFont="1" applyBorder="1" applyAlignment="1">
      <alignment horizontal="center" vertical="center" wrapText="1"/>
    </xf>
    <xf numFmtId="165" fontId="2" fillId="0" borderId="12" xfId="0" applyNumberFormat="1" applyFont="1" applyBorder="1" applyAlignment="1">
      <alignment horizontal="center" vertical="center" wrapText="1"/>
    </xf>
    <xf numFmtId="165" fontId="2" fillId="0" borderId="12" xfId="0" applyNumberFormat="1" applyFont="1" applyBorder="1" applyAlignment="1">
      <alignment horizontal="left" vertical="center" wrapText="1"/>
    </xf>
    <xf numFmtId="14" fontId="2" fillId="0" borderId="13" xfId="0" applyNumberFormat="1" applyFont="1" applyBorder="1" applyAlignment="1">
      <alignment horizontal="center" vertical="center" wrapText="1"/>
    </xf>
    <xf numFmtId="165" fontId="2" fillId="4" borderId="13" xfId="0" applyNumberFormat="1" applyFont="1" applyFill="1" applyBorder="1" applyAlignment="1">
      <alignment vertical="center" wrapText="1"/>
    </xf>
    <xf numFmtId="14" fontId="2" fillId="4" borderId="12" xfId="0" applyNumberFormat="1" applyFont="1" applyFill="1" applyBorder="1" applyAlignment="1">
      <alignment vertical="center" wrapText="1"/>
    </xf>
    <xf numFmtId="15" fontId="4" fillId="6" borderId="12" xfId="0" applyNumberFormat="1" applyFont="1" applyFill="1" applyBorder="1" applyAlignment="1">
      <alignment horizontal="center"/>
    </xf>
    <xf numFmtId="165" fontId="2" fillId="4" borderId="16" xfId="0" applyNumberFormat="1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left"/>
    </xf>
    <xf numFmtId="165" fontId="2" fillId="4" borderId="13" xfId="0" applyNumberFormat="1" applyFont="1" applyFill="1" applyBorder="1" applyAlignment="1">
      <alignment horizontal="center" vertical="center" wrapText="1"/>
    </xf>
    <xf numFmtId="0" fontId="8" fillId="0" borderId="0" xfId="0" applyFont="1"/>
    <xf numFmtId="169" fontId="4" fillId="0" borderId="12" xfId="0" applyNumberFormat="1" applyFont="1" applyBorder="1" applyAlignment="1">
      <alignment horizontal="center"/>
    </xf>
    <xf numFmtId="3" fontId="4" fillId="0" borderId="12" xfId="0" applyNumberFormat="1" applyFont="1" applyBorder="1" applyAlignment="1">
      <alignment horizontal="center"/>
    </xf>
    <xf numFmtId="165" fontId="2" fillId="4" borderId="15" xfId="0" applyNumberFormat="1" applyFont="1" applyFill="1" applyBorder="1" applyAlignment="1">
      <alignment horizontal="center" vertical="center" wrapText="1"/>
    </xf>
    <xf numFmtId="0" fontId="8" fillId="0" borderId="12" xfId="0" applyFont="1" applyBorder="1"/>
    <xf numFmtId="0" fontId="4" fillId="5" borderId="12" xfId="0" applyFont="1" applyFill="1" applyBorder="1" applyAlignment="1">
      <alignment vertical="center"/>
    </xf>
    <xf numFmtId="0" fontId="4" fillId="0" borderId="12" xfId="0" applyFont="1" applyBorder="1" applyAlignment="1">
      <alignment horizontal="right"/>
    </xf>
    <xf numFmtId="0" fontId="4" fillId="0" borderId="0" xfId="0" applyFont="1" applyAlignment="1">
      <alignment horizontal="center"/>
    </xf>
    <xf numFmtId="165" fontId="2" fillId="4" borderId="17" xfId="0" applyNumberFormat="1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/>
    </xf>
    <xf numFmtId="0" fontId="4" fillId="4" borderId="12" xfId="0" quotePrefix="1" applyFont="1" applyFill="1" applyBorder="1"/>
    <xf numFmtId="0" fontId="2" fillId="4" borderId="13" xfId="0" applyFont="1" applyFill="1" applyBorder="1" applyAlignment="1">
      <alignment vertical="center" wrapText="1"/>
    </xf>
    <xf numFmtId="0" fontId="4" fillId="7" borderId="12" xfId="0" applyFont="1" applyFill="1" applyBorder="1" applyAlignment="1">
      <alignment horizontal="left"/>
    </xf>
    <xf numFmtId="173" fontId="4" fillId="0" borderId="12" xfId="0" applyNumberFormat="1" applyFont="1" applyBorder="1" applyAlignment="1">
      <alignment horizontal="center"/>
    </xf>
    <xf numFmtId="165" fontId="2" fillId="5" borderId="12" xfId="0" applyNumberFormat="1" applyFont="1" applyFill="1" applyBorder="1" applyAlignment="1">
      <alignment vertical="center" wrapText="1"/>
    </xf>
    <xf numFmtId="165" fontId="2" fillId="5" borderId="13" xfId="0" applyNumberFormat="1" applyFont="1" applyFill="1" applyBorder="1" applyAlignment="1">
      <alignment vertical="center" wrapText="1"/>
    </xf>
    <xf numFmtId="165" fontId="12" fillId="8" borderId="12" xfId="0" applyNumberFormat="1" applyFont="1" applyFill="1" applyBorder="1" applyAlignment="1">
      <alignment horizontal="center" vertical="center" wrapText="1"/>
    </xf>
    <xf numFmtId="14" fontId="12" fillId="8" borderId="12" xfId="0" applyNumberFormat="1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13" fillId="0" borderId="0" xfId="0" applyFont="1"/>
    <xf numFmtId="14" fontId="2" fillId="5" borderId="12" xfId="0" applyNumberFormat="1" applyFont="1" applyFill="1" applyBorder="1" applyAlignment="1">
      <alignment horizontal="center" vertical="center" wrapText="1"/>
    </xf>
    <xf numFmtId="0" fontId="2" fillId="5" borderId="12" xfId="0" quotePrefix="1" applyFont="1" applyFill="1" applyBorder="1" applyAlignment="1">
      <alignment horizontal="center" vertical="center" wrapText="1"/>
    </xf>
    <xf numFmtId="165" fontId="2" fillId="5" borderId="12" xfId="0" applyNumberFormat="1" applyFont="1" applyFill="1" applyBorder="1" applyAlignment="1">
      <alignment horizontal="left" vertical="center" wrapText="1"/>
    </xf>
    <xf numFmtId="165" fontId="6" fillId="5" borderId="12" xfId="0" applyNumberFormat="1" applyFont="1" applyFill="1" applyBorder="1" applyAlignment="1">
      <alignment horizontal="center" vertical="center" wrapText="1"/>
    </xf>
    <xf numFmtId="165" fontId="2" fillId="5" borderId="12" xfId="0" applyNumberFormat="1" applyFont="1" applyFill="1" applyBorder="1" applyAlignment="1">
      <alignment wrapText="1"/>
    </xf>
    <xf numFmtId="165" fontId="2" fillId="5" borderId="13" xfId="0" applyNumberFormat="1" applyFont="1" applyFill="1" applyBorder="1" applyAlignment="1">
      <alignment wrapText="1"/>
    </xf>
    <xf numFmtId="0" fontId="6" fillId="4" borderId="12" xfId="0" applyFont="1" applyFill="1" applyBorder="1" applyAlignment="1">
      <alignment horizontal="center" vertical="center" wrapText="1"/>
    </xf>
    <xf numFmtId="165" fontId="14" fillId="4" borderId="12" xfId="0" applyNumberFormat="1" applyFont="1" applyFill="1" applyBorder="1" applyAlignment="1">
      <alignment horizontal="left" vertical="center" wrapText="1"/>
    </xf>
    <xf numFmtId="165" fontId="9" fillId="4" borderId="12" xfId="0" applyNumberFormat="1" applyFont="1" applyFill="1" applyBorder="1" applyAlignment="1">
      <alignment vertical="center"/>
    </xf>
    <xf numFmtId="165" fontId="11" fillId="4" borderId="12" xfId="0" applyNumberFormat="1" applyFont="1" applyFill="1" applyBorder="1" applyAlignment="1">
      <alignment vertical="center"/>
    </xf>
    <xf numFmtId="165" fontId="15" fillId="4" borderId="0" xfId="0" applyNumberFormat="1" applyFont="1" applyFill="1" applyAlignment="1">
      <alignment horizontal="left" vertical="center" wrapText="1"/>
    </xf>
    <xf numFmtId="165" fontId="16" fillId="4" borderId="12" xfId="0" applyNumberFormat="1" applyFont="1" applyFill="1" applyBorder="1" applyAlignment="1">
      <alignment horizontal="left" vertical="center" wrapText="1"/>
    </xf>
    <xf numFmtId="175" fontId="2" fillId="4" borderId="12" xfId="0" applyNumberFormat="1" applyFont="1" applyFill="1" applyBorder="1" applyAlignment="1">
      <alignment horizontal="center" vertical="center" wrapText="1"/>
    </xf>
    <xf numFmtId="0" fontId="8" fillId="4" borderId="0" xfId="0" applyFont="1" applyFill="1" applyAlignment="1">
      <alignment vertical="center"/>
    </xf>
    <xf numFmtId="0" fontId="8" fillId="4" borderId="0" xfId="0" applyFont="1" applyFill="1"/>
    <xf numFmtId="0" fontId="8" fillId="4" borderId="0" xfId="0" quotePrefix="1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 wrapText="1"/>
    </xf>
    <xf numFmtId="165" fontId="17" fillId="4" borderId="12" xfId="0" applyNumberFormat="1" applyFont="1" applyFill="1" applyBorder="1" applyAlignment="1">
      <alignment vertical="center" wrapText="1"/>
    </xf>
    <xf numFmtId="165" fontId="17" fillId="4" borderId="0" xfId="0" applyNumberFormat="1" applyFont="1" applyFill="1" applyAlignment="1">
      <alignment vertical="center" wrapText="1"/>
    </xf>
    <xf numFmtId="0" fontId="8" fillId="5" borderId="0" xfId="0" applyFont="1" applyFill="1"/>
    <xf numFmtId="0" fontId="6" fillId="5" borderId="12" xfId="0" quotePrefix="1" applyFont="1" applyFill="1" applyBorder="1" applyAlignment="1">
      <alignment horizontal="center" vertical="center" wrapText="1"/>
    </xf>
    <xf numFmtId="14" fontId="2" fillId="9" borderId="12" xfId="0" applyNumberFormat="1" applyFont="1" applyFill="1" applyBorder="1" applyAlignment="1">
      <alignment horizontal="center" vertical="center" wrapText="1"/>
    </xf>
    <xf numFmtId="0" fontId="2" fillId="9" borderId="12" xfId="0" applyFont="1" applyFill="1" applyBorder="1" applyAlignment="1">
      <alignment horizontal="center" vertical="center" wrapText="1"/>
    </xf>
    <xf numFmtId="165" fontId="2" fillId="9" borderId="12" xfId="0" applyNumberFormat="1" applyFont="1" applyFill="1" applyBorder="1" applyAlignment="1">
      <alignment horizontal="center" vertical="center" wrapText="1"/>
    </xf>
    <xf numFmtId="0" fontId="2" fillId="9" borderId="12" xfId="0" quotePrefix="1" applyFont="1" applyFill="1" applyBorder="1" applyAlignment="1">
      <alignment horizontal="center" vertical="center" wrapText="1"/>
    </xf>
    <xf numFmtId="165" fontId="2" fillId="9" borderId="12" xfId="0" applyNumberFormat="1" applyFont="1" applyFill="1" applyBorder="1" applyAlignment="1">
      <alignment horizontal="left" vertical="center" wrapText="1"/>
    </xf>
    <xf numFmtId="165" fontId="17" fillId="9" borderId="12" xfId="0" applyNumberFormat="1" applyFont="1" applyFill="1" applyBorder="1" applyAlignment="1">
      <alignment horizontal="left" vertical="center" wrapText="1"/>
    </xf>
    <xf numFmtId="165" fontId="6" fillId="9" borderId="12" xfId="0" applyNumberFormat="1" applyFont="1" applyFill="1" applyBorder="1" applyAlignment="1">
      <alignment horizontal="center" vertical="center" wrapText="1"/>
    </xf>
    <xf numFmtId="165" fontId="17" fillId="9" borderId="0" xfId="0" applyNumberFormat="1" applyFont="1" applyFill="1" applyAlignment="1">
      <alignment horizontal="left" vertical="center" wrapText="1"/>
    </xf>
    <xf numFmtId="14" fontId="2" fillId="10" borderId="12" xfId="0" applyNumberFormat="1" applyFont="1" applyFill="1" applyBorder="1" applyAlignment="1">
      <alignment horizontal="center" vertical="center" wrapText="1"/>
    </xf>
    <xf numFmtId="0" fontId="2" fillId="10" borderId="12" xfId="0" quotePrefix="1" applyFont="1" applyFill="1" applyBorder="1" applyAlignment="1">
      <alignment horizontal="center" vertical="center" wrapText="1"/>
    </xf>
    <xf numFmtId="165" fontId="2" fillId="10" borderId="12" xfId="0" applyNumberFormat="1" applyFont="1" applyFill="1" applyBorder="1" applyAlignment="1">
      <alignment horizontal="center" vertical="center" wrapText="1"/>
    </xf>
    <xf numFmtId="165" fontId="2" fillId="10" borderId="12" xfId="0" applyNumberFormat="1" applyFont="1" applyFill="1" applyBorder="1" applyAlignment="1">
      <alignment horizontal="left" vertical="center" wrapText="1"/>
    </xf>
    <xf numFmtId="165" fontId="6" fillId="10" borderId="12" xfId="0" applyNumberFormat="1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165" fontId="6" fillId="5" borderId="12" xfId="0" applyNumberFormat="1" applyFont="1" applyFill="1" applyBorder="1" applyAlignment="1">
      <alignment horizontal="left" vertical="center" wrapText="1"/>
    </xf>
    <xf numFmtId="0" fontId="8" fillId="4" borderId="0" xfId="0" applyFont="1" applyFill="1" applyAlignment="1">
      <alignment vertical="center" wrapText="1"/>
    </xf>
    <xf numFmtId="0" fontId="8" fillId="5" borderId="12" xfId="0" applyFont="1" applyFill="1" applyBorder="1" applyAlignment="1">
      <alignment wrapText="1"/>
    </xf>
    <xf numFmtId="0" fontId="6" fillId="5" borderId="12" xfId="0" applyFont="1" applyFill="1" applyBorder="1" applyAlignment="1">
      <alignment horizontal="left" vertical="center" wrapText="1"/>
    </xf>
    <xf numFmtId="175" fontId="2" fillId="5" borderId="12" xfId="0" applyNumberFormat="1" applyFont="1" applyFill="1" applyBorder="1" applyAlignment="1">
      <alignment horizontal="center" vertical="center" wrapText="1"/>
    </xf>
    <xf numFmtId="1" fontId="2" fillId="4" borderId="12" xfId="0" applyNumberFormat="1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vertical="center"/>
    </xf>
    <xf numFmtId="165" fontId="6" fillId="9" borderId="12" xfId="0" applyNumberFormat="1" applyFont="1" applyFill="1" applyBorder="1" applyAlignment="1">
      <alignment horizontal="left" vertical="center" wrapText="1"/>
    </xf>
    <xf numFmtId="165" fontId="17" fillId="4" borderId="0" xfId="0" applyNumberFormat="1" applyFont="1" applyFill="1" applyAlignment="1">
      <alignment horizontal="left" vertical="center" wrapText="1"/>
    </xf>
    <xf numFmtId="165" fontId="14" fillId="4" borderId="0" xfId="0" applyNumberFormat="1" applyFont="1" applyFill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175" fontId="2" fillId="5" borderId="12" xfId="0" applyNumberFormat="1" applyFont="1" applyFill="1" applyBorder="1" applyAlignment="1">
      <alignment vertical="center" wrapText="1"/>
    </xf>
    <xf numFmtId="0" fontId="8" fillId="5" borderId="0" xfId="0" applyFont="1" applyFill="1" applyAlignment="1">
      <alignment vertical="center"/>
    </xf>
    <xf numFmtId="165" fontId="14" fillId="5" borderId="0" xfId="0" applyNumberFormat="1" applyFont="1" applyFill="1" applyAlignment="1">
      <alignment horizontal="left" vertical="center" wrapText="1"/>
    </xf>
    <xf numFmtId="0" fontId="7" fillId="4" borderId="12" xfId="0" applyFont="1" applyFill="1" applyBorder="1" applyAlignment="1">
      <alignment horizontal="center" vertical="center"/>
    </xf>
    <xf numFmtId="0" fontId="7" fillId="4" borderId="12" xfId="0" quotePrefix="1" applyFont="1" applyFill="1" applyBorder="1" applyAlignment="1">
      <alignment horizontal="center" vertical="center"/>
    </xf>
    <xf numFmtId="165" fontId="19" fillId="5" borderId="0" xfId="0" applyNumberFormat="1" applyFont="1" applyFill="1" applyAlignment="1">
      <alignment wrapText="1"/>
    </xf>
    <xf numFmtId="0" fontId="7" fillId="4" borderId="12" xfId="0" applyFont="1" applyFill="1" applyBorder="1" applyAlignment="1">
      <alignment vertical="center"/>
    </xf>
    <xf numFmtId="14" fontId="2" fillId="11" borderId="12" xfId="0" applyNumberFormat="1" applyFont="1" applyFill="1" applyBorder="1" applyAlignment="1">
      <alignment horizontal="center" vertical="center" wrapText="1"/>
    </xf>
    <xf numFmtId="0" fontId="2" fillId="11" borderId="12" xfId="0" applyFont="1" applyFill="1" applyBorder="1" applyAlignment="1">
      <alignment horizontal="center" vertical="center" wrapText="1"/>
    </xf>
    <xf numFmtId="165" fontId="2" fillId="11" borderId="12" xfId="0" applyNumberFormat="1" applyFont="1" applyFill="1" applyBorder="1" applyAlignment="1">
      <alignment horizontal="center" vertical="center" wrapText="1"/>
    </xf>
    <xf numFmtId="0" fontId="2" fillId="11" borderId="12" xfId="0" quotePrefix="1" applyFont="1" applyFill="1" applyBorder="1" applyAlignment="1">
      <alignment horizontal="center" vertical="center" wrapText="1"/>
    </xf>
    <xf numFmtId="165" fontId="2" fillId="11" borderId="12" xfId="0" applyNumberFormat="1" applyFont="1" applyFill="1" applyBorder="1" applyAlignment="1">
      <alignment horizontal="left" vertical="center" wrapText="1"/>
    </xf>
    <xf numFmtId="165" fontId="2" fillId="11" borderId="12" xfId="0" applyNumberFormat="1" applyFont="1" applyFill="1" applyBorder="1" applyAlignment="1">
      <alignment vertical="center" wrapText="1"/>
    </xf>
    <xf numFmtId="165" fontId="6" fillId="11" borderId="12" xfId="0" applyNumberFormat="1" applyFont="1" applyFill="1" applyBorder="1" applyAlignment="1">
      <alignment horizontal="center" vertical="center" wrapText="1"/>
    </xf>
    <xf numFmtId="14" fontId="7" fillId="5" borderId="12" xfId="0" applyNumberFormat="1" applyFont="1" applyFill="1" applyBorder="1" applyAlignment="1">
      <alignment vertical="center"/>
    </xf>
    <xf numFmtId="0" fontId="7" fillId="5" borderId="12" xfId="0" applyFont="1" applyFill="1" applyBorder="1" applyAlignment="1">
      <alignment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2" xfId="0" quotePrefix="1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left" vertical="center"/>
    </xf>
    <xf numFmtId="0" fontId="20" fillId="5" borderId="12" xfId="0" applyFont="1" applyFill="1" applyBorder="1" applyAlignment="1">
      <alignment vertical="center"/>
    </xf>
    <xf numFmtId="14" fontId="7" fillId="4" borderId="12" xfId="0" applyNumberFormat="1" applyFont="1" applyFill="1" applyBorder="1" applyAlignment="1">
      <alignment vertical="center"/>
    </xf>
    <xf numFmtId="0" fontId="7" fillId="4" borderId="12" xfId="0" applyFont="1" applyFill="1" applyBorder="1" applyAlignment="1">
      <alignment horizontal="left" vertical="center"/>
    </xf>
    <xf numFmtId="0" fontId="7" fillId="4" borderId="12" xfId="0" applyFont="1" applyFill="1" applyBorder="1" applyAlignment="1">
      <alignment horizontal="left" vertical="center" wrapText="1"/>
    </xf>
    <xf numFmtId="0" fontId="20" fillId="4" borderId="12" xfId="0" applyFont="1" applyFill="1" applyBorder="1" applyAlignment="1">
      <alignment vertical="center"/>
    </xf>
    <xf numFmtId="0" fontId="7" fillId="4" borderId="12" xfId="0" quotePrefix="1" applyFont="1" applyFill="1" applyBorder="1" applyAlignment="1">
      <alignment vertical="center"/>
    </xf>
    <xf numFmtId="0" fontId="20" fillId="4" borderId="12" xfId="0" applyFont="1" applyFill="1" applyBorder="1" applyAlignment="1">
      <alignment horizontal="center" vertical="center"/>
    </xf>
    <xf numFmtId="14" fontId="7" fillId="5" borderId="12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wrapText="1"/>
    </xf>
    <xf numFmtId="0" fontId="2" fillId="5" borderId="13" xfId="0" applyFont="1" applyFill="1" applyBorder="1" applyAlignment="1">
      <alignment vertical="center" wrapText="1"/>
    </xf>
    <xf numFmtId="0" fontId="7" fillId="5" borderId="12" xfId="0" applyFont="1" applyFill="1" applyBorder="1" applyAlignment="1">
      <alignment horizontal="left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/>
    </xf>
    <xf numFmtId="0" fontId="7" fillId="11" borderId="12" xfId="0" applyFont="1" applyFill="1" applyBorder="1" applyAlignment="1">
      <alignment horizontal="left" vertical="center" wrapText="1"/>
    </xf>
    <xf numFmtId="0" fontId="7" fillId="11" borderId="12" xfId="0" applyFont="1" applyFill="1" applyBorder="1" applyAlignment="1">
      <alignment horizontal="left" vertical="center"/>
    </xf>
    <xf numFmtId="0" fontId="7" fillId="11" borderId="12" xfId="0" applyFont="1" applyFill="1" applyBorder="1" applyAlignment="1">
      <alignment vertical="center"/>
    </xf>
    <xf numFmtId="0" fontId="7" fillId="11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wrapText="1"/>
    </xf>
    <xf numFmtId="14" fontId="7" fillId="11" borderId="12" xfId="0" applyNumberFormat="1" applyFont="1" applyFill="1" applyBorder="1" applyAlignment="1">
      <alignment vertical="center"/>
    </xf>
    <xf numFmtId="0" fontId="7" fillId="11" borderId="12" xfId="0" quotePrefix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wrapText="1"/>
    </xf>
    <xf numFmtId="0" fontId="20" fillId="5" borderId="12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vertical="center"/>
    </xf>
    <xf numFmtId="14" fontId="7" fillId="4" borderId="0" xfId="0" applyNumberFormat="1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left" vertical="center" wrapText="1"/>
    </xf>
    <xf numFmtId="165" fontId="2" fillId="4" borderId="0" xfId="0" applyNumberFormat="1" applyFont="1" applyFill="1" applyAlignment="1">
      <alignment horizontal="center" vertical="center" wrapText="1"/>
    </xf>
    <xf numFmtId="165" fontId="6" fillId="4" borderId="0" xfId="0" applyNumberFormat="1" applyFont="1" applyFill="1" applyAlignment="1">
      <alignment horizontal="center" vertical="center" wrapText="1"/>
    </xf>
    <xf numFmtId="165" fontId="2" fillId="4" borderId="0" xfId="0" applyNumberFormat="1" applyFont="1" applyFill="1" applyAlignment="1">
      <alignment horizontal="left" vertical="center" wrapText="1"/>
    </xf>
    <xf numFmtId="165" fontId="2" fillId="4" borderId="0" xfId="0" applyNumberFormat="1" applyFont="1" applyFill="1" applyAlignment="1">
      <alignment vertical="center" wrapText="1"/>
    </xf>
    <xf numFmtId="14" fontId="2" fillId="4" borderId="0" xfId="0" applyNumberFormat="1" applyFont="1" applyFill="1" applyAlignment="1">
      <alignment horizontal="center" vertical="center" wrapText="1"/>
    </xf>
    <xf numFmtId="165" fontId="2" fillId="4" borderId="16" xfId="0" applyNumberFormat="1" applyFont="1" applyFill="1" applyBorder="1" applyAlignment="1">
      <alignment vertical="center" wrapText="1"/>
    </xf>
    <xf numFmtId="0" fontId="5" fillId="0" borderId="18" xfId="0" applyFont="1" applyBorder="1"/>
    <xf numFmtId="0" fontId="5" fillId="0" borderId="19" xfId="0" applyFont="1" applyBorder="1"/>
    <xf numFmtId="165" fontId="2" fillId="4" borderId="14" xfId="0" applyNumberFormat="1" applyFont="1" applyFill="1" applyBorder="1" applyAlignment="1">
      <alignment horizontal="center" vertical="center" wrapText="1"/>
    </xf>
    <xf numFmtId="0" fontId="5" fillId="0" borderId="17" xfId="0" applyFont="1" applyBorder="1"/>
    <xf numFmtId="0" fontId="5" fillId="0" borderId="15" xfId="0" applyFont="1" applyBorder="1"/>
    <xf numFmtId="165" fontId="2" fillId="4" borderId="20" xfId="0" applyNumberFormat="1" applyFont="1" applyFill="1" applyBorder="1" applyAlignment="1">
      <alignment horizontal="center" vertical="center" wrapText="1"/>
    </xf>
    <xf numFmtId="0" fontId="5" fillId="0" borderId="16" xfId="0" applyFont="1" applyBorder="1"/>
    <xf numFmtId="0" fontId="5" fillId="0" borderId="21" xfId="0" applyFont="1" applyBorder="1"/>
    <xf numFmtId="0" fontId="5" fillId="0" borderId="22" xfId="0" applyFont="1" applyBorder="1"/>
    <xf numFmtId="165" fontId="2" fillId="4" borderId="14" xfId="0" applyNumberFormat="1" applyFont="1" applyFill="1" applyBorder="1" applyAlignment="1">
      <alignment horizontal="left" vertical="center" wrapText="1"/>
    </xf>
    <xf numFmtId="0" fontId="2" fillId="4" borderId="14" xfId="0" quotePrefix="1" applyFont="1" applyFill="1" applyBorder="1" applyAlignment="1">
      <alignment horizontal="center" vertical="center" wrapText="1"/>
    </xf>
    <xf numFmtId="165" fontId="2" fillId="4" borderId="14" xfId="0" applyNumberFormat="1" applyFont="1" applyFill="1" applyBorder="1" applyAlignment="1">
      <alignment vertical="center" wrapText="1"/>
    </xf>
    <xf numFmtId="175" fontId="2" fillId="4" borderId="14" xfId="0" applyNumberFormat="1" applyFont="1" applyFill="1" applyBorder="1" applyAlignment="1">
      <alignment horizontal="center" vertical="center" wrapText="1"/>
    </xf>
    <xf numFmtId="165" fontId="6" fillId="4" borderId="14" xfId="0" applyNumberFormat="1" applyFont="1" applyFill="1" applyBorder="1" applyAlignment="1">
      <alignment horizontal="center" vertical="center" wrapText="1"/>
    </xf>
    <xf numFmtId="165" fontId="2" fillId="4" borderId="16" xfId="0" applyNumberFormat="1" applyFont="1" applyFill="1" applyBorder="1" applyAlignment="1">
      <alignment horizontal="left" vertical="center" wrapText="1"/>
    </xf>
    <xf numFmtId="14" fontId="2" fillId="4" borderId="14" xfId="0" applyNumberFormat="1" applyFont="1" applyFill="1" applyBorder="1" applyAlignment="1">
      <alignment horizontal="center" vertical="center" wrapText="1"/>
    </xf>
    <xf numFmtId="165" fontId="2" fillId="4" borderId="17" xfId="0" applyNumberFormat="1" applyFont="1" applyFill="1" applyBorder="1" applyAlignment="1">
      <alignment horizontal="center" vertical="center" wrapText="1"/>
    </xf>
    <xf numFmtId="0" fontId="2" fillId="4" borderId="17" xfId="0" quotePrefix="1" applyFont="1" applyFill="1" applyBorder="1" applyAlignment="1">
      <alignment horizontal="center" vertical="center" wrapText="1"/>
    </xf>
    <xf numFmtId="14" fontId="2" fillId="4" borderId="17" xfId="0" applyNumberFormat="1" applyFont="1" applyFill="1" applyBorder="1" applyAlignment="1">
      <alignment horizontal="center" vertical="center" wrapText="1"/>
    </xf>
    <xf numFmtId="0" fontId="7" fillId="5" borderId="14" xfId="0" quotePrefix="1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left" vertical="center" wrapText="1"/>
    </xf>
    <xf numFmtId="0" fontId="7" fillId="11" borderId="14" xfId="0" quotePrefix="1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vertical="center" wrapText="1"/>
    </xf>
    <xf numFmtId="0" fontId="2" fillId="4" borderId="14" xfId="0" applyFont="1" applyFill="1" applyBorder="1" applyAlignment="1">
      <alignment vertical="center" wrapText="1"/>
    </xf>
    <xf numFmtId="0" fontId="2" fillId="4" borderId="16" xfId="0" applyFont="1" applyFill="1" applyBorder="1" applyAlignment="1">
      <alignment vertical="center" wrapText="1"/>
    </xf>
    <xf numFmtId="0" fontId="2" fillId="11" borderId="16" xfId="0" applyFont="1" applyFill="1" applyBorder="1" applyAlignment="1">
      <alignment vertical="center" wrapText="1"/>
    </xf>
    <xf numFmtId="0" fontId="7" fillId="4" borderId="14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4" xfId="0" quotePrefix="1" applyFont="1" applyFill="1" applyBorder="1" applyAlignment="1">
      <alignment horizontal="center" vertical="center"/>
    </xf>
    <xf numFmtId="0" fontId="7" fillId="11" borderId="14" xfId="0" applyFont="1" applyFill="1" applyBorder="1" applyAlignment="1">
      <alignment horizontal="center" vertical="center"/>
    </xf>
    <xf numFmtId="0" fontId="7" fillId="11" borderId="14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 wrapText="1"/>
    </xf>
    <xf numFmtId="165" fontId="14" fillId="4" borderId="0" xfId="0" applyNumberFormat="1" applyFont="1" applyFill="1" applyAlignment="1">
      <alignment horizontal="left" vertical="center"/>
    </xf>
    <xf numFmtId="0" fontId="0" fillId="0" borderId="0" xfId="0"/>
    <xf numFmtId="165" fontId="18" fillId="4" borderId="18" xfId="0" applyNumberFormat="1" applyFont="1" applyFill="1" applyBorder="1" applyAlignment="1">
      <alignment horizontal="left" vertical="center" wrapText="1"/>
    </xf>
    <xf numFmtId="165" fontId="14" fillId="4" borderId="18" xfId="0" applyNumberFormat="1" applyFont="1" applyFill="1" applyBorder="1" applyAlignment="1">
      <alignment horizontal="left" vertical="center"/>
    </xf>
    <xf numFmtId="165" fontId="10" fillId="4" borderId="14" xfId="0" applyNumberFormat="1" applyFont="1" applyFill="1" applyBorder="1" applyAlignment="1">
      <alignment horizontal="left" vertical="center" wrapText="1"/>
    </xf>
    <xf numFmtId="165" fontId="2" fillId="5" borderId="14" xfId="0" applyNumberFormat="1" applyFont="1" applyFill="1" applyBorder="1" applyAlignment="1">
      <alignment horizontal="left" vertical="center" wrapText="1"/>
    </xf>
    <xf numFmtId="165" fontId="2" fillId="5" borderId="14" xfId="0" applyNumberFormat="1" applyFont="1" applyFill="1" applyBorder="1" applyAlignment="1">
      <alignment horizontal="center" vertical="center" wrapText="1"/>
    </xf>
    <xf numFmtId="0" fontId="2" fillId="5" borderId="14" xfId="0" quotePrefix="1" applyFont="1" applyFill="1" applyBorder="1" applyAlignment="1">
      <alignment horizontal="center" vertical="center" wrapText="1"/>
    </xf>
    <xf numFmtId="165" fontId="2" fillId="5" borderId="14" xfId="0" applyNumberFormat="1" applyFont="1" applyFill="1" applyBorder="1" applyAlignment="1">
      <alignment vertical="center" wrapText="1"/>
    </xf>
    <xf numFmtId="14" fontId="2" fillId="5" borderId="14" xfId="0" applyNumberFormat="1" applyFont="1" applyFill="1" applyBorder="1" applyAlignment="1">
      <alignment horizontal="center" vertical="center" wrapText="1"/>
    </xf>
    <xf numFmtId="14" fontId="7" fillId="4" borderId="14" xfId="0" applyNumberFormat="1" applyFont="1" applyFill="1" applyBorder="1" applyAlignment="1">
      <alignment vertical="center"/>
    </xf>
    <xf numFmtId="14" fontId="7" fillId="5" borderId="14" xfId="0" applyNumberFormat="1" applyFont="1" applyFill="1" applyBorder="1" applyAlignment="1">
      <alignment vertical="center"/>
    </xf>
    <xf numFmtId="14" fontId="7" fillId="11" borderId="14" xfId="0" applyNumberFormat="1" applyFont="1" applyFill="1" applyBorder="1" applyAlignment="1">
      <alignment vertical="center"/>
    </xf>
    <xf numFmtId="0" fontId="8" fillId="4" borderId="18" xfId="0" applyFont="1" applyFill="1" applyBorder="1" applyAlignment="1">
      <alignment horizontal="center" vertical="center"/>
    </xf>
    <xf numFmtId="165" fontId="2" fillId="4" borderId="16" xfId="0" applyNumberFormat="1" applyFont="1" applyFill="1" applyBorder="1" applyAlignment="1">
      <alignment wrapText="1"/>
    </xf>
    <xf numFmtId="165" fontId="2" fillId="5" borderId="16" xfId="0" applyNumberFormat="1" applyFont="1" applyFill="1" applyBorder="1" applyAlignment="1">
      <alignment vertical="center" wrapText="1"/>
    </xf>
    <xf numFmtId="0" fontId="8" fillId="4" borderId="14" xfId="0" applyFont="1" applyFill="1" applyBorder="1" applyAlignment="1">
      <alignment vertical="center" wrapText="1"/>
    </xf>
    <xf numFmtId="165" fontId="10" fillId="4" borderId="16" xfId="0" applyNumberFormat="1" applyFont="1" applyFill="1" applyBorder="1" applyAlignment="1">
      <alignment horizontal="left" vertical="center" wrapText="1"/>
    </xf>
    <xf numFmtId="165" fontId="2" fillId="5" borderId="16" xfId="0" applyNumberFormat="1" applyFont="1" applyFill="1" applyBorder="1" applyAlignment="1">
      <alignment horizontal="left" vertical="center" wrapText="1"/>
    </xf>
    <xf numFmtId="165" fontId="6" fillId="5" borderId="1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7">
    <dxf>
      <fill>
        <patternFill patternType="solid">
          <fgColor rgb="FFFFFF81"/>
          <bgColor rgb="FFFFFF81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2929"/>
          <bgColor rgb="FFFF2929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3B4FA"/>
          <bgColor rgb="FFF3B4FA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2929"/>
          <bgColor rgb="FFFF2929"/>
        </patternFill>
      </fill>
    </dxf>
    <dxf>
      <fill>
        <patternFill patternType="solid">
          <fgColor rgb="FFFFFF81"/>
          <bgColor rgb="FFFFFF81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3B4FA"/>
          <bgColor rgb="FFF3B4FA"/>
        </patternFill>
      </fill>
    </dxf>
    <dxf>
      <fill>
        <patternFill patternType="solid">
          <fgColor rgb="FFF3B4FA"/>
          <bgColor rgb="FFF3B4FA"/>
        </patternFill>
      </fill>
    </dxf>
    <dxf>
      <fill>
        <patternFill patternType="solid">
          <fgColor rgb="FFFF2929"/>
          <bgColor rgb="FFFF2929"/>
        </patternFill>
      </fill>
    </dxf>
    <dxf>
      <fill>
        <patternFill patternType="solid">
          <fgColor rgb="FFFFFF81"/>
          <bgColor rgb="FFFFFF81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81"/>
          <bgColor rgb="FFFFFF81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2929"/>
          <bgColor rgb="FFFF2929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3B4FA"/>
          <bgColor rgb="FFF3B4FA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2929"/>
          <bgColor rgb="FFFF2929"/>
        </patternFill>
      </fill>
    </dxf>
    <dxf>
      <fill>
        <patternFill patternType="solid">
          <fgColor rgb="FFFFFF81"/>
          <bgColor rgb="FFFFFF81"/>
        </patternFill>
      </fill>
    </dxf>
    <dxf>
      <fill>
        <patternFill patternType="solid">
          <fgColor rgb="FFF3B4FA"/>
          <bgColor rgb="FFF3B4FA"/>
        </patternFill>
      </fill>
    </dxf>
    <dxf>
      <fill>
        <patternFill patternType="solid">
          <fgColor rgb="FF9C7EF5"/>
          <bgColor rgb="FF9C7EF5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E7F7"/>
          <bgColor rgb="FF00E7F7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2929"/>
          <bgColor rgb="FFFF2929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3B4FA"/>
          <bgColor rgb="FFF3B4FA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FTL FEB 2026-style" pivot="0" count="3" xr9:uid="{00000000-0011-0000-FFFF-FFFF00000000}">
      <tableStyleElement type="headerRow" dxfId="36"/>
      <tableStyleElement type="firstRowStripe" dxfId="35"/>
      <tableStyleElement type="secondRowStripe" dxfId="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L2372"/>
  <sheetViews>
    <sheetView tabSelected="1" topLeftCell="A517" zoomScale="70" zoomScaleNormal="70" workbookViewId="0">
      <selection activeCell="K527" sqref="K527"/>
    </sheetView>
  </sheetViews>
  <sheetFormatPr defaultColWidth="14.453125" defaultRowHeight="15" customHeight="1"/>
  <sheetData>
    <row r="1" spans="1:64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7" t="s">
        <v>13</v>
      </c>
      <c r="O1" s="8" t="s">
        <v>14</v>
      </c>
      <c r="P1" s="9" t="s">
        <v>15</v>
      </c>
      <c r="Q1" s="3" t="s">
        <v>16</v>
      </c>
      <c r="R1" s="3" t="s">
        <v>17</v>
      </c>
      <c r="S1" s="10" t="s">
        <v>18</v>
      </c>
      <c r="T1" s="3" t="s">
        <v>19</v>
      </c>
      <c r="U1" s="3" t="s">
        <v>20</v>
      </c>
      <c r="V1" s="11" t="s">
        <v>21</v>
      </c>
      <c r="W1" s="13" t="s">
        <v>22</v>
      </c>
      <c r="X1" s="14" t="s">
        <v>23</v>
      </c>
      <c r="Y1" s="14" t="s">
        <v>24</v>
      </c>
      <c r="Z1" s="14" t="s">
        <v>25</v>
      </c>
      <c r="AA1" s="15" t="s">
        <v>26</v>
      </c>
      <c r="AB1" s="16">
        <v>1</v>
      </c>
      <c r="AC1" s="16">
        <v>2</v>
      </c>
      <c r="AD1" s="16">
        <v>3</v>
      </c>
      <c r="AE1" s="16">
        <v>4</v>
      </c>
      <c r="AF1" s="16">
        <v>5</v>
      </c>
      <c r="AG1" s="16">
        <v>6</v>
      </c>
      <c r="AH1" s="16">
        <v>7</v>
      </c>
      <c r="AI1" s="16">
        <v>8</v>
      </c>
      <c r="AJ1" s="16">
        <v>9</v>
      </c>
      <c r="AK1" s="16">
        <v>10</v>
      </c>
      <c r="AL1" s="16">
        <v>11</v>
      </c>
      <c r="AM1" s="16">
        <v>12</v>
      </c>
      <c r="AN1" s="16">
        <v>13</v>
      </c>
      <c r="AO1" s="16">
        <v>14</v>
      </c>
      <c r="AP1" s="16">
        <v>15</v>
      </c>
      <c r="AQ1" s="16">
        <v>16</v>
      </c>
      <c r="AR1" s="18">
        <v>17</v>
      </c>
      <c r="AS1" s="18">
        <v>18</v>
      </c>
      <c r="AT1" s="18">
        <v>19</v>
      </c>
      <c r="AU1" s="18">
        <v>20</v>
      </c>
      <c r="AV1" s="18">
        <v>21</v>
      </c>
      <c r="AW1" s="18">
        <v>22</v>
      </c>
      <c r="AX1" s="18">
        <v>23</v>
      </c>
      <c r="AY1" s="18">
        <v>24</v>
      </c>
      <c r="AZ1" s="16">
        <v>25</v>
      </c>
      <c r="BA1" s="16">
        <v>26</v>
      </c>
      <c r="BB1" s="16">
        <v>27</v>
      </c>
      <c r="BC1" s="16">
        <v>28</v>
      </c>
      <c r="BD1" s="16">
        <v>29</v>
      </c>
      <c r="BE1" s="16">
        <v>30</v>
      </c>
      <c r="BF1" s="21">
        <v>31</v>
      </c>
      <c r="BG1" s="21">
        <v>1</v>
      </c>
      <c r="BH1" s="21">
        <v>2</v>
      </c>
      <c r="BI1" s="21">
        <v>3</v>
      </c>
      <c r="BJ1" s="21">
        <v>4</v>
      </c>
      <c r="BK1" s="21">
        <v>5</v>
      </c>
      <c r="BL1" s="23" t="s">
        <v>27</v>
      </c>
    </row>
    <row r="2" spans="1:64">
      <c r="A2" s="25" t="s">
        <v>54</v>
      </c>
      <c r="B2" s="26">
        <v>46204</v>
      </c>
      <c r="C2" s="27">
        <v>30294</v>
      </c>
      <c r="D2" s="27"/>
      <c r="E2" s="27" t="s">
        <v>58</v>
      </c>
      <c r="F2" s="27" t="s">
        <v>59</v>
      </c>
      <c r="G2" s="27" t="s">
        <v>60</v>
      </c>
      <c r="H2" s="30" t="s">
        <v>61</v>
      </c>
      <c r="I2" s="31" t="s">
        <v>62</v>
      </c>
      <c r="J2" s="30" t="s">
        <v>63</v>
      </c>
      <c r="K2" s="27">
        <v>34</v>
      </c>
      <c r="L2" s="27">
        <v>163</v>
      </c>
      <c r="M2" s="27"/>
      <c r="N2" s="31"/>
      <c r="O2" s="27" t="s">
        <v>64</v>
      </c>
      <c r="P2" s="30"/>
      <c r="Q2" s="30" t="s">
        <v>66</v>
      </c>
      <c r="R2" s="26">
        <v>46211</v>
      </c>
      <c r="S2" s="26">
        <v>46227</v>
      </c>
      <c r="T2" s="31"/>
      <c r="U2" s="30" t="s">
        <v>68</v>
      </c>
      <c r="V2" s="34" t="s">
        <v>70</v>
      </c>
      <c r="W2" s="27" t="s">
        <v>71</v>
      </c>
      <c r="X2" s="30">
        <v>1</v>
      </c>
      <c r="Y2" s="30">
        <v>1</v>
      </c>
      <c r="Z2" s="30">
        <v>1</v>
      </c>
      <c r="AA2" s="30">
        <v>3</v>
      </c>
      <c r="AB2" s="30" t="s">
        <v>69</v>
      </c>
      <c r="AC2" s="30" t="s">
        <v>73</v>
      </c>
      <c r="AD2" s="30"/>
      <c r="AE2" s="30" t="s">
        <v>64</v>
      </c>
      <c r="AF2" s="30"/>
      <c r="AG2" s="30"/>
      <c r="AH2" s="30"/>
      <c r="AI2" s="30" t="s">
        <v>41</v>
      </c>
      <c r="AJ2" s="30"/>
      <c r="AK2" s="30"/>
      <c r="AL2" s="30"/>
      <c r="AM2" s="30"/>
      <c r="AN2" s="30"/>
      <c r="AO2" s="30"/>
      <c r="AP2" s="30"/>
      <c r="AQ2" s="30"/>
      <c r="AR2" s="36"/>
      <c r="AS2" s="36"/>
      <c r="AT2" s="36"/>
      <c r="AU2" s="36"/>
      <c r="AV2" s="36"/>
      <c r="AW2" s="36"/>
      <c r="AX2" s="36"/>
      <c r="AY2" s="36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27"/>
      <c r="BL2" s="27"/>
    </row>
    <row r="3" spans="1:64">
      <c r="A3" s="25" t="s">
        <v>54</v>
      </c>
      <c r="B3" s="26">
        <v>46204</v>
      </c>
      <c r="C3" s="27">
        <v>30086</v>
      </c>
      <c r="D3" s="27"/>
      <c r="E3" s="27" t="s">
        <v>76</v>
      </c>
      <c r="F3" s="27" t="s">
        <v>59</v>
      </c>
      <c r="G3" s="27" t="s">
        <v>28</v>
      </c>
      <c r="H3" s="30" t="s">
        <v>77</v>
      </c>
      <c r="I3" s="31" t="s">
        <v>78</v>
      </c>
      <c r="J3" s="30" t="s">
        <v>80</v>
      </c>
      <c r="K3" s="27">
        <v>20</v>
      </c>
      <c r="L3" s="27">
        <v>509</v>
      </c>
      <c r="M3" s="27"/>
      <c r="N3" s="31" t="s">
        <v>81</v>
      </c>
      <c r="O3" s="27"/>
      <c r="P3" s="30"/>
      <c r="Q3" s="30" t="s">
        <v>82</v>
      </c>
      <c r="R3" s="26">
        <v>46206</v>
      </c>
      <c r="S3" s="26">
        <v>46209</v>
      </c>
      <c r="T3" s="31"/>
      <c r="U3" s="30" t="s">
        <v>68</v>
      </c>
      <c r="V3" s="34" t="s">
        <v>70</v>
      </c>
      <c r="W3" s="27" t="s">
        <v>85</v>
      </c>
      <c r="X3" s="30">
        <v>1</v>
      </c>
      <c r="Y3" s="30">
        <v>1</v>
      </c>
      <c r="Z3" s="30">
        <v>1</v>
      </c>
      <c r="AA3" s="30">
        <v>1</v>
      </c>
      <c r="AB3" s="30" t="s">
        <v>87</v>
      </c>
      <c r="AC3" s="30"/>
      <c r="AD3" s="30" t="s">
        <v>88</v>
      </c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6"/>
      <c r="AS3" s="36"/>
      <c r="AT3" s="36"/>
      <c r="AU3" s="36"/>
      <c r="AV3" s="36"/>
      <c r="AW3" s="36"/>
      <c r="AX3" s="36"/>
      <c r="AY3" s="36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27"/>
      <c r="BL3" s="27"/>
    </row>
    <row r="4" spans="1:64">
      <c r="A4" s="25" t="s">
        <v>54</v>
      </c>
      <c r="B4" s="26">
        <v>46204</v>
      </c>
      <c r="C4" s="27">
        <v>30085</v>
      </c>
      <c r="D4" s="27"/>
      <c r="E4" s="27" t="s">
        <v>76</v>
      </c>
      <c r="F4" s="27" t="s">
        <v>59</v>
      </c>
      <c r="G4" s="27" t="s">
        <v>28</v>
      </c>
      <c r="H4" s="30" t="s">
        <v>91</v>
      </c>
      <c r="I4" s="31" t="s">
        <v>92</v>
      </c>
      <c r="J4" s="30" t="s">
        <v>93</v>
      </c>
      <c r="K4" s="27">
        <v>3</v>
      </c>
      <c r="L4" s="27"/>
      <c r="M4" s="27"/>
      <c r="N4" s="31" t="s">
        <v>94</v>
      </c>
      <c r="O4" s="27"/>
      <c r="P4" s="30"/>
      <c r="Q4" s="30" t="s">
        <v>95</v>
      </c>
      <c r="R4" s="26">
        <v>46206</v>
      </c>
      <c r="S4" s="26">
        <v>46209</v>
      </c>
      <c r="T4" s="31"/>
      <c r="U4" s="30" t="s">
        <v>68</v>
      </c>
      <c r="V4" s="34" t="s">
        <v>70</v>
      </c>
      <c r="W4" s="27" t="s">
        <v>85</v>
      </c>
      <c r="X4" s="30">
        <v>1</v>
      </c>
      <c r="Y4" s="30">
        <v>1</v>
      </c>
      <c r="Z4" s="30">
        <v>1</v>
      </c>
      <c r="AA4" s="30">
        <v>1</v>
      </c>
      <c r="AB4" s="30" t="s">
        <v>87</v>
      </c>
      <c r="AC4" s="30"/>
      <c r="AD4" s="30" t="s">
        <v>105</v>
      </c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6"/>
      <c r="AS4" s="36"/>
      <c r="AT4" s="36"/>
      <c r="AU4" s="36"/>
      <c r="AV4" s="36"/>
      <c r="AW4" s="36"/>
      <c r="AX4" s="36"/>
      <c r="AY4" s="36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27"/>
      <c r="BL4" s="27"/>
    </row>
    <row r="5" spans="1:64">
      <c r="A5" s="25" t="s">
        <v>54</v>
      </c>
      <c r="B5" s="26">
        <v>46204</v>
      </c>
      <c r="C5" s="27">
        <v>29443</v>
      </c>
      <c r="D5" s="27"/>
      <c r="E5" s="27" t="s">
        <v>58</v>
      </c>
      <c r="F5" s="27" t="s">
        <v>48</v>
      </c>
      <c r="G5" s="27" t="s">
        <v>110</v>
      </c>
      <c r="H5" s="30" t="s">
        <v>111</v>
      </c>
      <c r="I5" s="31" t="s">
        <v>112</v>
      </c>
      <c r="J5" s="30" t="s">
        <v>113</v>
      </c>
      <c r="K5" s="27">
        <v>67</v>
      </c>
      <c r="L5" s="27" t="s">
        <v>114</v>
      </c>
      <c r="M5" s="27"/>
      <c r="N5" s="31" t="s">
        <v>115</v>
      </c>
      <c r="O5" s="27"/>
      <c r="P5" s="30"/>
      <c r="Q5" s="30" t="s">
        <v>66</v>
      </c>
      <c r="R5" s="26">
        <v>46209</v>
      </c>
      <c r="S5" s="26">
        <v>46216</v>
      </c>
      <c r="T5" s="31" t="s">
        <v>117</v>
      </c>
      <c r="U5" s="30" t="s">
        <v>68</v>
      </c>
      <c r="V5" s="34" t="s">
        <v>70</v>
      </c>
      <c r="W5" s="27" t="s">
        <v>71</v>
      </c>
      <c r="X5" s="30">
        <v>1</v>
      </c>
      <c r="Y5" s="30">
        <v>1</v>
      </c>
      <c r="Z5" s="30">
        <v>1</v>
      </c>
      <c r="AA5" s="30">
        <v>2</v>
      </c>
      <c r="AB5" s="30" t="s">
        <v>118</v>
      </c>
      <c r="AC5" s="30"/>
      <c r="AD5" s="30"/>
      <c r="AE5" s="30"/>
      <c r="AF5" s="30"/>
      <c r="AG5" s="30" t="s">
        <v>119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6"/>
      <c r="AS5" s="36"/>
      <c r="AT5" s="36"/>
      <c r="AU5" s="36"/>
      <c r="AV5" s="36"/>
      <c r="AW5" s="36"/>
      <c r="AX5" s="36"/>
      <c r="AY5" s="36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27"/>
      <c r="BL5" s="27"/>
    </row>
    <row r="6" spans="1:64">
      <c r="A6" s="25" t="s">
        <v>54</v>
      </c>
      <c r="B6" s="26">
        <v>46204</v>
      </c>
      <c r="C6" s="27">
        <v>29441</v>
      </c>
      <c r="D6" s="27"/>
      <c r="E6" s="27" t="s">
        <v>58</v>
      </c>
      <c r="F6" s="27" t="s">
        <v>48</v>
      </c>
      <c r="G6" s="27" t="s">
        <v>110</v>
      </c>
      <c r="H6" s="30" t="s">
        <v>121</v>
      </c>
      <c r="I6" s="31" t="s">
        <v>122</v>
      </c>
      <c r="J6" s="30" t="s">
        <v>123</v>
      </c>
      <c r="K6" s="27">
        <v>9</v>
      </c>
      <c r="L6" s="27">
        <v>43.2</v>
      </c>
      <c r="M6" s="27"/>
      <c r="N6" s="31" t="s">
        <v>124</v>
      </c>
      <c r="O6" s="27"/>
      <c r="P6" s="30"/>
      <c r="Q6" s="30" t="s">
        <v>66</v>
      </c>
      <c r="R6" s="26">
        <v>46210</v>
      </c>
      <c r="S6" s="26">
        <v>46216</v>
      </c>
      <c r="T6" s="31" t="s">
        <v>125</v>
      </c>
      <c r="U6" s="30" t="s">
        <v>68</v>
      </c>
      <c r="V6" s="34" t="s">
        <v>70</v>
      </c>
      <c r="W6" s="27" t="s">
        <v>71</v>
      </c>
      <c r="X6" s="30">
        <v>1</v>
      </c>
      <c r="Y6" s="30">
        <v>1</v>
      </c>
      <c r="Z6" s="30">
        <v>1</v>
      </c>
      <c r="AA6" s="30">
        <v>2</v>
      </c>
      <c r="AB6" s="30" t="s">
        <v>118</v>
      </c>
      <c r="AC6" s="30"/>
      <c r="AD6" s="30"/>
      <c r="AE6" s="30"/>
      <c r="AF6" s="30"/>
      <c r="AG6" s="30" t="s">
        <v>124</v>
      </c>
      <c r="AH6" s="30" t="s">
        <v>41</v>
      </c>
      <c r="AI6" s="30"/>
      <c r="AJ6" s="30"/>
      <c r="AK6" s="30"/>
      <c r="AL6" s="30"/>
      <c r="AM6" s="30"/>
      <c r="AN6" s="30"/>
      <c r="AO6" s="30"/>
      <c r="AP6" s="30"/>
      <c r="AQ6" s="30"/>
      <c r="AR6" s="36"/>
      <c r="AS6" s="36"/>
      <c r="AT6" s="36"/>
      <c r="AU6" s="36"/>
      <c r="AV6" s="36"/>
      <c r="AW6" s="36"/>
      <c r="AX6" s="36"/>
      <c r="AY6" s="36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27"/>
      <c r="BL6" s="27"/>
    </row>
    <row r="7" spans="1:64">
      <c r="A7" s="25" t="s">
        <v>54</v>
      </c>
      <c r="B7" s="26">
        <v>46204</v>
      </c>
      <c r="C7" s="27">
        <v>30293</v>
      </c>
      <c r="D7" s="27"/>
      <c r="E7" s="27" t="s">
        <v>133</v>
      </c>
      <c r="F7" s="27" t="s">
        <v>59</v>
      </c>
      <c r="G7" s="27" t="s">
        <v>28</v>
      </c>
      <c r="H7" s="30" t="s">
        <v>135</v>
      </c>
      <c r="I7" s="31" t="s">
        <v>136</v>
      </c>
      <c r="J7" s="30" t="s">
        <v>137</v>
      </c>
      <c r="K7" s="27">
        <v>4</v>
      </c>
      <c r="L7" s="27"/>
      <c r="M7" s="27"/>
      <c r="N7" s="31" t="s">
        <v>94</v>
      </c>
      <c r="O7" s="27"/>
      <c r="P7" s="30"/>
      <c r="Q7" s="30" t="s">
        <v>138</v>
      </c>
      <c r="R7" s="26">
        <v>46205</v>
      </c>
      <c r="S7" s="26">
        <v>46206</v>
      </c>
      <c r="T7" s="31" t="s">
        <v>139</v>
      </c>
      <c r="U7" s="30" t="s">
        <v>68</v>
      </c>
      <c r="V7" s="34" t="s">
        <v>70</v>
      </c>
      <c r="W7" s="27" t="s">
        <v>141</v>
      </c>
      <c r="X7" s="30">
        <v>1</v>
      </c>
      <c r="Y7" s="30">
        <v>1</v>
      </c>
      <c r="Z7" s="30">
        <v>1</v>
      </c>
      <c r="AA7" s="30">
        <v>1</v>
      </c>
      <c r="AB7" s="30" t="s">
        <v>69</v>
      </c>
      <c r="AC7" s="30" t="s">
        <v>105</v>
      </c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6"/>
      <c r="AS7" s="36"/>
      <c r="AT7" s="36"/>
      <c r="AU7" s="36"/>
      <c r="AV7" s="36"/>
      <c r="AW7" s="36"/>
      <c r="AX7" s="36"/>
      <c r="AY7" s="36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27"/>
      <c r="BL7" s="27"/>
    </row>
    <row r="8" spans="1:64">
      <c r="A8" s="25" t="s">
        <v>54</v>
      </c>
      <c r="B8" s="26">
        <v>46204</v>
      </c>
      <c r="C8" s="27">
        <v>30292</v>
      </c>
      <c r="D8" s="27"/>
      <c r="E8" s="27" t="s">
        <v>133</v>
      </c>
      <c r="F8" s="27" t="s">
        <v>59</v>
      </c>
      <c r="G8" s="27" t="s">
        <v>28</v>
      </c>
      <c r="H8" s="30" t="s">
        <v>144</v>
      </c>
      <c r="I8" s="31" t="s">
        <v>145</v>
      </c>
      <c r="J8" s="30" t="s">
        <v>146</v>
      </c>
      <c r="K8" s="27">
        <v>4</v>
      </c>
      <c r="L8" s="27"/>
      <c r="M8" s="27"/>
      <c r="N8" s="31" t="s">
        <v>94</v>
      </c>
      <c r="O8" s="27"/>
      <c r="P8" s="30"/>
      <c r="Q8" s="30" t="s">
        <v>147</v>
      </c>
      <c r="R8" s="26">
        <v>46205</v>
      </c>
      <c r="S8" s="26">
        <v>46206</v>
      </c>
      <c r="T8" s="31" t="s">
        <v>148</v>
      </c>
      <c r="U8" s="30" t="s">
        <v>68</v>
      </c>
      <c r="V8" s="34" t="s">
        <v>70</v>
      </c>
      <c r="W8" s="27" t="s">
        <v>141</v>
      </c>
      <c r="X8" s="30">
        <v>1</v>
      </c>
      <c r="Y8" s="30">
        <v>1</v>
      </c>
      <c r="Z8" s="30">
        <v>1</v>
      </c>
      <c r="AA8" s="30">
        <v>1</v>
      </c>
      <c r="AB8" s="30" t="s">
        <v>69</v>
      </c>
      <c r="AC8" s="30" t="s">
        <v>105</v>
      </c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6"/>
      <c r="AS8" s="36"/>
      <c r="AT8" s="36"/>
      <c r="AU8" s="36"/>
      <c r="AV8" s="36"/>
      <c r="AW8" s="36"/>
      <c r="AX8" s="36"/>
      <c r="AY8" s="36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27"/>
      <c r="BL8" s="27"/>
    </row>
    <row r="9" spans="1:64">
      <c r="A9" s="25" t="s">
        <v>54</v>
      </c>
      <c r="B9" s="26">
        <v>46204</v>
      </c>
      <c r="C9" s="27">
        <v>30291</v>
      </c>
      <c r="D9" s="27"/>
      <c r="E9" s="27" t="s">
        <v>133</v>
      </c>
      <c r="F9" s="27" t="s">
        <v>59</v>
      </c>
      <c r="G9" s="27" t="s">
        <v>28</v>
      </c>
      <c r="H9" s="30" t="s">
        <v>151</v>
      </c>
      <c r="I9" s="31" t="s">
        <v>152</v>
      </c>
      <c r="J9" s="30" t="s">
        <v>153</v>
      </c>
      <c r="K9" s="27">
        <v>2</v>
      </c>
      <c r="L9" s="27"/>
      <c r="M9" s="27"/>
      <c r="N9" s="31" t="s">
        <v>154</v>
      </c>
      <c r="O9" s="27"/>
      <c r="P9" s="30"/>
      <c r="Q9" s="30" t="s">
        <v>155</v>
      </c>
      <c r="R9" s="26">
        <v>46209</v>
      </c>
      <c r="S9" s="26">
        <v>46210</v>
      </c>
      <c r="T9" s="31" t="s">
        <v>156</v>
      </c>
      <c r="U9" s="30" t="s">
        <v>68</v>
      </c>
      <c r="V9" s="34" t="s">
        <v>70</v>
      </c>
      <c r="W9" s="27" t="s">
        <v>141</v>
      </c>
      <c r="X9" s="30">
        <v>3</v>
      </c>
      <c r="Y9" s="30">
        <v>1</v>
      </c>
      <c r="Z9" s="30">
        <v>1</v>
      </c>
      <c r="AA9" s="30">
        <v>1</v>
      </c>
      <c r="AB9" s="30" t="s">
        <v>69</v>
      </c>
      <c r="AC9" s="30"/>
      <c r="AD9" s="30"/>
      <c r="AE9" s="30"/>
      <c r="AF9" s="30"/>
      <c r="AG9" s="30" t="s">
        <v>157</v>
      </c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6"/>
      <c r="AS9" s="36"/>
      <c r="AT9" s="36"/>
      <c r="AU9" s="36"/>
      <c r="AV9" s="36"/>
      <c r="AW9" s="36"/>
      <c r="AX9" s="36"/>
      <c r="AY9" s="36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27"/>
      <c r="BL9" s="27"/>
    </row>
    <row r="10" spans="1:64">
      <c r="A10" s="25" t="s">
        <v>54</v>
      </c>
      <c r="B10" s="26">
        <v>46204</v>
      </c>
      <c r="C10" s="27">
        <v>30295</v>
      </c>
      <c r="D10" s="27"/>
      <c r="E10" s="27" t="s">
        <v>159</v>
      </c>
      <c r="F10" s="27" t="s">
        <v>59</v>
      </c>
      <c r="G10" s="27" t="s">
        <v>104</v>
      </c>
      <c r="H10" s="30" t="s">
        <v>144</v>
      </c>
      <c r="I10" s="31" t="s">
        <v>162</v>
      </c>
      <c r="J10" s="30" t="s">
        <v>163</v>
      </c>
      <c r="K10" s="27">
        <v>28</v>
      </c>
      <c r="L10" s="27">
        <v>231</v>
      </c>
      <c r="M10" s="27"/>
      <c r="N10" s="31" t="s">
        <v>94</v>
      </c>
      <c r="O10" s="27"/>
      <c r="P10" s="30"/>
      <c r="Q10" s="30" t="s">
        <v>165</v>
      </c>
      <c r="R10" s="26">
        <v>46205</v>
      </c>
      <c r="S10" s="26">
        <v>46206</v>
      </c>
      <c r="T10" s="31"/>
      <c r="U10" s="30" t="s">
        <v>68</v>
      </c>
      <c r="V10" s="34" t="s">
        <v>70</v>
      </c>
      <c r="W10" s="27" t="s">
        <v>167</v>
      </c>
      <c r="X10" s="30">
        <v>1</v>
      </c>
      <c r="Y10" s="30">
        <v>1</v>
      </c>
      <c r="Z10" s="30">
        <v>1</v>
      </c>
      <c r="AA10" s="30">
        <v>1</v>
      </c>
      <c r="AB10" s="30" t="s">
        <v>69</v>
      </c>
      <c r="AC10" s="30" t="s">
        <v>105</v>
      </c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6"/>
      <c r="AS10" s="36"/>
      <c r="AT10" s="36"/>
      <c r="AU10" s="36"/>
      <c r="AV10" s="36"/>
      <c r="AW10" s="36"/>
      <c r="AX10" s="36"/>
      <c r="AY10" s="36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27"/>
      <c r="BL10" s="27"/>
    </row>
    <row r="11" spans="1:64">
      <c r="A11" s="25" t="s">
        <v>54</v>
      </c>
      <c r="B11" s="26">
        <v>46204</v>
      </c>
      <c r="C11" s="27"/>
      <c r="D11" s="27">
        <v>46797</v>
      </c>
      <c r="E11" s="27" t="s">
        <v>168</v>
      </c>
      <c r="F11" s="27" t="s">
        <v>59</v>
      </c>
      <c r="G11" s="27" t="s">
        <v>104</v>
      </c>
      <c r="H11" s="30" t="s">
        <v>170</v>
      </c>
      <c r="I11" s="31" t="s">
        <v>171</v>
      </c>
      <c r="J11" s="30" t="s">
        <v>170</v>
      </c>
      <c r="K11" s="27">
        <v>4</v>
      </c>
      <c r="L11" s="27">
        <v>56</v>
      </c>
      <c r="M11" s="27">
        <v>58.5</v>
      </c>
      <c r="N11" s="31" t="s">
        <v>94</v>
      </c>
      <c r="O11" s="27"/>
      <c r="P11" s="30"/>
      <c r="Q11" s="30" t="s">
        <v>172</v>
      </c>
      <c r="R11" s="26">
        <v>46207</v>
      </c>
      <c r="S11" s="26">
        <v>46209</v>
      </c>
      <c r="T11" s="31"/>
      <c r="U11" s="30" t="s">
        <v>68</v>
      </c>
      <c r="V11" s="34" t="s">
        <v>70</v>
      </c>
      <c r="W11" s="27" t="s">
        <v>174</v>
      </c>
      <c r="X11" s="30">
        <v>1</v>
      </c>
      <c r="Y11" s="30">
        <v>1</v>
      </c>
      <c r="Z11" s="30">
        <v>1</v>
      </c>
      <c r="AA11" s="30">
        <v>1</v>
      </c>
      <c r="AB11" s="30" t="s">
        <v>69</v>
      </c>
      <c r="AC11" s="30"/>
      <c r="AD11" s="30" t="s">
        <v>94</v>
      </c>
      <c r="AE11" s="30" t="s">
        <v>41</v>
      </c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6"/>
      <c r="AS11" s="36"/>
      <c r="AT11" s="36"/>
      <c r="AU11" s="36"/>
      <c r="AV11" s="36"/>
      <c r="AW11" s="36"/>
      <c r="AX11" s="36"/>
      <c r="AY11" s="36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27"/>
      <c r="BL11" s="27"/>
    </row>
    <row r="12" spans="1:64">
      <c r="A12" s="25" t="s">
        <v>54</v>
      </c>
      <c r="B12" s="26">
        <v>46204</v>
      </c>
      <c r="C12" s="27"/>
      <c r="D12" s="27">
        <v>46796</v>
      </c>
      <c r="E12" s="27" t="s">
        <v>168</v>
      </c>
      <c r="F12" s="27" t="s">
        <v>59</v>
      </c>
      <c r="G12" s="27" t="s">
        <v>104</v>
      </c>
      <c r="H12" s="30" t="s">
        <v>175</v>
      </c>
      <c r="I12" s="31" t="s">
        <v>176</v>
      </c>
      <c r="J12" s="30" t="s">
        <v>175</v>
      </c>
      <c r="K12" s="27">
        <v>2</v>
      </c>
      <c r="L12" s="27">
        <v>26</v>
      </c>
      <c r="M12" s="27" t="s">
        <v>177</v>
      </c>
      <c r="N12" s="31" t="s">
        <v>154</v>
      </c>
      <c r="O12" s="27"/>
      <c r="P12" s="30"/>
      <c r="Q12" s="30" t="s">
        <v>178</v>
      </c>
      <c r="R12" s="26">
        <v>46209</v>
      </c>
      <c r="S12" s="26">
        <v>46210</v>
      </c>
      <c r="T12" s="31" t="s">
        <v>179</v>
      </c>
      <c r="U12" s="30" t="s">
        <v>68</v>
      </c>
      <c r="V12" s="34" t="s">
        <v>70</v>
      </c>
      <c r="W12" s="27" t="s">
        <v>174</v>
      </c>
      <c r="X12" s="30">
        <v>2</v>
      </c>
      <c r="Y12" s="30">
        <v>1</v>
      </c>
      <c r="Z12" s="30">
        <v>1</v>
      </c>
      <c r="AA12" s="30">
        <v>1</v>
      </c>
      <c r="AB12" s="30" t="s">
        <v>69</v>
      </c>
      <c r="AC12" s="30"/>
      <c r="AD12" s="30"/>
      <c r="AE12" s="30"/>
      <c r="AF12" s="30"/>
      <c r="AG12" s="30" t="s">
        <v>157</v>
      </c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6"/>
      <c r="AS12" s="36"/>
      <c r="AT12" s="36"/>
      <c r="AU12" s="36"/>
      <c r="AV12" s="36"/>
      <c r="AW12" s="36"/>
      <c r="AX12" s="36"/>
      <c r="AY12" s="36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27"/>
      <c r="BL12" s="27"/>
    </row>
    <row r="13" spans="1:64">
      <c r="A13" s="25" t="s">
        <v>54</v>
      </c>
      <c r="B13" s="26">
        <v>46204</v>
      </c>
      <c r="C13" s="27"/>
      <c r="D13" s="27">
        <v>46795</v>
      </c>
      <c r="E13" s="27" t="s">
        <v>168</v>
      </c>
      <c r="F13" s="27" t="s">
        <v>59</v>
      </c>
      <c r="G13" s="27" t="s">
        <v>104</v>
      </c>
      <c r="H13" s="30" t="s">
        <v>151</v>
      </c>
      <c r="I13" s="31" t="s">
        <v>183</v>
      </c>
      <c r="J13" s="30" t="s">
        <v>151</v>
      </c>
      <c r="K13" s="27">
        <v>2</v>
      </c>
      <c r="L13" s="27" t="s">
        <v>184</v>
      </c>
      <c r="M13" s="27">
        <v>24</v>
      </c>
      <c r="N13" s="31" t="s">
        <v>154</v>
      </c>
      <c r="O13" s="27"/>
      <c r="P13" s="30"/>
      <c r="Q13" s="30" t="s">
        <v>178</v>
      </c>
      <c r="R13" s="26">
        <v>46209</v>
      </c>
      <c r="S13" s="26">
        <v>46210</v>
      </c>
      <c r="T13" s="31"/>
      <c r="U13" s="30" t="s">
        <v>68</v>
      </c>
      <c r="V13" s="34" t="s">
        <v>70</v>
      </c>
      <c r="W13" s="27" t="s">
        <v>174</v>
      </c>
      <c r="X13" s="30">
        <v>2</v>
      </c>
      <c r="Y13" s="30">
        <v>1</v>
      </c>
      <c r="Z13" s="30">
        <v>1</v>
      </c>
      <c r="AA13" s="30">
        <v>1</v>
      </c>
      <c r="AB13" s="30" t="s">
        <v>69</v>
      </c>
      <c r="AC13" s="30"/>
      <c r="AD13" s="30"/>
      <c r="AE13" s="30"/>
      <c r="AF13" s="30"/>
      <c r="AG13" s="30" t="s">
        <v>157</v>
      </c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6"/>
      <c r="AS13" s="36"/>
      <c r="AT13" s="36"/>
      <c r="AU13" s="36"/>
      <c r="AV13" s="36"/>
      <c r="AW13" s="36"/>
      <c r="AX13" s="36"/>
      <c r="AY13" s="36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27"/>
      <c r="BL13" s="27"/>
    </row>
    <row r="14" spans="1:64">
      <c r="A14" s="25" t="s">
        <v>187</v>
      </c>
      <c r="B14" s="26">
        <v>46204</v>
      </c>
      <c r="C14" s="27"/>
      <c r="D14" s="27">
        <v>46794</v>
      </c>
      <c r="E14" s="27" t="s">
        <v>168</v>
      </c>
      <c r="F14" s="27" t="s">
        <v>59</v>
      </c>
      <c r="G14" s="27" t="s">
        <v>104</v>
      </c>
      <c r="H14" s="30" t="s">
        <v>130</v>
      </c>
      <c r="I14" s="31" t="s">
        <v>188</v>
      </c>
      <c r="J14" s="30" t="s">
        <v>189</v>
      </c>
      <c r="K14" s="27">
        <v>1</v>
      </c>
      <c r="L14" s="27">
        <v>2</v>
      </c>
      <c r="M14" s="48">
        <v>46144</v>
      </c>
      <c r="N14" s="31" t="s">
        <v>190</v>
      </c>
      <c r="O14" s="27"/>
      <c r="P14" s="30"/>
      <c r="Q14" s="30" t="s">
        <v>191</v>
      </c>
      <c r="R14" s="26">
        <v>46206</v>
      </c>
      <c r="S14" s="26">
        <v>46207</v>
      </c>
      <c r="T14" s="31"/>
      <c r="U14" s="30" t="s">
        <v>68</v>
      </c>
      <c r="V14" s="34" t="s">
        <v>70</v>
      </c>
      <c r="W14" s="27" t="s">
        <v>174</v>
      </c>
      <c r="X14" s="30">
        <v>1</v>
      </c>
      <c r="Y14" s="30">
        <v>1</v>
      </c>
      <c r="Z14" s="30">
        <v>1</v>
      </c>
      <c r="AA14" s="30">
        <v>1</v>
      </c>
      <c r="AB14" s="30" t="s">
        <v>190</v>
      </c>
      <c r="AC14" s="30"/>
      <c r="AD14" s="30" t="s">
        <v>90</v>
      </c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6"/>
      <c r="AS14" s="36"/>
      <c r="AT14" s="36"/>
      <c r="AU14" s="36"/>
      <c r="AV14" s="36"/>
      <c r="AW14" s="36"/>
      <c r="AX14" s="36"/>
      <c r="AY14" s="36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27"/>
      <c r="BL14" s="27"/>
    </row>
    <row r="15" spans="1:64">
      <c r="A15" s="25" t="s">
        <v>187</v>
      </c>
      <c r="B15" s="26">
        <v>46204</v>
      </c>
      <c r="C15" s="27"/>
      <c r="D15" s="27">
        <v>46793</v>
      </c>
      <c r="E15" s="27" t="s">
        <v>168</v>
      </c>
      <c r="F15" s="27" t="s">
        <v>59</v>
      </c>
      <c r="G15" s="27" t="s">
        <v>104</v>
      </c>
      <c r="H15" s="30" t="s">
        <v>130</v>
      </c>
      <c r="I15" s="31" t="s">
        <v>197</v>
      </c>
      <c r="J15" s="30" t="s">
        <v>189</v>
      </c>
      <c r="K15" s="27">
        <v>3</v>
      </c>
      <c r="L15" s="27" t="s">
        <v>198</v>
      </c>
      <c r="M15" s="27" t="s">
        <v>199</v>
      </c>
      <c r="N15" s="31" t="s">
        <v>190</v>
      </c>
      <c r="O15" s="27"/>
      <c r="P15" s="30"/>
      <c r="Q15" s="30" t="s">
        <v>202</v>
      </c>
      <c r="R15" s="26">
        <v>46206</v>
      </c>
      <c r="S15" s="26">
        <v>46207</v>
      </c>
      <c r="T15" s="31"/>
      <c r="U15" s="30" t="s">
        <v>68</v>
      </c>
      <c r="V15" s="34" t="s">
        <v>70</v>
      </c>
      <c r="W15" s="27" t="s">
        <v>174</v>
      </c>
      <c r="X15" s="30">
        <v>1</v>
      </c>
      <c r="Y15" s="30">
        <v>1</v>
      </c>
      <c r="Z15" s="30">
        <v>1</v>
      </c>
      <c r="AA15" s="30">
        <v>1</v>
      </c>
      <c r="AB15" s="30" t="s">
        <v>190</v>
      </c>
      <c r="AC15" s="30"/>
      <c r="AD15" s="30" t="s">
        <v>90</v>
      </c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6"/>
      <c r="AS15" s="36"/>
      <c r="AT15" s="36"/>
      <c r="AU15" s="36"/>
      <c r="AV15" s="36"/>
      <c r="AW15" s="36"/>
      <c r="AX15" s="36"/>
      <c r="AY15" s="36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27"/>
      <c r="BL15" s="27"/>
    </row>
    <row r="16" spans="1:64">
      <c r="A16" s="25" t="s">
        <v>54</v>
      </c>
      <c r="B16" s="26">
        <v>46204</v>
      </c>
      <c r="C16" s="27">
        <v>28724</v>
      </c>
      <c r="D16" s="27"/>
      <c r="E16" s="27" t="s">
        <v>203</v>
      </c>
      <c r="F16" s="27" t="s">
        <v>59</v>
      </c>
      <c r="G16" s="27" t="s">
        <v>104</v>
      </c>
      <c r="H16" s="30" t="s">
        <v>175</v>
      </c>
      <c r="I16" s="31" t="s">
        <v>204</v>
      </c>
      <c r="J16" s="30" t="s">
        <v>175</v>
      </c>
      <c r="K16" s="27">
        <v>1</v>
      </c>
      <c r="L16" s="27" t="s">
        <v>205</v>
      </c>
      <c r="M16" s="27"/>
      <c r="N16" s="31" t="s">
        <v>81</v>
      </c>
      <c r="O16" s="27"/>
      <c r="P16" s="30"/>
      <c r="Q16" s="30" t="s">
        <v>206</v>
      </c>
      <c r="R16" s="26">
        <v>46207</v>
      </c>
      <c r="S16" s="26">
        <v>46209</v>
      </c>
      <c r="T16" s="31"/>
      <c r="U16" s="30" t="s">
        <v>68</v>
      </c>
      <c r="V16" s="34" t="s">
        <v>70</v>
      </c>
      <c r="W16" s="27" t="s">
        <v>208</v>
      </c>
      <c r="X16" s="30">
        <v>1</v>
      </c>
      <c r="Y16" s="30">
        <v>1</v>
      </c>
      <c r="Z16" s="30">
        <v>1</v>
      </c>
      <c r="AA16" s="30">
        <v>1</v>
      </c>
      <c r="AB16" s="30" t="s">
        <v>69</v>
      </c>
      <c r="AC16" s="30"/>
      <c r="AD16" s="30" t="s">
        <v>81</v>
      </c>
      <c r="AE16" s="30" t="s">
        <v>209</v>
      </c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6"/>
      <c r="AS16" s="36"/>
      <c r="AT16" s="36"/>
      <c r="AU16" s="36"/>
      <c r="AV16" s="36"/>
      <c r="AW16" s="36"/>
      <c r="AX16" s="36"/>
      <c r="AY16" s="36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27"/>
      <c r="BL16" s="27"/>
    </row>
    <row r="17" spans="1:64">
      <c r="A17" s="25" t="s">
        <v>54</v>
      </c>
      <c r="B17" s="26">
        <v>46204</v>
      </c>
      <c r="C17" s="27">
        <v>30227</v>
      </c>
      <c r="D17" s="27"/>
      <c r="E17" s="27" t="s">
        <v>203</v>
      </c>
      <c r="F17" s="27" t="s">
        <v>59</v>
      </c>
      <c r="G17" s="27" t="s">
        <v>104</v>
      </c>
      <c r="H17" s="30" t="s">
        <v>170</v>
      </c>
      <c r="I17" s="31" t="s">
        <v>210</v>
      </c>
      <c r="J17" s="30" t="s">
        <v>170</v>
      </c>
      <c r="K17" s="27">
        <v>1</v>
      </c>
      <c r="L17" s="27" t="s">
        <v>205</v>
      </c>
      <c r="M17" s="27"/>
      <c r="N17" s="31" t="s">
        <v>94</v>
      </c>
      <c r="O17" s="27"/>
      <c r="P17" s="30"/>
      <c r="Q17" s="30" t="s">
        <v>211</v>
      </c>
      <c r="R17" s="26">
        <v>46206</v>
      </c>
      <c r="S17" s="26">
        <v>46209</v>
      </c>
      <c r="T17" s="31"/>
      <c r="U17" s="30" t="s">
        <v>68</v>
      </c>
      <c r="V17" s="34" t="s">
        <v>70</v>
      </c>
      <c r="W17" s="27" t="s">
        <v>208</v>
      </c>
      <c r="X17" s="30">
        <v>1</v>
      </c>
      <c r="Y17" s="30">
        <v>1</v>
      </c>
      <c r="Z17" s="30">
        <v>1</v>
      </c>
      <c r="AA17" s="30">
        <v>1</v>
      </c>
      <c r="AB17" s="30" t="s">
        <v>69</v>
      </c>
      <c r="AC17" s="30"/>
      <c r="AD17" s="30" t="s">
        <v>105</v>
      </c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6"/>
      <c r="AS17" s="36"/>
      <c r="AT17" s="36"/>
      <c r="AU17" s="36"/>
      <c r="AV17" s="36"/>
      <c r="AW17" s="36"/>
      <c r="AX17" s="36"/>
      <c r="AY17" s="36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27"/>
      <c r="BL17" s="27"/>
    </row>
    <row r="18" spans="1:64">
      <c r="A18" s="25" t="s">
        <v>54</v>
      </c>
      <c r="B18" s="26">
        <v>46204</v>
      </c>
      <c r="C18" s="27">
        <v>30239</v>
      </c>
      <c r="D18" s="27"/>
      <c r="E18" s="27" t="s">
        <v>212</v>
      </c>
      <c r="F18" s="27" t="s">
        <v>59</v>
      </c>
      <c r="G18" s="27" t="s">
        <v>104</v>
      </c>
      <c r="H18" s="30" t="s">
        <v>170</v>
      </c>
      <c r="I18" s="31" t="s">
        <v>213</v>
      </c>
      <c r="J18" s="30" t="s">
        <v>170</v>
      </c>
      <c r="K18" s="27">
        <v>1</v>
      </c>
      <c r="L18" s="27" t="s">
        <v>214</v>
      </c>
      <c r="M18" s="27"/>
      <c r="N18" s="31" t="s">
        <v>94</v>
      </c>
      <c r="O18" s="27"/>
      <c r="P18" s="30"/>
      <c r="Q18" s="30" t="s">
        <v>215</v>
      </c>
      <c r="R18" s="26">
        <v>46207</v>
      </c>
      <c r="S18" s="26">
        <v>46209</v>
      </c>
      <c r="T18" s="31"/>
      <c r="U18" s="30" t="s">
        <v>68</v>
      </c>
      <c r="V18" s="34" t="s">
        <v>70</v>
      </c>
      <c r="W18" s="27" t="s">
        <v>208</v>
      </c>
      <c r="X18" s="30">
        <v>1</v>
      </c>
      <c r="Y18" s="30">
        <v>1</v>
      </c>
      <c r="Z18" s="30">
        <v>1</v>
      </c>
      <c r="AA18" s="30">
        <v>1</v>
      </c>
      <c r="AB18" s="30" t="s">
        <v>69</v>
      </c>
      <c r="AC18" s="30"/>
      <c r="AD18" s="30" t="s">
        <v>94</v>
      </c>
      <c r="AE18" s="30" t="s">
        <v>41</v>
      </c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6"/>
      <c r="AS18" s="36"/>
      <c r="AT18" s="36"/>
      <c r="AU18" s="36"/>
      <c r="AV18" s="36"/>
      <c r="AW18" s="36"/>
      <c r="AX18" s="36"/>
      <c r="AY18" s="36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27"/>
      <c r="BL18" s="27"/>
    </row>
    <row r="19" spans="1:64">
      <c r="A19" s="25" t="s">
        <v>54</v>
      </c>
      <c r="B19" s="26">
        <v>46204</v>
      </c>
      <c r="C19" s="27">
        <v>30226</v>
      </c>
      <c r="D19" s="27"/>
      <c r="E19" s="27" t="s">
        <v>212</v>
      </c>
      <c r="F19" s="27" t="s">
        <v>59</v>
      </c>
      <c r="G19" s="27" t="s">
        <v>104</v>
      </c>
      <c r="H19" s="30" t="s">
        <v>170</v>
      </c>
      <c r="I19" s="31" t="s">
        <v>222</v>
      </c>
      <c r="J19" s="30" t="s">
        <v>170</v>
      </c>
      <c r="K19" s="27">
        <v>1</v>
      </c>
      <c r="L19" s="27" t="s">
        <v>205</v>
      </c>
      <c r="M19" s="27"/>
      <c r="N19" s="31" t="s">
        <v>94</v>
      </c>
      <c r="O19" s="27"/>
      <c r="P19" s="30"/>
      <c r="Q19" s="30" t="s">
        <v>224</v>
      </c>
      <c r="R19" s="26">
        <v>46206</v>
      </c>
      <c r="S19" s="26">
        <v>46209</v>
      </c>
      <c r="T19" s="31"/>
      <c r="U19" s="30" t="s">
        <v>68</v>
      </c>
      <c r="V19" s="34" t="s">
        <v>70</v>
      </c>
      <c r="W19" s="27" t="s">
        <v>208</v>
      </c>
      <c r="X19" s="30">
        <v>1</v>
      </c>
      <c r="Y19" s="30">
        <v>1</v>
      </c>
      <c r="Z19" s="30">
        <v>1</v>
      </c>
      <c r="AA19" s="30">
        <v>1</v>
      </c>
      <c r="AB19" s="30" t="s">
        <v>69</v>
      </c>
      <c r="AC19" s="30"/>
      <c r="AD19" s="30" t="s">
        <v>105</v>
      </c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6"/>
      <c r="AS19" s="36"/>
      <c r="AT19" s="36"/>
      <c r="AU19" s="36"/>
      <c r="AV19" s="36"/>
      <c r="AW19" s="36"/>
      <c r="AX19" s="36"/>
      <c r="AY19" s="36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27"/>
      <c r="BL19" s="27"/>
    </row>
    <row r="20" spans="1:64">
      <c r="A20" s="25" t="s">
        <v>54</v>
      </c>
      <c r="B20" s="26">
        <v>46204</v>
      </c>
      <c r="C20" s="27">
        <v>28722</v>
      </c>
      <c r="D20" s="27"/>
      <c r="E20" s="27" t="s">
        <v>212</v>
      </c>
      <c r="F20" s="27" t="s">
        <v>59</v>
      </c>
      <c r="G20" s="27" t="s">
        <v>104</v>
      </c>
      <c r="H20" s="30" t="s">
        <v>225</v>
      </c>
      <c r="I20" s="31" t="s">
        <v>226</v>
      </c>
      <c r="J20" s="30" t="s">
        <v>227</v>
      </c>
      <c r="K20" s="27">
        <v>1</v>
      </c>
      <c r="L20" s="27" t="s">
        <v>205</v>
      </c>
      <c r="M20" s="27"/>
      <c r="N20" s="31" t="s">
        <v>94</v>
      </c>
      <c r="O20" s="27"/>
      <c r="P20" s="30"/>
      <c r="Q20" s="30" t="s">
        <v>228</v>
      </c>
      <c r="R20" s="26">
        <v>46206</v>
      </c>
      <c r="S20" s="26">
        <v>46209</v>
      </c>
      <c r="T20" s="31"/>
      <c r="U20" s="30" t="s">
        <v>68</v>
      </c>
      <c r="V20" s="34" t="s">
        <v>70</v>
      </c>
      <c r="W20" s="27" t="s">
        <v>208</v>
      </c>
      <c r="X20" s="30">
        <v>1</v>
      </c>
      <c r="Y20" s="30">
        <v>1</v>
      </c>
      <c r="Z20" s="30">
        <v>1</v>
      </c>
      <c r="AA20" s="30">
        <v>1</v>
      </c>
      <c r="AB20" s="30" t="s">
        <v>69</v>
      </c>
      <c r="AC20" s="30"/>
      <c r="AD20" s="30" t="s">
        <v>105</v>
      </c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6"/>
      <c r="AS20" s="36"/>
      <c r="AT20" s="36"/>
      <c r="AU20" s="36"/>
      <c r="AV20" s="36"/>
      <c r="AW20" s="36"/>
      <c r="AX20" s="36"/>
      <c r="AY20" s="36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27"/>
      <c r="BL20" s="27"/>
    </row>
    <row r="21" spans="1:64">
      <c r="A21" s="25" t="s">
        <v>54</v>
      </c>
      <c r="B21" s="26">
        <v>46204</v>
      </c>
      <c r="C21" s="27">
        <v>30241</v>
      </c>
      <c r="D21" s="27"/>
      <c r="E21" s="27" t="s">
        <v>233</v>
      </c>
      <c r="F21" s="27" t="s">
        <v>59</v>
      </c>
      <c r="G21" s="27" t="s">
        <v>104</v>
      </c>
      <c r="H21" s="30" t="s">
        <v>234</v>
      </c>
      <c r="I21" s="30" t="s">
        <v>235</v>
      </c>
      <c r="J21" s="30" t="s">
        <v>169</v>
      </c>
      <c r="K21" s="27">
        <v>1</v>
      </c>
      <c r="L21" s="27" t="s">
        <v>205</v>
      </c>
      <c r="M21" s="27"/>
      <c r="N21" s="31" t="s">
        <v>154</v>
      </c>
      <c r="O21" s="27"/>
      <c r="P21" s="30"/>
      <c r="Q21" s="30" t="s">
        <v>66</v>
      </c>
      <c r="R21" s="26">
        <v>46205</v>
      </c>
      <c r="S21" s="26">
        <v>46206</v>
      </c>
      <c r="T21" s="31"/>
      <c r="U21" s="30" t="s">
        <v>68</v>
      </c>
      <c r="V21" s="34" t="s">
        <v>70</v>
      </c>
      <c r="W21" s="27" t="s">
        <v>208</v>
      </c>
      <c r="X21" s="30">
        <v>1</v>
      </c>
      <c r="Y21" s="30">
        <v>1</v>
      </c>
      <c r="Z21" s="30">
        <v>1</v>
      </c>
      <c r="AA21" s="30">
        <v>1</v>
      </c>
      <c r="AB21" s="30" t="s">
        <v>69</v>
      </c>
      <c r="AC21" s="30" t="s">
        <v>157</v>
      </c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6"/>
      <c r="AS21" s="36"/>
      <c r="AT21" s="36"/>
      <c r="AU21" s="36"/>
      <c r="AV21" s="36"/>
      <c r="AW21" s="36"/>
      <c r="AX21" s="36"/>
      <c r="AY21" s="36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27"/>
      <c r="BL21" s="27"/>
    </row>
    <row r="22" spans="1:64">
      <c r="A22" s="25" t="s">
        <v>54</v>
      </c>
      <c r="B22" s="26">
        <v>46204</v>
      </c>
      <c r="C22" s="27">
        <v>30244</v>
      </c>
      <c r="D22" s="27"/>
      <c r="E22" s="27" t="s">
        <v>233</v>
      </c>
      <c r="F22" s="27" t="s">
        <v>59</v>
      </c>
      <c r="G22" s="27" t="s">
        <v>104</v>
      </c>
      <c r="H22" s="30" t="s">
        <v>234</v>
      </c>
      <c r="I22" s="31" t="s">
        <v>242</v>
      </c>
      <c r="J22" s="30" t="s">
        <v>243</v>
      </c>
      <c r="K22" s="27">
        <v>1</v>
      </c>
      <c r="L22" s="27" t="s">
        <v>244</v>
      </c>
      <c r="M22" s="27"/>
      <c r="N22" s="31" t="s">
        <v>154</v>
      </c>
      <c r="O22" s="27"/>
      <c r="P22" s="30"/>
      <c r="Q22" s="30" t="s">
        <v>245</v>
      </c>
      <c r="R22" s="26">
        <v>46205</v>
      </c>
      <c r="S22" s="26">
        <v>46206</v>
      </c>
      <c r="T22" s="31"/>
      <c r="U22" s="30" t="s">
        <v>68</v>
      </c>
      <c r="V22" s="34" t="s">
        <v>70</v>
      </c>
      <c r="W22" s="27" t="s">
        <v>208</v>
      </c>
      <c r="X22" s="30">
        <v>1</v>
      </c>
      <c r="Y22" s="30">
        <v>1</v>
      </c>
      <c r="Z22" s="30">
        <v>1</v>
      </c>
      <c r="AA22" s="30">
        <v>1</v>
      </c>
      <c r="AB22" s="30" t="s">
        <v>69</v>
      </c>
      <c r="AC22" s="30" t="s">
        <v>157</v>
      </c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6"/>
      <c r="AS22" s="36"/>
      <c r="AT22" s="36"/>
      <c r="AU22" s="36"/>
      <c r="AV22" s="36"/>
      <c r="AW22" s="36"/>
      <c r="AX22" s="36"/>
      <c r="AY22" s="36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27"/>
      <c r="BL22" s="27"/>
    </row>
    <row r="23" spans="1:64">
      <c r="A23" s="25" t="s">
        <v>54</v>
      </c>
      <c r="B23" s="26">
        <v>46204</v>
      </c>
      <c r="C23" s="27">
        <v>28723</v>
      </c>
      <c r="D23" s="27"/>
      <c r="E23" s="27" t="s">
        <v>233</v>
      </c>
      <c r="F23" s="27" t="s">
        <v>59</v>
      </c>
      <c r="G23" s="27" t="s">
        <v>104</v>
      </c>
      <c r="H23" s="30" t="s">
        <v>249</v>
      </c>
      <c r="I23" s="31" t="s">
        <v>250</v>
      </c>
      <c r="J23" s="30" t="s">
        <v>57</v>
      </c>
      <c r="K23" s="27">
        <v>1</v>
      </c>
      <c r="L23" s="27" t="s">
        <v>205</v>
      </c>
      <c r="M23" s="27"/>
      <c r="N23" s="31" t="s">
        <v>81</v>
      </c>
      <c r="O23" s="27"/>
      <c r="P23" s="30"/>
      <c r="Q23" s="30" t="s">
        <v>66</v>
      </c>
      <c r="R23" s="26">
        <v>46207</v>
      </c>
      <c r="S23" s="26">
        <v>46209</v>
      </c>
      <c r="T23" s="31"/>
      <c r="U23" s="30" t="s">
        <v>68</v>
      </c>
      <c r="V23" s="34" t="s">
        <v>70</v>
      </c>
      <c r="W23" s="27" t="s">
        <v>208</v>
      </c>
      <c r="X23" s="30">
        <v>1</v>
      </c>
      <c r="Y23" s="30">
        <v>1</v>
      </c>
      <c r="Z23" s="30">
        <v>1</v>
      </c>
      <c r="AA23" s="30">
        <v>1</v>
      </c>
      <c r="AB23" s="30" t="s">
        <v>69</v>
      </c>
      <c r="AC23" s="30"/>
      <c r="AD23" s="30" t="s">
        <v>81</v>
      </c>
      <c r="AE23" s="30" t="s">
        <v>41</v>
      </c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6"/>
      <c r="AS23" s="36"/>
      <c r="AT23" s="36"/>
      <c r="AU23" s="36"/>
      <c r="AV23" s="36"/>
      <c r="AW23" s="36"/>
      <c r="AX23" s="36"/>
      <c r="AY23" s="36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27"/>
      <c r="BL23" s="27"/>
    </row>
    <row r="24" spans="1:64">
      <c r="A24" s="25" t="s">
        <v>54</v>
      </c>
      <c r="B24" s="26">
        <v>46204</v>
      </c>
      <c r="C24" s="27">
        <v>30230</v>
      </c>
      <c r="D24" s="27"/>
      <c r="E24" s="27" t="s">
        <v>212</v>
      </c>
      <c r="F24" s="27" t="s">
        <v>59</v>
      </c>
      <c r="G24" s="27" t="s">
        <v>104</v>
      </c>
      <c r="H24" s="30" t="s">
        <v>252</v>
      </c>
      <c r="I24" s="31" t="s">
        <v>253</v>
      </c>
      <c r="J24" s="30" t="s">
        <v>106</v>
      </c>
      <c r="K24" s="27">
        <v>1</v>
      </c>
      <c r="L24" s="27" t="s">
        <v>205</v>
      </c>
      <c r="M24" s="27"/>
      <c r="N24" s="31" t="s">
        <v>81</v>
      </c>
      <c r="O24" s="27"/>
      <c r="P24" s="30"/>
      <c r="Q24" s="30" t="s">
        <v>66</v>
      </c>
      <c r="R24" s="26">
        <v>46207</v>
      </c>
      <c r="S24" s="26">
        <v>46209</v>
      </c>
      <c r="T24" s="31"/>
      <c r="U24" s="30" t="s">
        <v>68</v>
      </c>
      <c r="V24" s="34" t="s">
        <v>70</v>
      </c>
      <c r="W24" s="27" t="s">
        <v>208</v>
      </c>
      <c r="X24" s="30">
        <v>1</v>
      </c>
      <c r="Y24" s="30">
        <v>1</v>
      </c>
      <c r="Z24" s="30">
        <v>1</v>
      </c>
      <c r="AA24" s="30">
        <v>1</v>
      </c>
      <c r="AB24" s="30" t="s">
        <v>69</v>
      </c>
      <c r="AC24" s="30"/>
      <c r="AD24" s="30" t="s">
        <v>81</v>
      </c>
      <c r="AE24" s="30" t="s">
        <v>41</v>
      </c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6"/>
      <c r="AS24" s="36"/>
      <c r="AT24" s="36"/>
      <c r="AU24" s="36"/>
      <c r="AV24" s="36"/>
      <c r="AW24" s="36"/>
      <c r="AX24" s="36"/>
      <c r="AY24" s="36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27"/>
      <c r="BL24" s="27"/>
    </row>
    <row r="25" spans="1:64">
      <c r="A25" s="25" t="s">
        <v>54</v>
      </c>
      <c r="B25" s="26">
        <v>46204</v>
      </c>
      <c r="C25" s="27">
        <v>30231</v>
      </c>
      <c r="D25" s="27"/>
      <c r="E25" s="27" t="s">
        <v>233</v>
      </c>
      <c r="F25" s="27" t="s">
        <v>59</v>
      </c>
      <c r="G25" s="27" t="s">
        <v>104</v>
      </c>
      <c r="H25" s="30" t="s">
        <v>134</v>
      </c>
      <c r="I25" s="31" t="s">
        <v>256</v>
      </c>
      <c r="J25" s="30" t="s">
        <v>134</v>
      </c>
      <c r="K25" s="27">
        <v>1</v>
      </c>
      <c r="L25" s="27" t="s">
        <v>205</v>
      </c>
      <c r="M25" s="27"/>
      <c r="N25" s="31" t="s">
        <v>81</v>
      </c>
      <c r="O25" s="27"/>
      <c r="P25" s="30"/>
      <c r="Q25" s="30" t="s">
        <v>66</v>
      </c>
      <c r="R25" s="26">
        <v>46209</v>
      </c>
      <c r="S25" s="26">
        <v>46211</v>
      </c>
      <c r="T25" s="31"/>
      <c r="U25" s="30" t="s">
        <v>68</v>
      </c>
      <c r="V25" s="34" t="s">
        <v>70</v>
      </c>
      <c r="W25" s="27" t="s">
        <v>208</v>
      </c>
      <c r="X25" s="30">
        <v>1</v>
      </c>
      <c r="Y25" s="30">
        <v>1</v>
      </c>
      <c r="Z25" s="30">
        <v>1</v>
      </c>
      <c r="AA25" s="30">
        <v>1</v>
      </c>
      <c r="AB25" s="30" t="s">
        <v>69</v>
      </c>
      <c r="AC25" s="30"/>
      <c r="AD25" s="30"/>
      <c r="AE25" s="30"/>
      <c r="AF25" s="30"/>
      <c r="AG25" s="30" t="s">
        <v>88</v>
      </c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6"/>
      <c r="AS25" s="36"/>
      <c r="AT25" s="36"/>
      <c r="AU25" s="36"/>
      <c r="AV25" s="36"/>
      <c r="AW25" s="36"/>
      <c r="AX25" s="36"/>
      <c r="AY25" s="36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27"/>
      <c r="BL25" s="27"/>
    </row>
    <row r="26" spans="1:64">
      <c r="A26" s="25" t="s">
        <v>54</v>
      </c>
      <c r="B26" s="26">
        <v>46204</v>
      </c>
      <c r="C26" s="27">
        <v>30242</v>
      </c>
      <c r="D26" s="27"/>
      <c r="E26" s="27" t="s">
        <v>212</v>
      </c>
      <c r="F26" s="27" t="s">
        <v>59</v>
      </c>
      <c r="G26" s="27" t="s">
        <v>104</v>
      </c>
      <c r="H26" s="30" t="s">
        <v>60</v>
      </c>
      <c r="I26" s="31" t="s">
        <v>257</v>
      </c>
      <c r="J26" s="30" t="s">
        <v>60</v>
      </c>
      <c r="K26" s="27">
        <v>1</v>
      </c>
      <c r="L26" s="27" t="s">
        <v>205</v>
      </c>
      <c r="M26" s="27"/>
      <c r="N26" s="31" t="s">
        <v>258</v>
      </c>
      <c r="O26" s="27"/>
      <c r="P26" s="30"/>
      <c r="Q26" s="30" t="s">
        <v>259</v>
      </c>
      <c r="R26" s="26">
        <v>46206</v>
      </c>
      <c r="S26" s="26">
        <v>46207</v>
      </c>
      <c r="T26" s="31"/>
      <c r="U26" s="30" t="s">
        <v>68</v>
      </c>
      <c r="V26" s="34" t="s">
        <v>70</v>
      </c>
      <c r="W26" s="27" t="s">
        <v>208</v>
      </c>
      <c r="X26" s="30">
        <v>1</v>
      </c>
      <c r="Y26" s="30">
        <v>1</v>
      </c>
      <c r="Z26" s="30">
        <v>1</v>
      </c>
      <c r="AA26" s="30">
        <v>1</v>
      </c>
      <c r="AB26" s="30" t="s">
        <v>69</v>
      </c>
      <c r="AC26" s="30"/>
      <c r="AD26" s="30" t="s">
        <v>260</v>
      </c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6"/>
      <c r="AS26" s="36"/>
      <c r="AT26" s="36"/>
      <c r="AU26" s="36"/>
      <c r="AV26" s="36"/>
      <c r="AW26" s="36"/>
      <c r="AX26" s="36"/>
      <c r="AY26" s="36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27"/>
      <c r="BL26" s="27"/>
    </row>
    <row r="27" spans="1:64">
      <c r="A27" s="25" t="s">
        <v>54</v>
      </c>
      <c r="B27" s="26">
        <v>46204</v>
      </c>
      <c r="C27" s="27">
        <v>30234</v>
      </c>
      <c r="D27" s="27"/>
      <c r="E27" s="27" t="s">
        <v>233</v>
      </c>
      <c r="F27" s="27" t="s">
        <v>59</v>
      </c>
      <c r="G27" s="27" t="s">
        <v>104</v>
      </c>
      <c r="H27" s="30" t="s">
        <v>60</v>
      </c>
      <c r="I27" s="31" t="s">
        <v>261</v>
      </c>
      <c r="J27" s="30" t="s">
        <v>60</v>
      </c>
      <c r="K27" s="27">
        <v>1</v>
      </c>
      <c r="L27" s="27" t="s">
        <v>205</v>
      </c>
      <c r="M27" s="27"/>
      <c r="N27" s="31" t="s">
        <v>154</v>
      </c>
      <c r="O27" s="27"/>
      <c r="P27" s="30"/>
      <c r="Q27" s="30" t="s">
        <v>66</v>
      </c>
      <c r="R27" s="26">
        <v>46206</v>
      </c>
      <c r="S27" s="26">
        <v>46207</v>
      </c>
      <c r="T27" s="31"/>
      <c r="U27" s="30" t="s">
        <v>68</v>
      </c>
      <c r="V27" s="34" t="s">
        <v>70</v>
      </c>
      <c r="W27" s="27" t="s">
        <v>208</v>
      </c>
      <c r="X27" s="30">
        <v>1</v>
      </c>
      <c r="Y27" s="30">
        <v>1</v>
      </c>
      <c r="Z27" s="30">
        <v>1</v>
      </c>
      <c r="AA27" s="30">
        <v>1</v>
      </c>
      <c r="AB27" s="30" t="s">
        <v>69</v>
      </c>
      <c r="AC27" s="30"/>
      <c r="AD27" s="30" t="s">
        <v>157</v>
      </c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6"/>
      <c r="AS27" s="36"/>
      <c r="AT27" s="36"/>
      <c r="AU27" s="36"/>
      <c r="AV27" s="36"/>
      <c r="AW27" s="36"/>
      <c r="AX27" s="36"/>
      <c r="AY27" s="36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27"/>
      <c r="BL27" s="27"/>
    </row>
    <row r="28" spans="1:64">
      <c r="A28" s="25" t="s">
        <v>54</v>
      </c>
      <c r="B28" s="26">
        <v>46204</v>
      </c>
      <c r="C28" s="27">
        <v>30233</v>
      </c>
      <c r="D28" s="27"/>
      <c r="E28" s="27" t="s">
        <v>233</v>
      </c>
      <c r="F28" s="27" t="s">
        <v>59</v>
      </c>
      <c r="G28" s="27" t="s">
        <v>104</v>
      </c>
      <c r="H28" s="30" t="s">
        <v>60</v>
      </c>
      <c r="I28" s="31" t="s">
        <v>265</v>
      </c>
      <c r="J28" s="30" t="s">
        <v>60</v>
      </c>
      <c r="K28" s="27">
        <v>1</v>
      </c>
      <c r="L28" s="27" t="s">
        <v>214</v>
      </c>
      <c r="M28" s="27"/>
      <c r="N28" s="31" t="s">
        <v>258</v>
      </c>
      <c r="O28" s="27"/>
      <c r="P28" s="30"/>
      <c r="Q28" s="30" t="s">
        <v>66</v>
      </c>
      <c r="R28" s="26">
        <v>46206</v>
      </c>
      <c r="S28" s="26">
        <v>46207</v>
      </c>
      <c r="T28" s="31"/>
      <c r="U28" s="30" t="s">
        <v>68</v>
      </c>
      <c r="V28" s="34" t="s">
        <v>70</v>
      </c>
      <c r="W28" s="27" t="s">
        <v>208</v>
      </c>
      <c r="X28" s="30">
        <v>1</v>
      </c>
      <c r="Y28" s="30">
        <v>1</v>
      </c>
      <c r="Z28" s="30">
        <v>1</v>
      </c>
      <c r="AA28" s="30">
        <v>1</v>
      </c>
      <c r="AB28" s="30" t="s">
        <v>69</v>
      </c>
      <c r="AC28" s="30"/>
      <c r="AD28" s="30" t="s">
        <v>260</v>
      </c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6"/>
      <c r="AS28" s="36"/>
      <c r="AT28" s="36"/>
      <c r="AU28" s="36"/>
      <c r="AV28" s="36"/>
      <c r="AW28" s="36"/>
      <c r="AX28" s="36"/>
      <c r="AY28" s="36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27"/>
      <c r="BL28" s="27"/>
    </row>
    <row r="29" spans="1:64">
      <c r="A29" s="25" t="s">
        <v>54</v>
      </c>
      <c r="B29" s="26">
        <v>46204</v>
      </c>
      <c r="C29" s="27">
        <v>30236</v>
      </c>
      <c r="D29" s="27"/>
      <c r="E29" s="27" t="s">
        <v>233</v>
      </c>
      <c r="F29" s="27" t="s">
        <v>59</v>
      </c>
      <c r="G29" s="27" t="s">
        <v>104</v>
      </c>
      <c r="H29" s="30" t="s">
        <v>60</v>
      </c>
      <c r="I29" s="31" t="s">
        <v>267</v>
      </c>
      <c r="J29" s="30" t="s">
        <v>60</v>
      </c>
      <c r="K29" s="27">
        <v>1</v>
      </c>
      <c r="L29" s="27" t="s">
        <v>205</v>
      </c>
      <c r="M29" s="27"/>
      <c r="N29" s="31" t="s">
        <v>258</v>
      </c>
      <c r="O29" s="27"/>
      <c r="P29" s="30"/>
      <c r="Q29" s="30" t="s">
        <v>268</v>
      </c>
      <c r="R29" s="26">
        <v>46206</v>
      </c>
      <c r="S29" s="26">
        <v>46207</v>
      </c>
      <c r="T29" s="31"/>
      <c r="U29" s="30" t="s">
        <v>68</v>
      </c>
      <c r="V29" s="34" t="s">
        <v>70</v>
      </c>
      <c r="W29" s="27" t="s">
        <v>208</v>
      </c>
      <c r="X29" s="30">
        <v>1</v>
      </c>
      <c r="Y29" s="30">
        <v>1</v>
      </c>
      <c r="Z29" s="30">
        <v>1</v>
      </c>
      <c r="AA29" s="30">
        <v>1</v>
      </c>
      <c r="AB29" s="30" t="s">
        <v>69</v>
      </c>
      <c r="AC29" s="30"/>
      <c r="AD29" s="30" t="s">
        <v>260</v>
      </c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6"/>
      <c r="AS29" s="36"/>
      <c r="AT29" s="36"/>
      <c r="AU29" s="36"/>
      <c r="AV29" s="36"/>
      <c r="AW29" s="36"/>
      <c r="AX29" s="36"/>
      <c r="AY29" s="36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27"/>
      <c r="BL29" s="27"/>
    </row>
    <row r="30" spans="1:64">
      <c r="A30" s="25" t="s">
        <v>54</v>
      </c>
      <c r="B30" s="26">
        <v>46204</v>
      </c>
      <c r="C30" s="27">
        <v>30235</v>
      </c>
      <c r="D30" s="27"/>
      <c r="E30" s="27" t="s">
        <v>203</v>
      </c>
      <c r="F30" s="27" t="s">
        <v>59</v>
      </c>
      <c r="G30" s="27" t="s">
        <v>104</v>
      </c>
      <c r="H30" s="30" t="s">
        <v>151</v>
      </c>
      <c r="I30" s="31" t="s">
        <v>274</v>
      </c>
      <c r="J30" s="30" t="s">
        <v>151</v>
      </c>
      <c r="K30" s="27">
        <v>1</v>
      </c>
      <c r="L30" s="27" t="s">
        <v>205</v>
      </c>
      <c r="M30" s="27"/>
      <c r="N30" s="31" t="s">
        <v>154</v>
      </c>
      <c r="O30" s="27"/>
      <c r="P30" s="30"/>
      <c r="Q30" s="30" t="s">
        <v>66</v>
      </c>
      <c r="R30" s="26">
        <v>46209</v>
      </c>
      <c r="S30" s="26">
        <v>46210</v>
      </c>
      <c r="T30" s="31"/>
      <c r="U30" s="30" t="s">
        <v>68</v>
      </c>
      <c r="V30" s="34" t="s">
        <v>70</v>
      </c>
      <c r="W30" s="27" t="s">
        <v>208</v>
      </c>
      <c r="X30" s="30">
        <v>1</v>
      </c>
      <c r="Y30" s="30">
        <v>1</v>
      </c>
      <c r="Z30" s="30">
        <v>1</v>
      </c>
      <c r="AA30" s="30">
        <v>1</v>
      </c>
      <c r="AB30" s="30" t="s">
        <v>69</v>
      </c>
      <c r="AC30" s="30"/>
      <c r="AD30" s="30"/>
      <c r="AE30" s="30"/>
      <c r="AF30" s="30"/>
      <c r="AG30" s="30" t="s">
        <v>157</v>
      </c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6"/>
      <c r="AS30" s="36"/>
      <c r="AT30" s="36"/>
      <c r="AU30" s="36"/>
      <c r="AV30" s="36"/>
      <c r="AW30" s="36"/>
      <c r="AX30" s="36"/>
      <c r="AY30" s="36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27"/>
      <c r="BL30" s="27"/>
    </row>
    <row r="31" spans="1:64">
      <c r="A31" s="25" t="s">
        <v>54</v>
      </c>
      <c r="B31" s="26">
        <v>46204</v>
      </c>
      <c r="C31" s="27">
        <v>30229</v>
      </c>
      <c r="D31" s="27"/>
      <c r="E31" s="27" t="s">
        <v>203</v>
      </c>
      <c r="F31" s="27" t="s">
        <v>59</v>
      </c>
      <c r="G31" s="27" t="s">
        <v>104</v>
      </c>
      <c r="H31" s="30" t="s">
        <v>151</v>
      </c>
      <c r="I31" s="31" t="s">
        <v>277</v>
      </c>
      <c r="J31" s="30" t="s">
        <v>151</v>
      </c>
      <c r="K31" s="27">
        <v>1</v>
      </c>
      <c r="L31" s="27" t="s">
        <v>214</v>
      </c>
      <c r="M31" s="27"/>
      <c r="N31" s="31" t="s">
        <v>154</v>
      </c>
      <c r="O31" s="27"/>
      <c r="P31" s="30"/>
      <c r="Q31" s="30" t="s">
        <v>278</v>
      </c>
      <c r="R31" s="26">
        <v>46209</v>
      </c>
      <c r="S31" s="26">
        <v>46210</v>
      </c>
      <c r="T31" s="31"/>
      <c r="U31" s="30" t="s">
        <v>68</v>
      </c>
      <c r="V31" s="34" t="s">
        <v>70</v>
      </c>
      <c r="W31" s="27" t="s">
        <v>208</v>
      </c>
      <c r="X31" s="30">
        <v>1</v>
      </c>
      <c r="Y31" s="30">
        <v>1</v>
      </c>
      <c r="Z31" s="30">
        <v>1</v>
      </c>
      <c r="AA31" s="30">
        <v>1</v>
      </c>
      <c r="AB31" s="30" t="s">
        <v>69</v>
      </c>
      <c r="AC31" s="30"/>
      <c r="AD31" s="30"/>
      <c r="AE31" s="30"/>
      <c r="AF31" s="30"/>
      <c r="AG31" s="30" t="s">
        <v>157</v>
      </c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6"/>
      <c r="AS31" s="36"/>
      <c r="AT31" s="36"/>
      <c r="AU31" s="36"/>
      <c r="AV31" s="36"/>
      <c r="AW31" s="36"/>
      <c r="AX31" s="36"/>
      <c r="AY31" s="36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27"/>
      <c r="BL31" s="27"/>
    </row>
    <row r="32" spans="1:64">
      <c r="A32" s="25" t="s">
        <v>54</v>
      </c>
      <c r="B32" s="26">
        <v>46204</v>
      </c>
      <c r="C32" s="27">
        <v>30232</v>
      </c>
      <c r="D32" s="27"/>
      <c r="E32" s="27" t="s">
        <v>203</v>
      </c>
      <c r="F32" s="27" t="s">
        <v>59</v>
      </c>
      <c r="G32" s="27" t="s">
        <v>104</v>
      </c>
      <c r="H32" s="30" t="s">
        <v>280</v>
      </c>
      <c r="I32" s="31" t="s">
        <v>281</v>
      </c>
      <c r="J32" s="30" t="s">
        <v>151</v>
      </c>
      <c r="K32" s="27">
        <v>1</v>
      </c>
      <c r="L32" s="27" t="s">
        <v>214</v>
      </c>
      <c r="M32" s="27"/>
      <c r="N32" s="31" t="s">
        <v>154</v>
      </c>
      <c r="O32" s="27"/>
      <c r="P32" s="30"/>
      <c r="Q32" s="30" t="s">
        <v>66</v>
      </c>
      <c r="R32" s="26">
        <v>46209</v>
      </c>
      <c r="S32" s="26">
        <v>46210</v>
      </c>
      <c r="T32" s="31"/>
      <c r="U32" s="30" t="s">
        <v>68</v>
      </c>
      <c r="V32" s="34" t="s">
        <v>70</v>
      </c>
      <c r="W32" s="27" t="s">
        <v>208</v>
      </c>
      <c r="X32" s="30">
        <v>1</v>
      </c>
      <c r="Y32" s="30">
        <v>1</v>
      </c>
      <c r="Z32" s="30">
        <v>1</v>
      </c>
      <c r="AA32" s="30">
        <v>1</v>
      </c>
      <c r="AB32" s="30" t="s">
        <v>69</v>
      </c>
      <c r="AC32" s="30"/>
      <c r="AD32" s="30"/>
      <c r="AE32" s="30"/>
      <c r="AF32" s="30"/>
      <c r="AG32" s="30" t="s">
        <v>157</v>
      </c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6"/>
      <c r="AS32" s="36"/>
      <c r="AT32" s="36"/>
      <c r="AU32" s="36"/>
      <c r="AV32" s="36"/>
      <c r="AW32" s="36"/>
      <c r="AX32" s="36"/>
      <c r="AY32" s="36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27"/>
      <c r="BL32" s="27"/>
    </row>
    <row r="33" spans="1:64">
      <c r="A33" s="25" t="s">
        <v>54</v>
      </c>
      <c r="B33" s="26">
        <v>46204</v>
      </c>
      <c r="C33" s="27">
        <v>30228</v>
      </c>
      <c r="D33" s="27"/>
      <c r="E33" s="27" t="s">
        <v>203</v>
      </c>
      <c r="F33" s="27" t="s">
        <v>59</v>
      </c>
      <c r="G33" s="27" t="s">
        <v>104</v>
      </c>
      <c r="H33" s="30" t="s">
        <v>151</v>
      </c>
      <c r="I33" s="31" t="s">
        <v>282</v>
      </c>
      <c r="J33" s="30" t="s">
        <v>151</v>
      </c>
      <c r="K33" s="27">
        <v>1</v>
      </c>
      <c r="L33" s="27" t="s">
        <v>214</v>
      </c>
      <c r="M33" s="27"/>
      <c r="N33" s="31" t="s">
        <v>154</v>
      </c>
      <c r="O33" s="27"/>
      <c r="P33" s="30"/>
      <c r="Q33" s="30" t="s">
        <v>283</v>
      </c>
      <c r="R33" s="26">
        <v>46209</v>
      </c>
      <c r="S33" s="26">
        <v>46210</v>
      </c>
      <c r="T33" s="31"/>
      <c r="U33" s="30" t="s">
        <v>68</v>
      </c>
      <c r="V33" s="34" t="s">
        <v>70</v>
      </c>
      <c r="W33" s="27" t="s">
        <v>208</v>
      </c>
      <c r="X33" s="30">
        <v>1</v>
      </c>
      <c r="Y33" s="30">
        <v>1</v>
      </c>
      <c r="Z33" s="30">
        <v>1</v>
      </c>
      <c r="AA33" s="30">
        <v>1</v>
      </c>
      <c r="AB33" s="30" t="s">
        <v>69</v>
      </c>
      <c r="AC33" s="30"/>
      <c r="AD33" s="30"/>
      <c r="AE33" s="30"/>
      <c r="AF33" s="30"/>
      <c r="AG33" s="30" t="s">
        <v>157</v>
      </c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6"/>
      <c r="AS33" s="36"/>
      <c r="AT33" s="36"/>
      <c r="AU33" s="36"/>
      <c r="AV33" s="36"/>
      <c r="AW33" s="36"/>
      <c r="AX33" s="36"/>
      <c r="AY33" s="36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27"/>
      <c r="BL33" s="27"/>
    </row>
    <row r="34" spans="1:64">
      <c r="A34" s="25" t="s">
        <v>54</v>
      </c>
      <c r="B34" s="26">
        <v>46204</v>
      </c>
      <c r="C34" s="27">
        <v>30243</v>
      </c>
      <c r="D34" s="27"/>
      <c r="E34" s="27" t="s">
        <v>212</v>
      </c>
      <c r="F34" s="27" t="s">
        <v>59</v>
      </c>
      <c r="G34" s="27" t="s">
        <v>104</v>
      </c>
      <c r="H34" s="30" t="s">
        <v>151</v>
      </c>
      <c r="I34" s="31" t="s">
        <v>289</v>
      </c>
      <c r="J34" s="30" t="s">
        <v>151</v>
      </c>
      <c r="K34" s="27">
        <v>1</v>
      </c>
      <c r="L34" s="27" t="s">
        <v>205</v>
      </c>
      <c r="M34" s="27"/>
      <c r="N34" s="31" t="s">
        <v>154</v>
      </c>
      <c r="O34" s="27"/>
      <c r="P34" s="30"/>
      <c r="Q34" s="30" t="s">
        <v>66</v>
      </c>
      <c r="R34" s="26">
        <v>46209</v>
      </c>
      <c r="S34" s="26">
        <v>46210</v>
      </c>
      <c r="T34" s="31"/>
      <c r="U34" s="30" t="s">
        <v>68</v>
      </c>
      <c r="V34" s="34" t="s">
        <v>70</v>
      </c>
      <c r="W34" s="27" t="s">
        <v>208</v>
      </c>
      <c r="X34" s="30">
        <v>1</v>
      </c>
      <c r="Y34" s="30">
        <v>1</v>
      </c>
      <c r="Z34" s="30">
        <v>1</v>
      </c>
      <c r="AA34" s="30">
        <v>1</v>
      </c>
      <c r="AB34" s="30" t="s">
        <v>69</v>
      </c>
      <c r="AC34" s="30"/>
      <c r="AD34" s="30"/>
      <c r="AE34" s="30"/>
      <c r="AF34" s="30"/>
      <c r="AG34" s="30" t="s">
        <v>157</v>
      </c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6"/>
      <c r="AS34" s="36"/>
      <c r="AT34" s="36"/>
      <c r="AU34" s="36"/>
      <c r="AV34" s="36"/>
      <c r="AW34" s="36"/>
      <c r="AX34" s="36"/>
      <c r="AY34" s="36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27"/>
      <c r="BL34" s="27"/>
    </row>
    <row r="35" spans="1:64">
      <c r="A35" s="25" t="s">
        <v>54</v>
      </c>
      <c r="B35" s="26">
        <v>46204</v>
      </c>
      <c r="C35" s="27">
        <v>28725</v>
      </c>
      <c r="D35" s="27"/>
      <c r="E35" s="27" t="s">
        <v>212</v>
      </c>
      <c r="F35" s="27" t="s">
        <v>59</v>
      </c>
      <c r="G35" s="27" t="s">
        <v>104</v>
      </c>
      <c r="H35" s="30" t="s">
        <v>28</v>
      </c>
      <c r="I35" s="31" t="s">
        <v>292</v>
      </c>
      <c r="J35" s="30" t="s">
        <v>28</v>
      </c>
      <c r="K35" s="27">
        <v>1</v>
      </c>
      <c r="L35" s="27" t="s">
        <v>205</v>
      </c>
      <c r="M35" s="27"/>
      <c r="N35" s="31" t="s">
        <v>258</v>
      </c>
      <c r="O35" s="27"/>
      <c r="P35" s="30"/>
      <c r="Q35" s="30" t="s">
        <v>296</v>
      </c>
      <c r="R35" s="26">
        <v>46205</v>
      </c>
      <c r="S35" s="26">
        <v>46206</v>
      </c>
      <c r="T35" s="31"/>
      <c r="U35" s="30" t="s">
        <v>68</v>
      </c>
      <c r="V35" s="34" t="s">
        <v>70</v>
      </c>
      <c r="W35" s="27" t="s">
        <v>208</v>
      </c>
      <c r="X35" s="30">
        <v>1</v>
      </c>
      <c r="Y35" s="30">
        <v>1</v>
      </c>
      <c r="Z35" s="30">
        <v>1</v>
      </c>
      <c r="AA35" s="30">
        <v>1</v>
      </c>
      <c r="AB35" s="30" t="s">
        <v>69</v>
      </c>
      <c r="AC35" s="30" t="s">
        <v>260</v>
      </c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6"/>
      <c r="AS35" s="36"/>
      <c r="AT35" s="36"/>
      <c r="AU35" s="36"/>
      <c r="AV35" s="36"/>
      <c r="AW35" s="36"/>
      <c r="AX35" s="36"/>
      <c r="AY35" s="36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27"/>
      <c r="BL35" s="27"/>
    </row>
    <row r="36" spans="1:64">
      <c r="A36" s="25" t="s">
        <v>54</v>
      </c>
      <c r="B36" s="26">
        <v>46204</v>
      </c>
      <c r="C36" s="27">
        <v>30237</v>
      </c>
      <c r="D36" s="27"/>
      <c r="E36" s="27" t="s">
        <v>233</v>
      </c>
      <c r="F36" s="27" t="s">
        <v>59</v>
      </c>
      <c r="G36" s="27" t="s">
        <v>104</v>
      </c>
      <c r="H36" s="30" t="s">
        <v>28</v>
      </c>
      <c r="I36" s="31" t="s">
        <v>298</v>
      </c>
      <c r="J36" s="30" t="s">
        <v>28</v>
      </c>
      <c r="K36" s="27">
        <v>1</v>
      </c>
      <c r="L36" s="27" t="s">
        <v>205</v>
      </c>
      <c r="M36" s="27"/>
      <c r="N36" s="31" t="s">
        <v>258</v>
      </c>
      <c r="O36" s="27"/>
      <c r="P36" s="30"/>
      <c r="Q36" s="30" t="s">
        <v>299</v>
      </c>
      <c r="R36" s="26">
        <v>46205</v>
      </c>
      <c r="S36" s="26">
        <v>46206</v>
      </c>
      <c r="T36" s="31"/>
      <c r="U36" s="30" t="s">
        <v>68</v>
      </c>
      <c r="V36" s="34" t="s">
        <v>70</v>
      </c>
      <c r="W36" s="27" t="s">
        <v>208</v>
      </c>
      <c r="X36" s="30">
        <v>1</v>
      </c>
      <c r="Y36" s="30">
        <v>1</v>
      </c>
      <c r="Z36" s="30">
        <v>1</v>
      </c>
      <c r="AA36" s="30">
        <v>1</v>
      </c>
      <c r="AB36" s="30" t="s">
        <v>69</v>
      </c>
      <c r="AC36" s="30" t="s">
        <v>260</v>
      </c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6"/>
      <c r="AS36" s="36"/>
      <c r="AT36" s="36"/>
      <c r="AU36" s="36"/>
      <c r="AV36" s="36"/>
      <c r="AW36" s="36"/>
      <c r="AX36" s="36"/>
      <c r="AY36" s="36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27"/>
      <c r="BL36" s="27"/>
    </row>
    <row r="37" spans="1:64">
      <c r="A37" s="25" t="s">
        <v>54</v>
      </c>
      <c r="B37" s="26">
        <v>46204</v>
      </c>
      <c r="C37" s="27">
        <v>30238</v>
      </c>
      <c r="D37" s="27"/>
      <c r="E37" s="27" t="s">
        <v>233</v>
      </c>
      <c r="F37" s="27" t="s">
        <v>59</v>
      </c>
      <c r="G37" s="27" t="s">
        <v>104</v>
      </c>
      <c r="H37" s="30" t="s">
        <v>28</v>
      </c>
      <c r="I37" s="31" t="s">
        <v>303</v>
      </c>
      <c r="J37" s="30" t="s">
        <v>28</v>
      </c>
      <c r="K37" s="27">
        <v>1</v>
      </c>
      <c r="L37" s="27" t="s">
        <v>205</v>
      </c>
      <c r="M37" s="27"/>
      <c r="N37" s="31" t="s">
        <v>258</v>
      </c>
      <c r="O37" s="27"/>
      <c r="P37" s="30"/>
      <c r="Q37" s="30" t="s">
        <v>304</v>
      </c>
      <c r="R37" s="26">
        <v>46205</v>
      </c>
      <c r="S37" s="26">
        <v>46206</v>
      </c>
      <c r="T37" s="31"/>
      <c r="U37" s="30" t="s">
        <v>68</v>
      </c>
      <c r="V37" s="34" t="s">
        <v>70</v>
      </c>
      <c r="W37" s="27" t="s">
        <v>208</v>
      </c>
      <c r="X37" s="30">
        <v>1</v>
      </c>
      <c r="Y37" s="30">
        <v>1</v>
      </c>
      <c r="Z37" s="30">
        <v>1</v>
      </c>
      <c r="AA37" s="30">
        <v>1</v>
      </c>
      <c r="AB37" s="30" t="s">
        <v>69</v>
      </c>
      <c r="AC37" s="30" t="s">
        <v>260</v>
      </c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6"/>
      <c r="AS37" s="36"/>
      <c r="AT37" s="36"/>
      <c r="AU37" s="36"/>
      <c r="AV37" s="36"/>
      <c r="AW37" s="36"/>
      <c r="AX37" s="36"/>
      <c r="AY37" s="36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27"/>
      <c r="BL37" s="27"/>
    </row>
    <row r="38" spans="1:64">
      <c r="A38" s="25" t="s">
        <v>54</v>
      </c>
      <c r="B38" s="26">
        <v>46204</v>
      </c>
      <c r="C38" s="27">
        <v>30240</v>
      </c>
      <c r="D38" s="27"/>
      <c r="E38" s="27" t="s">
        <v>212</v>
      </c>
      <c r="F38" s="27" t="s">
        <v>59</v>
      </c>
      <c r="G38" s="27" t="s">
        <v>104</v>
      </c>
      <c r="H38" s="30" t="s">
        <v>28</v>
      </c>
      <c r="I38" s="31" t="s">
        <v>311</v>
      </c>
      <c r="J38" s="30" t="s">
        <v>28</v>
      </c>
      <c r="K38" s="27">
        <v>1</v>
      </c>
      <c r="L38" s="27" t="s">
        <v>214</v>
      </c>
      <c r="M38" s="27"/>
      <c r="N38" s="31" t="s">
        <v>258</v>
      </c>
      <c r="O38" s="27"/>
      <c r="P38" s="30"/>
      <c r="Q38" s="30" t="s">
        <v>312</v>
      </c>
      <c r="R38" s="26">
        <v>46205</v>
      </c>
      <c r="S38" s="26">
        <v>46206</v>
      </c>
      <c r="T38" s="31"/>
      <c r="U38" s="30" t="s">
        <v>68</v>
      </c>
      <c r="V38" s="34" t="s">
        <v>70</v>
      </c>
      <c r="W38" s="27" t="s">
        <v>208</v>
      </c>
      <c r="X38" s="30">
        <v>1</v>
      </c>
      <c r="Y38" s="30">
        <v>1</v>
      </c>
      <c r="Z38" s="30">
        <v>1</v>
      </c>
      <c r="AA38" s="30">
        <v>1</v>
      </c>
      <c r="AB38" s="30" t="s">
        <v>69</v>
      </c>
      <c r="AC38" s="30" t="s">
        <v>260</v>
      </c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6"/>
      <c r="AS38" s="36"/>
      <c r="AT38" s="36"/>
      <c r="AU38" s="36"/>
      <c r="AV38" s="36"/>
      <c r="AW38" s="36"/>
      <c r="AX38" s="36"/>
      <c r="AY38" s="36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27"/>
      <c r="BL38" s="27"/>
    </row>
    <row r="39" spans="1:64">
      <c r="A39" s="25" t="s">
        <v>54</v>
      </c>
      <c r="B39" s="26">
        <v>46204</v>
      </c>
      <c r="C39" s="27">
        <v>30157</v>
      </c>
      <c r="D39" s="27"/>
      <c r="E39" s="27" t="s">
        <v>314</v>
      </c>
      <c r="F39" s="27" t="s">
        <v>59</v>
      </c>
      <c r="G39" s="27" t="s">
        <v>294</v>
      </c>
      <c r="H39" s="30" t="s">
        <v>315</v>
      </c>
      <c r="I39" s="31" t="s">
        <v>316</v>
      </c>
      <c r="J39" s="30" t="s">
        <v>317</v>
      </c>
      <c r="K39" s="27">
        <v>5</v>
      </c>
      <c r="L39" s="27">
        <v>175.5</v>
      </c>
      <c r="M39" s="27"/>
      <c r="N39" s="31" t="s">
        <v>318</v>
      </c>
      <c r="O39" s="27"/>
      <c r="P39" s="30"/>
      <c r="Q39" s="30" t="s">
        <v>66</v>
      </c>
      <c r="R39" s="26">
        <v>46209</v>
      </c>
      <c r="S39" s="26">
        <v>46216</v>
      </c>
      <c r="T39" s="31"/>
      <c r="U39" s="30" t="s">
        <v>68</v>
      </c>
      <c r="V39" s="34" t="s">
        <v>70</v>
      </c>
      <c r="W39" s="27" t="s">
        <v>320</v>
      </c>
      <c r="X39" s="30">
        <v>3</v>
      </c>
      <c r="Y39" s="30">
        <v>1</v>
      </c>
      <c r="Z39" s="30">
        <v>1</v>
      </c>
      <c r="AA39" s="30">
        <v>1</v>
      </c>
      <c r="AB39" s="30" t="s">
        <v>69</v>
      </c>
      <c r="AC39" s="30" t="s">
        <v>73</v>
      </c>
      <c r="AD39" s="30" t="s">
        <v>321</v>
      </c>
      <c r="AE39" s="30"/>
      <c r="AF39" s="30"/>
      <c r="AG39" s="30" t="s">
        <v>322</v>
      </c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6"/>
      <c r="AS39" s="36"/>
      <c r="AT39" s="36"/>
      <c r="AU39" s="36"/>
      <c r="AV39" s="36"/>
      <c r="AW39" s="36"/>
      <c r="AX39" s="36"/>
      <c r="AY39" s="36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27"/>
      <c r="BL39" s="27"/>
    </row>
    <row r="40" spans="1:64">
      <c r="A40" s="25" t="s">
        <v>54</v>
      </c>
      <c r="B40" s="26">
        <v>46204</v>
      </c>
      <c r="C40" s="27">
        <v>30156</v>
      </c>
      <c r="D40" s="27"/>
      <c r="E40" s="27" t="s">
        <v>314</v>
      </c>
      <c r="F40" s="27" t="s">
        <v>59</v>
      </c>
      <c r="G40" s="27" t="s">
        <v>294</v>
      </c>
      <c r="H40" s="30" t="s">
        <v>111</v>
      </c>
      <c r="I40" s="31" t="s">
        <v>323</v>
      </c>
      <c r="J40" s="30" t="s">
        <v>324</v>
      </c>
      <c r="K40" s="27">
        <v>10</v>
      </c>
      <c r="L40" s="27">
        <v>351</v>
      </c>
      <c r="M40" s="27"/>
      <c r="N40" s="31" t="s">
        <v>115</v>
      </c>
      <c r="O40" s="27"/>
      <c r="P40" s="30"/>
      <c r="Q40" s="30" t="s">
        <v>66</v>
      </c>
      <c r="R40" s="26">
        <v>46209</v>
      </c>
      <c r="S40" s="26">
        <v>46216</v>
      </c>
      <c r="T40" s="31"/>
      <c r="U40" s="30" t="s">
        <v>68</v>
      </c>
      <c r="V40" s="34" t="s">
        <v>70</v>
      </c>
      <c r="W40" s="27" t="s">
        <v>320</v>
      </c>
      <c r="X40" s="30">
        <v>3</v>
      </c>
      <c r="Y40" s="30">
        <v>1</v>
      </c>
      <c r="Z40" s="30">
        <v>1</v>
      </c>
      <c r="AA40" s="30">
        <v>2</v>
      </c>
      <c r="AB40" s="30" t="s">
        <v>69</v>
      </c>
      <c r="AC40" s="30" t="s">
        <v>73</v>
      </c>
      <c r="AD40" s="30"/>
      <c r="AE40" s="30"/>
      <c r="AF40" s="30" t="s">
        <v>325</v>
      </c>
      <c r="AG40" s="30" t="s">
        <v>119</v>
      </c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6"/>
      <c r="AS40" s="36"/>
      <c r="AT40" s="36"/>
      <c r="AU40" s="36"/>
      <c r="AV40" s="36"/>
      <c r="AW40" s="36"/>
      <c r="AX40" s="36"/>
      <c r="AY40" s="36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27"/>
      <c r="BL40" s="27"/>
    </row>
    <row r="41" spans="1:64">
      <c r="A41" s="25" t="s">
        <v>54</v>
      </c>
      <c r="B41" s="26">
        <v>46204</v>
      </c>
      <c r="C41" s="27">
        <v>36285</v>
      </c>
      <c r="D41" s="27"/>
      <c r="E41" s="27" t="s">
        <v>284</v>
      </c>
      <c r="F41" s="27" t="s">
        <v>48</v>
      </c>
      <c r="G41" s="27" t="s">
        <v>110</v>
      </c>
      <c r="H41" s="30" t="s">
        <v>106</v>
      </c>
      <c r="I41" s="31" t="s">
        <v>326</v>
      </c>
      <c r="J41" s="30" t="s">
        <v>327</v>
      </c>
      <c r="K41" s="27">
        <v>13</v>
      </c>
      <c r="L41" s="27">
        <v>104</v>
      </c>
      <c r="M41" s="27"/>
      <c r="N41" s="31" t="s">
        <v>328</v>
      </c>
      <c r="O41" s="27"/>
      <c r="P41" s="30"/>
      <c r="Q41" s="30" t="s">
        <v>329</v>
      </c>
      <c r="R41" s="26">
        <v>46207</v>
      </c>
      <c r="S41" s="26">
        <v>46209</v>
      </c>
      <c r="T41" s="31"/>
      <c r="U41" s="30" t="s">
        <v>68</v>
      </c>
      <c r="V41" s="34" t="s">
        <v>70</v>
      </c>
      <c r="W41" s="27" t="s">
        <v>284</v>
      </c>
      <c r="X41" s="30">
        <v>1</v>
      </c>
      <c r="Y41" s="30">
        <v>1</v>
      </c>
      <c r="Z41" s="30">
        <v>1</v>
      </c>
      <c r="AA41" s="30">
        <v>1</v>
      </c>
      <c r="AB41" s="30"/>
      <c r="AC41" s="30"/>
      <c r="AD41" s="30" t="s">
        <v>328</v>
      </c>
      <c r="AE41" s="30" t="s">
        <v>41</v>
      </c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6"/>
      <c r="AS41" s="36"/>
      <c r="AT41" s="36"/>
      <c r="AU41" s="36"/>
      <c r="AV41" s="36"/>
      <c r="AW41" s="36"/>
      <c r="AX41" s="36"/>
      <c r="AY41" s="36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27"/>
      <c r="BL41" s="27"/>
    </row>
    <row r="42" spans="1:64">
      <c r="A42" s="25" t="s">
        <v>54</v>
      </c>
      <c r="B42" s="26">
        <v>46205</v>
      </c>
      <c r="C42" s="27"/>
      <c r="D42" s="27">
        <v>46798</v>
      </c>
      <c r="E42" s="27" t="s">
        <v>168</v>
      </c>
      <c r="F42" s="27" t="s">
        <v>59</v>
      </c>
      <c r="G42" s="27" t="s">
        <v>104</v>
      </c>
      <c r="H42" s="30" t="s">
        <v>170</v>
      </c>
      <c r="I42" s="31" t="s">
        <v>171</v>
      </c>
      <c r="J42" s="30" t="s">
        <v>170</v>
      </c>
      <c r="K42" s="27">
        <v>2</v>
      </c>
      <c r="L42" s="27">
        <v>14</v>
      </c>
      <c r="M42" s="48">
        <v>46128</v>
      </c>
      <c r="N42" s="31" t="s">
        <v>94</v>
      </c>
      <c r="O42" s="27"/>
      <c r="P42" s="30"/>
      <c r="Q42" s="30" t="s">
        <v>172</v>
      </c>
      <c r="R42" s="26">
        <v>46207</v>
      </c>
      <c r="S42" s="26">
        <v>46209</v>
      </c>
      <c r="T42" s="31"/>
      <c r="U42" s="30" t="s">
        <v>68</v>
      </c>
      <c r="V42" s="34" t="s">
        <v>70</v>
      </c>
      <c r="W42" s="27" t="s">
        <v>174</v>
      </c>
      <c r="X42" s="30">
        <v>1</v>
      </c>
      <c r="Y42" s="30">
        <v>1</v>
      </c>
      <c r="Z42" s="30">
        <v>1</v>
      </c>
      <c r="AA42" s="30">
        <v>1</v>
      </c>
      <c r="AB42" s="30"/>
      <c r="AC42" s="30" t="s">
        <v>69</v>
      </c>
      <c r="AD42" s="30" t="s">
        <v>94</v>
      </c>
      <c r="AE42" s="30" t="s">
        <v>41</v>
      </c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6"/>
      <c r="AS42" s="36"/>
      <c r="AT42" s="36"/>
      <c r="AU42" s="36"/>
      <c r="AV42" s="36"/>
      <c r="AW42" s="36"/>
      <c r="AX42" s="36"/>
      <c r="AY42" s="36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27"/>
      <c r="BL42" s="27"/>
    </row>
    <row r="43" spans="1:64">
      <c r="A43" s="25" t="s">
        <v>54</v>
      </c>
      <c r="B43" s="26">
        <v>46205</v>
      </c>
      <c r="C43" s="27"/>
      <c r="D43" s="27">
        <v>46799</v>
      </c>
      <c r="E43" s="27" t="s">
        <v>168</v>
      </c>
      <c r="F43" s="27" t="s">
        <v>59</v>
      </c>
      <c r="G43" s="27" t="s">
        <v>104</v>
      </c>
      <c r="H43" s="30" t="s">
        <v>130</v>
      </c>
      <c r="I43" s="31" t="s">
        <v>188</v>
      </c>
      <c r="J43" s="30" t="s">
        <v>130</v>
      </c>
      <c r="K43" s="27">
        <v>1</v>
      </c>
      <c r="L43" s="27">
        <v>3</v>
      </c>
      <c r="M43" s="27">
        <v>8</v>
      </c>
      <c r="N43" s="31" t="s">
        <v>275</v>
      </c>
      <c r="O43" s="27"/>
      <c r="P43" s="30"/>
      <c r="Q43" s="30" t="s">
        <v>332</v>
      </c>
      <c r="R43" s="26">
        <v>46211</v>
      </c>
      <c r="S43" s="26">
        <v>46216</v>
      </c>
      <c r="T43" s="31"/>
      <c r="U43" s="30" t="s">
        <v>68</v>
      </c>
      <c r="V43" s="34" t="s">
        <v>70</v>
      </c>
      <c r="W43" s="27" t="s">
        <v>174</v>
      </c>
      <c r="X43" s="30">
        <v>3</v>
      </c>
      <c r="Y43" s="30">
        <v>1</v>
      </c>
      <c r="Z43" s="30">
        <v>1</v>
      </c>
      <c r="AA43" s="30">
        <v>1</v>
      </c>
      <c r="AB43" s="30"/>
      <c r="AC43" s="30" t="s">
        <v>69</v>
      </c>
      <c r="AD43" s="30"/>
      <c r="AE43" s="30"/>
      <c r="AF43" s="30"/>
      <c r="AG43" s="30" t="s">
        <v>275</v>
      </c>
      <c r="AH43" s="30"/>
      <c r="AI43" s="30" t="s">
        <v>41</v>
      </c>
      <c r="AJ43" s="30"/>
      <c r="AK43" s="30"/>
      <c r="AL43" s="30"/>
      <c r="AM43" s="30"/>
      <c r="AN43" s="30"/>
      <c r="AO43" s="30"/>
      <c r="AP43" s="30"/>
      <c r="AQ43" s="30"/>
      <c r="AR43" s="36"/>
      <c r="AS43" s="36"/>
      <c r="AT43" s="36"/>
      <c r="AU43" s="36"/>
      <c r="AV43" s="36"/>
      <c r="AW43" s="36"/>
      <c r="AX43" s="36"/>
      <c r="AY43" s="36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27"/>
      <c r="BL43" s="27"/>
    </row>
    <row r="44" spans="1:64">
      <c r="A44" s="25" t="s">
        <v>54</v>
      </c>
      <c r="B44" s="26">
        <v>46205</v>
      </c>
      <c r="C44" s="27">
        <v>5326</v>
      </c>
      <c r="D44" s="27"/>
      <c r="E44" s="27" t="s">
        <v>337</v>
      </c>
      <c r="F44" s="27" t="s">
        <v>185</v>
      </c>
      <c r="G44" s="27" t="s">
        <v>28</v>
      </c>
      <c r="H44" s="30" t="s">
        <v>338</v>
      </c>
      <c r="I44" s="31" t="s">
        <v>339</v>
      </c>
      <c r="J44" s="30" t="s">
        <v>340</v>
      </c>
      <c r="K44" s="27">
        <v>2</v>
      </c>
      <c r="L44" s="27"/>
      <c r="M44" s="27"/>
      <c r="N44" s="31" t="s">
        <v>124</v>
      </c>
      <c r="O44" s="27"/>
      <c r="P44" s="30"/>
      <c r="Q44" s="30" t="s">
        <v>66</v>
      </c>
      <c r="R44" s="26">
        <v>46210</v>
      </c>
      <c r="S44" s="26">
        <v>46218</v>
      </c>
      <c r="T44" s="31"/>
      <c r="U44" s="30" t="s">
        <v>68</v>
      </c>
      <c r="V44" s="34" t="s">
        <v>70</v>
      </c>
      <c r="W44" s="27" t="s">
        <v>341</v>
      </c>
      <c r="X44" s="30">
        <v>1</v>
      </c>
      <c r="Y44" s="30">
        <v>1</v>
      </c>
      <c r="Z44" s="30">
        <v>1</v>
      </c>
      <c r="AA44" s="30">
        <v>2</v>
      </c>
      <c r="AB44" s="30"/>
      <c r="AC44" s="30" t="s">
        <v>73</v>
      </c>
      <c r="AD44" s="30"/>
      <c r="AE44" s="30"/>
      <c r="AF44" s="30" t="s">
        <v>325</v>
      </c>
      <c r="AG44" s="30" t="s">
        <v>124</v>
      </c>
      <c r="AH44" s="30" t="s">
        <v>41</v>
      </c>
      <c r="AI44" s="30"/>
      <c r="AJ44" s="30"/>
      <c r="AK44" s="30"/>
      <c r="AL44" s="30"/>
      <c r="AM44" s="30"/>
      <c r="AN44" s="30"/>
      <c r="AO44" s="30"/>
      <c r="AP44" s="30"/>
      <c r="AQ44" s="30"/>
      <c r="AR44" s="36"/>
      <c r="AS44" s="36"/>
      <c r="AT44" s="36"/>
      <c r="AU44" s="36"/>
      <c r="AV44" s="36"/>
      <c r="AW44" s="36"/>
      <c r="AX44" s="36"/>
      <c r="AY44" s="36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27"/>
      <c r="BL44" s="27"/>
    </row>
    <row r="45" spans="1:64">
      <c r="A45" s="25" t="s">
        <v>54</v>
      </c>
      <c r="B45" s="26">
        <v>46205</v>
      </c>
      <c r="C45" s="27">
        <v>30296</v>
      </c>
      <c r="D45" s="27"/>
      <c r="E45" s="27" t="s">
        <v>133</v>
      </c>
      <c r="F45" s="27" t="s">
        <v>59</v>
      </c>
      <c r="G45" s="27" t="s">
        <v>104</v>
      </c>
      <c r="H45" s="30" t="s">
        <v>343</v>
      </c>
      <c r="I45" s="31" t="s">
        <v>344</v>
      </c>
      <c r="J45" s="30" t="s">
        <v>345</v>
      </c>
      <c r="K45" s="27">
        <v>1</v>
      </c>
      <c r="L45" s="27"/>
      <c r="M45" s="27"/>
      <c r="N45" s="31" t="s">
        <v>81</v>
      </c>
      <c r="O45" s="27"/>
      <c r="P45" s="30"/>
      <c r="Q45" s="30" t="s">
        <v>66</v>
      </c>
      <c r="R45" s="26">
        <v>46206</v>
      </c>
      <c r="S45" s="26">
        <v>46209</v>
      </c>
      <c r="T45" s="31" t="s">
        <v>346</v>
      </c>
      <c r="U45" s="30" t="s">
        <v>68</v>
      </c>
      <c r="V45" s="34" t="s">
        <v>70</v>
      </c>
      <c r="W45" s="27" t="s">
        <v>141</v>
      </c>
      <c r="X45" s="30">
        <v>1</v>
      </c>
      <c r="Y45" s="30">
        <v>1</v>
      </c>
      <c r="Z45" s="30">
        <v>1</v>
      </c>
      <c r="AA45" s="30">
        <v>1</v>
      </c>
      <c r="AB45" s="30"/>
      <c r="AC45" s="30" t="s">
        <v>69</v>
      </c>
      <c r="AD45" s="30" t="s">
        <v>88</v>
      </c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6"/>
      <c r="AS45" s="36"/>
      <c r="AT45" s="36"/>
      <c r="AU45" s="36"/>
      <c r="AV45" s="36"/>
      <c r="AW45" s="36"/>
      <c r="AX45" s="36"/>
      <c r="AY45" s="36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27"/>
      <c r="BL45" s="27"/>
    </row>
    <row r="46" spans="1:64">
      <c r="A46" s="25" t="s">
        <v>54</v>
      </c>
      <c r="B46" s="26">
        <v>46205</v>
      </c>
      <c r="C46" s="27">
        <v>29490</v>
      </c>
      <c r="D46" s="27"/>
      <c r="E46" s="27" t="s">
        <v>230</v>
      </c>
      <c r="F46" s="27" t="s">
        <v>59</v>
      </c>
      <c r="G46" s="27" t="s">
        <v>28</v>
      </c>
      <c r="H46" s="30" t="s">
        <v>170</v>
      </c>
      <c r="I46" s="31" t="s">
        <v>348</v>
      </c>
      <c r="J46" s="30" t="s">
        <v>349</v>
      </c>
      <c r="K46" s="27">
        <v>35</v>
      </c>
      <c r="L46" s="27" t="s">
        <v>351</v>
      </c>
      <c r="M46" s="27"/>
      <c r="N46" s="31" t="s">
        <v>94</v>
      </c>
      <c r="O46" s="27"/>
      <c r="P46" s="30"/>
      <c r="Q46" s="30" t="s">
        <v>352</v>
      </c>
      <c r="R46" s="26">
        <v>46207</v>
      </c>
      <c r="S46" s="26">
        <v>46209</v>
      </c>
      <c r="T46" s="31"/>
      <c r="U46" s="30" t="s">
        <v>68</v>
      </c>
      <c r="V46" s="34" t="s">
        <v>70</v>
      </c>
      <c r="W46" s="27" t="s">
        <v>230</v>
      </c>
      <c r="X46" s="30">
        <v>1</v>
      </c>
      <c r="Y46" s="30">
        <v>1</v>
      </c>
      <c r="Z46" s="30">
        <v>1</v>
      </c>
      <c r="AA46" s="30">
        <v>1</v>
      </c>
      <c r="AB46" s="30"/>
      <c r="AC46" s="30" t="s">
        <v>69</v>
      </c>
      <c r="AD46" s="30" t="s">
        <v>94</v>
      </c>
      <c r="AE46" s="30" t="s">
        <v>41</v>
      </c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6"/>
      <c r="AS46" s="36"/>
      <c r="AT46" s="36"/>
      <c r="AU46" s="36"/>
      <c r="AV46" s="36"/>
      <c r="AW46" s="36"/>
      <c r="AX46" s="36"/>
      <c r="AY46" s="36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27"/>
      <c r="BL46" s="27"/>
    </row>
    <row r="47" spans="1:64">
      <c r="A47" s="25" t="s">
        <v>54</v>
      </c>
      <c r="B47" s="26">
        <v>46205</v>
      </c>
      <c r="C47" s="27">
        <v>5327</v>
      </c>
      <c r="D47" s="27"/>
      <c r="E47" s="27" t="s">
        <v>355</v>
      </c>
      <c r="F47" s="27" t="s">
        <v>185</v>
      </c>
      <c r="G47" s="27" t="s">
        <v>60</v>
      </c>
      <c r="H47" s="30" t="s">
        <v>111</v>
      </c>
      <c r="I47" s="31" t="s">
        <v>356</v>
      </c>
      <c r="J47" s="30" t="s">
        <v>357</v>
      </c>
      <c r="K47" s="27">
        <v>20</v>
      </c>
      <c r="L47" s="27">
        <v>240</v>
      </c>
      <c r="M47" s="27"/>
      <c r="N47" s="31" t="s">
        <v>115</v>
      </c>
      <c r="O47" s="27"/>
      <c r="P47" s="30"/>
      <c r="Q47" s="30" t="s">
        <v>358</v>
      </c>
      <c r="R47" s="26">
        <v>46209</v>
      </c>
      <c r="S47" s="26">
        <v>46216</v>
      </c>
      <c r="T47" s="31"/>
      <c r="U47" s="30" t="s">
        <v>68</v>
      </c>
      <c r="V47" s="34" t="s">
        <v>70</v>
      </c>
      <c r="W47" s="27" t="s">
        <v>354</v>
      </c>
      <c r="X47" s="30">
        <v>1</v>
      </c>
      <c r="Y47" s="30">
        <v>1</v>
      </c>
      <c r="Z47" s="30">
        <v>1</v>
      </c>
      <c r="AA47" s="30">
        <v>1</v>
      </c>
      <c r="AB47" s="30"/>
      <c r="AC47" s="30" t="s">
        <v>73</v>
      </c>
      <c r="AD47" s="30"/>
      <c r="AE47" s="30"/>
      <c r="AF47" s="30" t="s">
        <v>325</v>
      </c>
      <c r="AG47" s="30" t="s">
        <v>119</v>
      </c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6"/>
      <c r="AS47" s="36"/>
      <c r="AT47" s="36"/>
      <c r="AU47" s="36"/>
      <c r="AV47" s="36"/>
      <c r="AW47" s="36"/>
      <c r="AX47" s="36"/>
      <c r="AY47" s="36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27"/>
      <c r="BL47" s="27"/>
    </row>
    <row r="48" spans="1:64">
      <c r="A48" s="25" t="s">
        <v>54</v>
      </c>
      <c r="B48" s="26">
        <v>46205</v>
      </c>
      <c r="C48" s="27">
        <v>30298</v>
      </c>
      <c r="D48" s="27"/>
      <c r="E48" s="27" t="s">
        <v>58</v>
      </c>
      <c r="F48" s="27" t="s">
        <v>59</v>
      </c>
      <c r="G48" s="27" t="s">
        <v>60</v>
      </c>
      <c r="H48" s="30" t="s">
        <v>170</v>
      </c>
      <c r="I48" s="31" t="s">
        <v>359</v>
      </c>
      <c r="J48" s="30" t="s">
        <v>349</v>
      </c>
      <c r="K48" s="27">
        <v>37</v>
      </c>
      <c r="L48" s="27">
        <v>170</v>
      </c>
      <c r="M48" s="27"/>
      <c r="N48" s="31" t="s">
        <v>94</v>
      </c>
      <c r="O48" s="27"/>
      <c r="P48" s="30"/>
      <c r="Q48" s="30" t="s">
        <v>66</v>
      </c>
      <c r="R48" s="26">
        <v>46207</v>
      </c>
      <c r="S48" s="26">
        <v>46209</v>
      </c>
      <c r="T48" s="31"/>
      <c r="U48" s="30" t="s">
        <v>68</v>
      </c>
      <c r="V48" s="34" t="s">
        <v>70</v>
      </c>
      <c r="W48" s="27" t="s">
        <v>71</v>
      </c>
      <c r="X48" s="30">
        <v>1</v>
      </c>
      <c r="Y48" s="30">
        <v>1</v>
      </c>
      <c r="Z48" s="30">
        <v>1</v>
      </c>
      <c r="AA48" s="30">
        <v>1</v>
      </c>
      <c r="AB48" s="30"/>
      <c r="AC48" s="30" t="s">
        <v>69</v>
      </c>
      <c r="AD48" s="30" t="s">
        <v>94</v>
      </c>
      <c r="AE48" s="30" t="s">
        <v>41</v>
      </c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6"/>
      <c r="AS48" s="36"/>
      <c r="AT48" s="36"/>
      <c r="AU48" s="36"/>
      <c r="AV48" s="36"/>
      <c r="AW48" s="36"/>
      <c r="AX48" s="36"/>
      <c r="AY48" s="36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27"/>
      <c r="BL48" s="27"/>
    </row>
    <row r="49" spans="1:64">
      <c r="A49" s="25" t="s">
        <v>54</v>
      </c>
      <c r="B49" s="26">
        <v>46205</v>
      </c>
      <c r="C49" s="27">
        <v>29094</v>
      </c>
      <c r="D49" s="27" t="s">
        <v>360</v>
      </c>
      <c r="E49" s="27" t="s">
        <v>361</v>
      </c>
      <c r="F49" s="27" t="s">
        <v>59</v>
      </c>
      <c r="G49" s="27" t="s">
        <v>144</v>
      </c>
      <c r="H49" s="30" t="s">
        <v>294</v>
      </c>
      <c r="I49" s="31" t="s">
        <v>362</v>
      </c>
      <c r="J49" s="30" t="s">
        <v>295</v>
      </c>
      <c r="K49" s="27">
        <v>6</v>
      </c>
      <c r="L49" s="27">
        <v>75</v>
      </c>
      <c r="M49" s="27"/>
      <c r="N49" s="31" t="s">
        <v>363</v>
      </c>
      <c r="O49" s="27"/>
      <c r="P49" s="30"/>
      <c r="Q49" s="30" t="s">
        <v>66</v>
      </c>
      <c r="R49" s="26">
        <v>46205</v>
      </c>
      <c r="S49" s="26">
        <v>46206</v>
      </c>
      <c r="T49" s="31"/>
      <c r="U49" s="30" t="s">
        <v>68</v>
      </c>
      <c r="V49" s="34" t="s">
        <v>70</v>
      </c>
      <c r="W49" s="27" t="s">
        <v>101</v>
      </c>
      <c r="X49" s="30">
        <v>1</v>
      </c>
      <c r="Y49" s="30">
        <v>1</v>
      </c>
      <c r="Z49" s="30">
        <v>1</v>
      </c>
      <c r="AA49" s="30">
        <v>1</v>
      </c>
      <c r="AB49" s="30"/>
      <c r="AC49" s="30" t="s">
        <v>364</v>
      </c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6"/>
      <c r="AS49" s="36"/>
      <c r="AT49" s="36"/>
      <c r="AU49" s="36"/>
      <c r="AV49" s="36"/>
      <c r="AW49" s="36"/>
      <c r="AX49" s="36"/>
      <c r="AY49" s="36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27"/>
      <c r="BL49" s="27"/>
    </row>
    <row r="50" spans="1:64">
      <c r="A50" s="25" t="s">
        <v>54</v>
      </c>
      <c r="B50" s="26">
        <v>46205</v>
      </c>
      <c r="C50" s="27">
        <v>30246</v>
      </c>
      <c r="D50" s="27"/>
      <c r="E50" s="27" t="s">
        <v>203</v>
      </c>
      <c r="F50" s="27" t="s">
        <v>59</v>
      </c>
      <c r="G50" s="27" t="s">
        <v>104</v>
      </c>
      <c r="H50" s="30" t="s">
        <v>365</v>
      </c>
      <c r="I50" s="31" t="s">
        <v>366</v>
      </c>
      <c r="J50" s="30" t="s">
        <v>365</v>
      </c>
      <c r="K50" s="27">
        <v>1</v>
      </c>
      <c r="L50" s="27" t="s">
        <v>205</v>
      </c>
      <c r="M50" s="27"/>
      <c r="N50" s="31" t="s">
        <v>258</v>
      </c>
      <c r="O50" s="27"/>
      <c r="P50" s="30"/>
      <c r="Q50" s="30" t="s">
        <v>66</v>
      </c>
      <c r="R50" s="26">
        <v>46206</v>
      </c>
      <c r="S50" s="26">
        <v>46207</v>
      </c>
      <c r="T50" s="31"/>
      <c r="U50" s="30" t="s">
        <v>68</v>
      </c>
      <c r="V50" s="34" t="s">
        <v>70</v>
      </c>
      <c r="W50" s="27" t="s">
        <v>208</v>
      </c>
      <c r="X50" s="30">
        <v>1</v>
      </c>
      <c r="Y50" s="30">
        <v>1</v>
      </c>
      <c r="Z50" s="30">
        <v>1</v>
      </c>
      <c r="AA50" s="30">
        <v>1</v>
      </c>
      <c r="AB50" s="30"/>
      <c r="AC50" s="30" t="s">
        <v>69</v>
      </c>
      <c r="AD50" s="30" t="s">
        <v>260</v>
      </c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6"/>
      <c r="AS50" s="36"/>
      <c r="AT50" s="36"/>
      <c r="AU50" s="36"/>
      <c r="AV50" s="36"/>
      <c r="AW50" s="36"/>
      <c r="AX50" s="36"/>
      <c r="AY50" s="36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27"/>
      <c r="BL50" s="27"/>
    </row>
    <row r="51" spans="1:64">
      <c r="A51" s="25" t="s">
        <v>54</v>
      </c>
      <c r="B51" s="26">
        <v>46205</v>
      </c>
      <c r="C51" s="27">
        <v>30247</v>
      </c>
      <c r="D51" s="27"/>
      <c r="E51" s="27" t="s">
        <v>233</v>
      </c>
      <c r="F51" s="27" t="s">
        <v>59</v>
      </c>
      <c r="G51" s="27" t="s">
        <v>104</v>
      </c>
      <c r="H51" s="30" t="s">
        <v>369</v>
      </c>
      <c r="I51" s="31" t="s">
        <v>370</v>
      </c>
      <c r="J51" s="30" t="s">
        <v>369</v>
      </c>
      <c r="K51" s="27">
        <v>1</v>
      </c>
      <c r="L51" s="27" t="s">
        <v>205</v>
      </c>
      <c r="M51" s="27"/>
      <c r="N51" s="31" t="s">
        <v>81</v>
      </c>
      <c r="O51" s="27"/>
      <c r="P51" s="30"/>
      <c r="Q51" s="30" t="s">
        <v>371</v>
      </c>
      <c r="R51" s="26">
        <v>46207</v>
      </c>
      <c r="S51" s="26">
        <v>46209</v>
      </c>
      <c r="T51" s="31"/>
      <c r="U51" s="30" t="s">
        <v>68</v>
      </c>
      <c r="V51" s="34" t="s">
        <v>70</v>
      </c>
      <c r="W51" s="27" t="s">
        <v>208</v>
      </c>
      <c r="X51" s="30">
        <v>1</v>
      </c>
      <c r="Y51" s="30">
        <v>1</v>
      </c>
      <c r="Z51" s="30">
        <v>1</v>
      </c>
      <c r="AA51" s="30">
        <v>1</v>
      </c>
      <c r="AB51" s="30"/>
      <c r="AC51" s="30" t="s">
        <v>69</v>
      </c>
      <c r="AD51" s="30" t="s">
        <v>372</v>
      </c>
      <c r="AE51" s="30" t="s">
        <v>90</v>
      </c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6"/>
      <c r="AS51" s="36"/>
      <c r="AT51" s="36"/>
      <c r="AU51" s="36"/>
      <c r="AV51" s="36"/>
      <c r="AW51" s="36"/>
      <c r="AX51" s="36"/>
      <c r="AY51" s="36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27"/>
      <c r="BL51" s="27"/>
    </row>
    <row r="52" spans="1:64">
      <c r="A52" s="25" t="s">
        <v>54</v>
      </c>
      <c r="B52" s="26">
        <v>46205</v>
      </c>
      <c r="C52" s="27">
        <v>30248</v>
      </c>
      <c r="D52" s="27"/>
      <c r="E52" s="27" t="s">
        <v>233</v>
      </c>
      <c r="F52" s="27" t="s">
        <v>59</v>
      </c>
      <c r="G52" s="27" t="s">
        <v>104</v>
      </c>
      <c r="H52" s="30" t="s">
        <v>293</v>
      </c>
      <c r="I52" s="31" t="s">
        <v>376</v>
      </c>
      <c r="J52" s="30" t="s">
        <v>293</v>
      </c>
      <c r="K52" s="27">
        <v>1</v>
      </c>
      <c r="L52" s="27" t="s">
        <v>205</v>
      </c>
      <c r="M52" s="27"/>
      <c r="N52" s="31" t="s">
        <v>81</v>
      </c>
      <c r="O52" s="27"/>
      <c r="P52" s="30"/>
      <c r="Q52" s="30" t="s">
        <v>377</v>
      </c>
      <c r="R52" s="26">
        <v>46207</v>
      </c>
      <c r="S52" s="26">
        <v>46209</v>
      </c>
      <c r="T52" s="31"/>
      <c r="U52" s="30" t="s">
        <v>68</v>
      </c>
      <c r="V52" s="34" t="s">
        <v>70</v>
      </c>
      <c r="W52" s="27" t="s">
        <v>208</v>
      </c>
      <c r="X52" s="30">
        <v>1</v>
      </c>
      <c r="Y52" s="30">
        <v>1</v>
      </c>
      <c r="Z52" s="30">
        <v>1</v>
      </c>
      <c r="AA52" s="30">
        <v>1</v>
      </c>
      <c r="AB52" s="30"/>
      <c r="AC52" s="30" t="s">
        <v>69</v>
      </c>
      <c r="AD52" s="30" t="s">
        <v>372</v>
      </c>
      <c r="AE52" s="30" t="s">
        <v>90</v>
      </c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6"/>
      <c r="AS52" s="36"/>
      <c r="AT52" s="36"/>
      <c r="AU52" s="36"/>
      <c r="AV52" s="36"/>
      <c r="AW52" s="36"/>
      <c r="AX52" s="36"/>
      <c r="AY52" s="36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27"/>
      <c r="BL52" s="27"/>
    </row>
    <row r="53" spans="1:64">
      <c r="A53" s="25" t="s">
        <v>54</v>
      </c>
      <c r="B53" s="26">
        <v>46205</v>
      </c>
      <c r="C53" s="27">
        <v>30245</v>
      </c>
      <c r="D53" s="27"/>
      <c r="E53" s="27" t="s">
        <v>212</v>
      </c>
      <c r="F53" s="27" t="s">
        <v>59</v>
      </c>
      <c r="G53" s="27" t="s">
        <v>104</v>
      </c>
      <c r="H53" s="30" t="s">
        <v>378</v>
      </c>
      <c r="I53" s="31" t="s">
        <v>379</v>
      </c>
      <c r="J53" s="30" t="s">
        <v>378</v>
      </c>
      <c r="K53" s="27">
        <v>1</v>
      </c>
      <c r="L53" s="27" t="s">
        <v>214</v>
      </c>
      <c r="M53" s="27"/>
      <c r="N53" s="31" t="s">
        <v>154</v>
      </c>
      <c r="O53" s="27"/>
      <c r="P53" s="30"/>
      <c r="Q53" s="30" t="s">
        <v>278</v>
      </c>
      <c r="R53" s="26">
        <v>46209</v>
      </c>
      <c r="S53" s="26">
        <v>46210</v>
      </c>
      <c r="T53" s="31"/>
      <c r="U53" s="30" t="s">
        <v>68</v>
      </c>
      <c r="V53" s="34" t="s">
        <v>70</v>
      </c>
      <c r="W53" s="27" t="s">
        <v>208</v>
      </c>
      <c r="X53" s="30">
        <v>1</v>
      </c>
      <c r="Y53" s="30">
        <v>1</v>
      </c>
      <c r="Z53" s="30">
        <v>1</v>
      </c>
      <c r="AA53" s="30">
        <v>1</v>
      </c>
      <c r="AB53" s="30"/>
      <c r="AC53" s="30" t="s">
        <v>69</v>
      </c>
      <c r="AD53" s="30"/>
      <c r="AE53" s="30"/>
      <c r="AF53" s="30"/>
      <c r="AG53" s="30" t="s">
        <v>157</v>
      </c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6"/>
      <c r="AS53" s="36"/>
      <c r="AT53" s="36"/>
      <c r="AU53" s="36"/>
      <c r="AV53" s="36"/>
      <c r="AW53" s="36"/>
      <c r="AX53" s="36"/>
      <c r="AY53" s="36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27"/>
      <c r="BL53" s="27"/>
    </row>
    <row r="54" spans="1:64">
      <c r="A54" s="25" t="s">
        <v>54</v>
      </c>
      <c r="B54" s="26">
        <v>46205</v>
      </c>
      <c r="C54" s="27">
        <v>30249</v>
      </c>
      <c r="D54" s="27"/>
      <c r="E54" s="27" t="s">
        <v>233</v>
      </c>
      <c r="F54" s="27" t="s">
        <v>59</v>
      </c>
      <c r="G54" s="27" t="s">
        <v>104</v>
      </c>
      <c r="H54" s="30" t="s">
        <v>378</v>
      </c>
      <c r="I54" s="31" t="s">
        <v>380</v>
      </c>
      <c r="J54" s="30" t="s">
        <v>378</v>
      </c>
      <c r="K54" s="27">
        <v>1</v>
      </c>
      <c r="L54" s="27" t="s">
        <v>205</v>
      </c>
      <c r="M54" s="27"/>
      <c r="N54" s="31" t="s">
        <v>154</v>
      </c>
      <c r="O54" s="27"/>
      <c r="P54" s="30"/>
      <c r="Q54" s="30" t="s">
        <v>66</v>
      </c>
      <c r="R54" s="26">
        <v>46209</v>
      </c>
      <c r="S54" s="26">
        <v>46210</v>
      </c>
      <c r="T54" s="31"/>
      <c r="U54" s="30" t="s">
        <v>68</v>
      </c>
      <c r="V54" s="34" t="s">
        <v>70</v>
      </c>
      <c r="W54" s="27" t="s">
        <v>208</v>
      </c>
      <c r="X54" s="30">
        <v>1</v>
      </c>
      <c r="Y54" s="30">
        <v>1</v>
      </c>
      <c r="Z54" s="30">
        <v>1</v>
      </c>
      <c r="AA54" s="30">
        <v>1</v>
      </c>
      <c r="AB54" s="30"/>
      <c r="AC54" s="30" t="s">
        <v>69</v>
      </c>
      <c r="AD54" s="30"/>
      <c r="AE54" s="30"/>
      <c r="AF54" s="30"/>
      <c r="AG54" s="30" t="s">
        <v>157</v>
      </c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6"/>
      <c r="AS54" s="36"/>
      <c r="AT54" s="36"/>
      <c r="AU54" s="36"/>
      <c r="AV54" s="36"/>
      <c r="AW54" s="36"/>
      <c r="AX54" s="36"/>
      <c r="AY54" s="36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27"/>
      <c r="BL54" s="27"/>
    </row>
    <row r="55" spans="1:64">
      <c r="A55" s="25" t="s">
        <v>54</v>
      </c>
      <c r="B55" s="26">
        <v>46205</v>
      </c>
      <c r="C55" s="27">
        <v>30250</v>
      </c>
      <c r="D55" s="27"/>
      <c r="E55" s="27" t="s">
        <v>203</v>
      </c>
      <c r="F55" s="27" t="s">
        <v>59</v>
      </c>
      <c r="G55" s="27" t="s">
        <v>104</v>
      </c>
      <c r="H55" s="30" t="s">
        <v>383</v>
      </c>
      <c r="I55" s="31" t="s">
        <v>311</v>
      </c>
      <c r="J55" s="30" t="s">
        <v>383</v>
      </c>
      <c r="K55" s="27">
        <v>1</v>
      </c>
      <c r="L55" s="27" t="s">
        <v>205</v>
      </c>
      <c r="M55" s="27"/>
      <c r="N55" s="31" t="s">
        <v>384</v>
      </c>
      <c r="O55" s="27"/>
      <c r="P55" s="30"/>
      <c r="Q55" s="30" t="s">
        <v>385</v>
      </c>
      <c r="R55" s="26">
        <v>46206</v>
      </c>
      <c r="S55" s="26">
        <v>46206</v>
      </c>
      <c r="T55" s="31"/>
      <c r="U55" s="30" t="s">
        <v>68</v>
      </c>
      <c r="V55" s="34" t="s">
        <v>70</v>
      </c>
      <c r="W55" s="27" t="s">
        <v>208</v>
      </c>
      <c r="X55" s="30">
        <v>1</v>
      </c>
      <c r="Y55" s="30">
        <v>1</v>
      </c>
      <c r="Z55" s="30">
        <v>1</v>
      </c>
      <c r="AA55" s="30">
        <v>1</v>
      </c>
      <c r="AB55" s="30"/>
      <c r="AC55" s="30" t="s">
        <v>69</v>
      </c>
      <c r="AD55" s="30" t="s">
        <v>387</v>
      </c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6"/>
      <c r="AS55" s="36"/>
      <c r="AT55" s="36"/>
      <c r="AU55" s="36"/>
      <c r="AV55" s="36"/>
      <c r="AW55" s="36"/>
      <c r="AX55" s="36"/>
      <c r="AY55" s="36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27"/>
      <c r="BL55" s="27"/>
    </row>
    <row r="56" spans="1:64">
      <c r="A56" s="25" t="s">
        <v>54</v>
      </c>
      <c r="B56" s="26">
        <v>46205</v>
      </c>
      <c r="C56" s="27">
        <v>30251</v>
      </c>
      <c r="D56" s="27"/>
      <c r="E56" s="27" t="s">
        <v>203</v>
      </c>
      <c r="F56" s="27" t="s">
        <v>59</v>
      </c>
      <c r="G56" s="27" t="s">
        <v>104</v>
      </c>
      <c r="H56" s="30" t="s">
        <v>383</v>
      </c>
      <c r="I56" s="31" t="s">
        <v>391</v>
      </c>
      <c r="J56" s="30" t="s">
        <v>383</v>
      </c>
      <c r="K56" s="27">
        <v>1</v>
      </c>
      <c r="L56" s="27" t="s">
        <v>205</v>
      </c>
      <c r="M56" s="27"/>
      <c r="N56" s="31" t="s">
        <v>384</v>
      </c>
      <c r="O56" s="27"/>
      <c r="P56" s="30"/>
      <c r="Q56" s="30" t="s">
        <v>392</v>
      </c>
      <c r="R56" s="26">
        <v>46206</v>
      </c>
      <c r="S56" s="26">
        <v>46206</v>
      </c>
      <c r="T56" s="31"/>
      <c r="U56" s="30" t="s">
        <v>68</v>
      </c>
      <c r="V56" s="34" t="s">
        <v>70</v>
      </c>
      <c r="W56" s="27" t="s">
        <v>208</v>
      </c>
      <c r="X56" s="30">
        <v>1</v>
      </c>
      <c r="Y56" s="30">
        <v>1</v>
      </c>
      <c r="Z56" s="30">
        <v>1</v>
      </c>
      <c r="AA56" s="30">
        <v>1</v>
      </c>
      <c r="AB56" s="30"/>
      <c r="AC56" s="30" t="s">
        <v>69</v>
      </c>
      <c r="AD56" s="30" t="s">
        <v>387</v>
      </c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6"/>
      <c r="AS56" s="36"/>
      <c r="AT56" s="36"/>
      <c r="AU56" s="36"/>
      <c r="AV56" s="36"/>
      <c r="AW56" s="36"/>
      <c r="AX56" s="36"/>
      <c r="AY56" s="36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27"/>
      <c r="BL56" s="27"/>
    </row>
    <row r="57" spans="1:64">
      <c r="A57" s="25" t="s">
        <v>54</v>
      </c>
      <c r="B57" s="26">
        <v>46205</v>
      </c>
      <c r="C57" s="27">
        <v>29096</v>
      </c>
      <c r="D57" s="27"/>
      <c r="E57" s="27" t="s">
        <v>393</v>
      </c>
      <c r="F57" s="27" t="s">
        <v>59</v>
      </c>
      <c r="G57" s="27" t="s">
        <v>383</v>
      </c>
      <c r="H57" s="30" t="s">
        <v>395</v>
      </c>
      <c r="I57" s="31" t="s">
        <v>396</v>
      </c>
      <c r="J57" s="30" t="s">
        <v>397</v>
      </c>
      <c r="K57" s="27">
        <v>6</v>
      </c>
      <c r="L57" s="27">
        <v>44</v>
      </c>
      <c r="M57" s="27"/>
      <c r="N57" s="31" t="s">
        <v>94</v>
      </c>
      <c r="O57" s="27"/>
      <c r="P57" s="30"/>
      <c r="Q57" s="30" t="s">
        <v>398</v>
      </c>
      <c r="R57" s="26">
        <v>46206</v>
      </c>
      <c r="S57" s="26">
        <v>46211</v>
      </c>
      <c r="T57" s="31">
        <v>185000</v>
      </c>
      <c r="U57" s="30" t="s">
        <v>68</v>
      </c>
      <c r="V57" s="34" t="s">
        <v>70</v>
      </c>
      <c r="W57" s="27" t="s">
        <v>399</v>
      </c>
      <c r="X57" s="30">
        <v>1</v>
      </c>
      <c r="Y57" s="30">
        <v>1</v>
      </c>
      <c r="Z57" s="30">
        <v>1</v>
      </c>
      <c r="AA57" s="30">
        <v>1</v>
      </c>
      <c r="AB57" s="30"/>
      <c r="AC57" s="30" t="s">
        <v>69</v>
      </c>
      <c r="AD57" s="30" t="s">
        <v>105</v>
      </c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6"/>
      <c r="AS57" s="36"/>
      <c r="AT57" s="36"/>
      <c r="AU57" s="36"/>
      <c r="AV57" s="36"/>
      <c r="AW57" s="36"/>
      <c r="AX57" s="36"/>
      <c r="AY57" s="36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27"/>
      <c r="BL57" s="27"/>
    </row>
    <row r="58" spans="1:64">
      <c r="A58" s="25" t="s">
        <v>54</v>
      </c>
      <c r="B58" s="26">
        <v>46205</v>
      </c>
      <c r="C58" s="27">
        <v>30326</v>
      </c>
      <c r="D58" s="27" t="s">
        <v>401</v>
      </c>
      <c r="E58" s="27" t="s">
        <v>402</v>
      </c>
      <c r="F58" s="27" t="s">
        <v>48</v>
      </c>
      <c r="G58" s="27" t="s">
        <v>403</v>
      </c>
      <c r="H58" s="30" t="s">
        <v>60</v>
      </c>
      <c r="I58" s="31" t="s">
        <v>313</v>
      </c>
      <c r="J58" s="30" t="s">
        <v>404</v>
      </c>
      <c r="K58" s="27">
        <v>1</v>
      </c>
      <c r="L58" s="27">
        <v>8</v>
      </c>
      <c r="M58" s="27"/>
      <c r="N58" s="31"/>
      <c r="O58" s="27"/>
      <c r="P58" s="30"/>
      <c r="Q58" s="30"/>
      <c r="R58" s="27"/>
      <c r="S58" s="27"/>
      <c r="T58" s="31"/>
      <c r="U58" s="30" t="s">
        <v>407</v>
      </c>
      <c r="V58" s="34" t="s">
        <v>408</v>
      </c>
      <c r="W58" s="27" t="s">
        <v>71</v>
      </c>
      <c r="X58" s="30"/>
      <c r="Y58" s="30"/>
      <c r="Z58" s="30"/>
      <c r="AA58" s="30"/>
      <c r="AB58" s="30"/>
      <c r="AC58" s="30" t="s">
        <v>87</v>
      </c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6"/>
      <c r="AS58" s="36"/>
      <c r="AT58" s="36"/>
      <c r="AU58" s="36"/>
      <c r="AV58" s="36"/>
      <c r="AW58" s="36"/>
      <c r="AX58" s="36"/>
      <c r="AY58" s="36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27"/>
      <c r="BL58" s="27"/>
    </row>
    <row r="59" spans="1:64">
      <c r="A59" s="25" t="s">
        <v>54</v>
      </c>
      <c r="B59" s="26">
        <v>46205</v>
      </c>
      <c r="C59" s="27">
        <v>29098</v>
      </c>
      <c r="D59" s="27" t="s">
        <v>401</v>
      </c>
      <c r="E59" s="27" t="s">
        <v>361</v>
      </c>
      <c r="F59" s="27" t="s">
        <v>59</v>
      </c>
      <c r="G59" s="27" t="s">
        <v>144</v>
      </c>
      <c r="H59" s="30" t="s">
        <v>104</v>
      </c>
      <c r="I59" s="31" t="s">
        <v>411</v>
      </c>
      <c r="J59" s="30" t="s">
        <v>104</v>
      </c>
      <c r="K59" s="27">
        <v>1</v>
      </c>
      <c r="L59" s="27">
        <v>8</v>
      </c>
      <c r="M59" s="27"/>
      <c r="N59" s="31"/>
      <c r="O59" s="27"/>
      <c r="P59" s="30"/>
      <c r="Q59" s="30"/>
      <c r="R59" s="27"/>
      <c r="S59" s="27"/>
      <c r="T59" s="31"/>
      <c r="U59" s="30" t="s">
        <v>68</v>
      </c>
      <c r="V59" s="34" t="s">
        <v>70</v>
      </c>
      <c r="W59" s="27" t="s">
        <v>167</v>
      </c>
      <c r="X59" s="30">
        <v>1</v>
      </c>
      <c r="Y59" s="30">
        <v>1</v>
      </c>
      <c r="Z59" s="30">
        <v>1</v>
      </c>
      <c r="AA59" s="30">
        <v>1</v>
      </c>
      <c r="AB59" s="30"/>
      <c r="AC59" s="30" t="s">
        <v>87</v>
      </c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6"/>
      <c r="AS59" s="36"/>
      <c r="AT59" s="36"/>
      <c r="AU59" s="36"/>
      <c r="AV59" s="36"/>
      <c r="AW59" s="36"/>
      <c r="AX59" s="36"/>
      <c r="AY59" s="36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27"/>
      <c r="BL59" s="27"/>
    </row>
    <row r="60" spans="1:64">
      <c r="A60" s="25" t="s">
        <v>187</v>
      </c>
      <c r="B60" s="26">
        <v>46205</v>
      </c>
      <c r="C60" s="27">
        <v>29097</v>
      </c>
      <c r="D60" s="27" t="s">
        <v>414</v>
      </c>
      <c r="E60" s="27" t="s">
        <v>101</v>
      </c>
      <c r="F60" s="27" t="s">
        <v>59</v>
      </c>
      <c r="G60" s="27" t="s">
        <v>104</v>
      </c>
      <c r="H60" s="30" t="s">
        <v>415</v>
      </c>
      <c r="I60" s="31" t="s">
        <v>416</v>
      </c>
      <c r="J60" s="30" t="s">
        <v>417</v>
      </c>
      <c r="K60" s="27">
        <v>70</v>
      </c>
      <c r="L60" s="27">
        <v>210</v>
      </c>
      <c r="M60" s="27"/>
      <c r="N60" s="31"/>
      <c r="O60" s="27" t="s">
        <v>418</v>
      </c>
      <c r="P60" s="30"/>
      <c r="Q60" s="30" t="s">
        <v>66</v>
      </c>
      <c r="R60" s="26"/>
      <c r="S60" s="57">
        <v>46231</v>
      </c>
      <c r="T60" s="31"/>
      <c r="U60" s="30" t="s">
        <v>419</v>
      </c>
      <c r="V60" s="34" t="s">
        <v>90</v>
      </c>
      <c r="W60" s="27" t="s">
        <v>101</v>
      </c>
      <c r="X60" s="30">
        <v>1</v>
      </c>
      <c r="Y60" s="30">
        <v>1</v>
      </c>
      <c r="Z60" s="30">
        <v>1</v>
      </c>
      <c r="AA60" s="30"/>
      <c r="AB60" s="30"/>
      <c r="AC60" s="30" t="s">
        <v>87</v>
      </c>
      <c r="AD60" s="30"/>
      <c r="AE60" s="30"/>
      <c r="AF60" s="30"/>
      <c r="AG60" s="30"/>
      <c r="AH60" s="30"/>
      <c r="AI60" s="30" t="s">
        <v>418</v>
      </c>
      <c r="AJ60" s="30"/>
      <c r="AK60" s="30"/>
      <c r="AL60" s="30"/>
      <c r="AM60" s="30"/>
      <c r="AN60" s="30"/>
      <c r="AO60" s="30"/>
      <c r="AP60" s="30"/>
      <c r="AQ60" s="30"/>
      <c r="AR60" s="36"/>
      <c r="AS60" s="36" t="s">
        <v>420</v>
      </c>
      <c r="AT60" s="36"/>
      <c r="AU60" s="36"/>
      <c r="AV60" s="36"/>
      <c r="AW60" s="36"/>
      <c r="AX60" s="36"/>
      <c r="AY60" s="36"/>
      <c r="AZ60" s="30"/>
      <c r="BA60" s="30"/>
      <c r="BB60" s="30"/>
      <c r="BC60" s="30" t="s">
        <v>90</v>
      </c>
      <c r="BD60" s="30"/>
      <c r="BE60" s="30"/>
      <c r="BF60" s="30"/>
      <c r="BG60" s="30"/>
      <c r="BH60" s="30"/>
      <c r="BI60" s="30"/>
      <c r="BJ60" s="30"/>
      <c r="BK60" s="27"/>
      <c r="BL60" s="27"/>
    </row>
    <row r="61" spans="1:64">
      <c r="A61" s="25" t="s">
        <v>54</v>
      </c>
      <c r="B61" s="26">
        <v>46205</v>
      </c>
      <c r="C61" s="27">
        <v>29095</v>
      </c>
      <c r="D61" s="27" t="s">
        <v>421</v>
      </c>
      <c r="E61" s="27" t="s">
        <v>101</v>
      </c>
      <c r="F61" s="27" t="s">
        <v>59</v>
      </c>
      <c r="G61" s="27" t="s">
        <v>104</v>
      </c>
      <c r="H61" s="30" t="s">
        <v>144</v>
      </c>
      <c r="I61" s="31" t="s">
        <v>422</v>
      </c>
      <c r="J61" s="30" t="s">
        <v>423</v>
      </c>
      <c r="K61" s="27">
        <v>76</v>
      </c>
      <c r="L61" s="27">
        <v>152</v>
      </c>
      <c r="M61" s="27"/>
      <c r="N61" s="31" t="s">
        <v>372</v>
      </c>
      <c r="O61" s="27"/>
      <c r="P61" s="30"/>
      <c r="Q61" s="30" t="s">
        <v>66</v>
      </c>
      <c r="R61" s="26">
        <v>46206</v>
      </c>
      <c r="S61" s="26">
        <v>46209</v>
      </c>
      <c r="T61" s="31"/>
      <c r="U61" s="30" t="s">
        <v>68</v>
      </c>
      <c r="V61" s="34" t="s">
        <v>70</v>
      </c>
      <c r="W61" s="27" t="s">
        <v>101</v>
      </c>
      <c r="X61" s="30">
        <v>1</v>
      </c>
      <c r="Y61" s="30">
        <v>1</v>
      </c>
      <c r="Z61" s="30">
        <v>1</v>
      </c>
      <c r="AA61" s="30">
        <v>1</v>
      </c>
      <c r="AB61" s="30"/>
      <c r="AC61" s="30" t="s">
        <v>87</v>
      </c>
      <c r="AD61" s="30" t="s">
        <v>88</v>
      </c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6"/>
      <c r="AS61" s="36"/>
      <c r="AT61" s="36"/>
      <c r="AU61" s="36"/>
      <c r="AV61" s="36"/>
      <c r="AW61" s="36"/>
      <c r="AX61" s="36"/>
      <c r="AY61" s="36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27"/>
      <c r="BL61" s="27"/>
    </row>
    <row r="62" spans="1:64">
      <c r="A62" s="25" t="s">
        <v>54</v>
      </c>
      <c r="B62" s="26">
        <v>46205</v>
      </c>
      <c r="C62" s="27">
        <v>30327</v>
      </c>
      <c r="D62" s="27" t="s">
        <v>291</v>
      </c>
      <c r="E62" s="27" t="s">
        <v>424</v>
      </c>
      <c r="F62" s="27" t="s">
        <v>59</v>
      </c>
      <c r="G62" s="27" t="s">
        <v>144</v>
      </c>
      <c r="H62" s="30" t="s">
        <v>104</v>
      </c>
      <c r="I62" s="31" t="s">
        <v>425</v>
      </c>
      <c r="J62" s="30" t="s">
        <v>294</v>
      </c>
      <c r="K62" s="27">
        <v>1</v>
      </c>
      <c r="L62" s="27">
        <v>5</v>
      </c>
      <c r="M62" s="27"/>
      <c r="N62" s="31" t="s">
        <v>297</v>
      </c>
      <c r="O62" s="27"/>
      <c r="P62" s="30"/>
      <c r="Q62" s="30" t="s">
        <v>426</v>
      </c>
      <c r="R62" s="26">
        <v>46214</v>
      </c>
      <c r="S62" s="26">
        <v>46216</v>
      </c>
      <c r="T62" s="31"/>
      <c r="U62" s="30" t="s">
        <v>68</v>
      </c>
      <c r="V62" s="34" t="s">
        <v>70</v>
      </c>
      <c r="W62" s="27" t="s">
        <v>236</v>
      </c>
      <c r="X62" s="30">
        <v>1</v>
      </c>
      <c r="Y62" s="30">
        <v>1</v>
      </c>
      <c r="Z62" s="30">
        <v>1</v>
      </c>
      <c r="AA62" s="30">
        <v>1</v>
      </c>
      <c r="AB62" s="30"/>
      <c r="AC62" s="30" t="s">
        <v>87</v>
      </c>
      <c r="AD62" s="30"/>
      <c r="AE62" s="30"/>
      <c r="AF62" s="30"/>
      <c r="AG62" s="30"/>
      <c r="AH62" s="30"/>
      <c r="AI62" s="30"/>
      <c r="AJ62" s="30"/>
      <c r="AK62" s="30"/>
      <c r="AL62" s="30" t="s">
        <v>428</v>
      </c>
      <c r="AM62" s="30"/>
      <c r="AN62" s="30"/>
      <c r="AO62" s="30"/>
      <c r="AP62" s="30"/>
      <c r="AQ62" s="30"/>
      <c r="AR62" s="36"/>
      <c r="AS62" s="36"/>
      <c r="AT62" s="36"/>
      <c r="AU62" s="36"/>
      <c r="AV62" s="36"/>
      <c r="AW62" s="36"/>
      <c r="AX62" s="36"/>
      <c r="AY62" s="36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27"/>
      <c r="BL62" s="27"/>
    </row>
    <row r="63" spans="1:64">
      <c r="A63" s="25" t="s">
        <v>54</v>
      </c>
      <c r="B63" s="26">
        <v>46206</v>
      </c>
      <c r="C63" s="27">
        <v>30087</v>
      </c>
      <c r="D63" s="27"/>
      <c r="E63" s="27" t="s">
        <v>76</v>
      </c>
      <c r="F63" s="27" t="s">
        <v>59</v>
      </c>
      <c r="G63" s="27" t="s">
        <v>294</v>
      </c>
      <c r="H63" s="30" t="s">
        <v>144</v>
      </c>
      <c r="I63" s="31" t="s">
        <v>429</v>
      </c>
      <c r="J63" s="30" t="s">
        <v>430</v>
      </c>
      <c r="K63" s="27">
        <v>4</v>
      </c>
      <c r="L63" s="27">
        <v>100</v>
      </c>
      <c r="M63" s="27"/>
      <c r="N63" s="31" t="s">
        <v>328</v>
      </c>
      <c r="O63" s="27"/>
      <c r="P63" s="30"/>
      <c r="Q63" s="30" t="s">
        <v>66</v>
      </c>
      <c r="R63" s="26">
        <v>46207</v>
      </c>
      <c r="S63" s="26">
        <v>46209</v>
      </c>
      <c r="T63" s="31"/>
      <c r="U63" s="30" t="s">
        <v>68</v>
      </c>
      <c r="V63" s="34" t="s">
        <v>70</v>
      </c>
      <c r="W63" s="27" t="s">
        <v>85</v>
      </c>
      <c r="X63" s="30">
        <v>1</v>
      </c>
      <c r="Y63" s="30">
        <v>1</v>
      </c>
      <c r="Z63" s="30">
        <v>1</v>
      </c>
      <c r="AA63" s="30">
        <v>1</v>
      </c>
      <c r="AB63" s="30"/>
      <c r="AC63" s="30"/>
      <c r="AD63" s="30" t="s">
        <v>363</v>
      </c>
      <c r="AE63" s="30" t="s">
        <v>90</v>
      </c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6"/>
      <c r="AS63" s="36"/>
      <c r="AT63" s="36"/>
      <c r="AU63" s="36"/>
      <c r="AV63" s="36"/>
      <c r="AW63" s="36"/>
      <c r="AX63" s="36"/>
      <c r="AY63" s="36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27"/>
      <c r="BL63" s="27"/>
    </row>
    <row r="64" spans="1:64">
      <c r="A64" s="25" t="s">
        <v>54</v>
      </c>
      <c r="B64" s="26">
        <v>46206</v>
      </c>
      <c r="C64" s="27">
        <v>30088</v>
      </c>
      <c r="D64" s="27"/>
      <c r="E64" s="27" t="s">
        <v>76</v>
      </c>
      <c r="F64" s="27" t="s">
        <v>59</v>
      </c>
      <c r="G64" s="27" t="s">
        <v>294</v>
      </c>
      <c r="H64" s="30" t="s">
        <v>293</v>
      </c>
      <c r="I64" s="31" t="s">
        <v>432</v>
      </c>
      <c r="J64" s="30" t="s">
        <v>433</v>
      </c>
      <c r="K64" s="27">
        <v>6</v>
      </c>
      <c r="L64" s="27">
        <v>121</v>
      </c>
      <c r="M64" s="27"/>
      <c r="N64" s="31" t="s">
        <v>328</v>
      </c>
      <c r="O64" s="27"/>
      <c r="P64" s="30"/>
      <c r="Q64" s="30" t="s">
        <v>434</v>
      </c>
      <c r="R64" s="26">
        <v>46207</v>
      </c>
      <c r="S64" s="26">
        <v>46209</v>
      </c>
      <c r="T64" s="31"/>
      <c r="U64" s="30" t="s">
        <v>68</v>
      </c>
      <c r="V64" s="34" t="s">
        <v>70</v>
      </c>
      <c r="W64" s="27" t="s">
        <v>85</v>
      </c>
      <c r="X64" s="30">
        <v>1</v>
      </c>
      <c r="Y64" s="30">
        <v>1</v>
      </c>
      <c r="Z64" s="30">
        <v>1</v>
      </c>
      <c r="AA64" s="30">
        <v>1</v>
      </c>
      <c r="AB64" s="30"/>
      <c r="AC64" s="30"/>
      <c r="AD64" s="30" t="s">
        <v>328</v>
      </c>
      <c r="AE64" s="30" t="s">
        <v>90</v>
      </c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6"/>
      <c r="AS64" s="36"/>
      <c r="AT64" s="36"/>
      <c r="AU64" s="36"/>
      <c r="AV64" s="36"/>
      <c r="AW64" s="36"/>
      <c r="AX64" s="36"/>
      <c r="AY64" s="36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27"/>
      <c r="BL64" s="27"/>
    </row>
    <row r="65" spans="1:64">
      <c r="A65" s="25" t="s">
        <v>54</v>
      </c>
      <c r="B65" s="26">
        <v>46206</v>
      </c>
      <c r="C65" s="27">
        <v>30089</v>
      </c>
      <c r="D65" s="27"/>
      <c r="E65" s="27" t="s">
        <v>76</v>
      </c>
      <c r="F65" s="27" t="s">
        <v>59</v>
      </c>
      <c r="G65" s="27" t="s">
        <v>294</v>
      </c>
      <c r="H65" s="30" t="s">
        <v>435</v>
      </c>
      <c r="I65" s="31" t="s">
        <v>436</v>
      </c>
      <c r="J65" s="30" t="s">
        <v>437</v>
      </c>
      <c r="K65" s="27">
        <v>1</v>
      </c>
      <c r="L65" s="27">
        <v>100</v>
      </c>
      <c r="M65" s="27"/>
      <c r="N65" s="31" t="s">
        <v>372</v>
      </c>
      <c r="O65" s="27"/>
      <c r="P65" s="30"/>
      <c r="Q65" s="30" t="s">
        <v>434</v>
      </c>
      <c r="R65" s="26">
        <v>46209</v>
      </c>
      <c r="S65" s="26">
        <v>46211</v>
      </c>
      <c r="T65" s="31"/>
      <c r="U65" s="30" t="s">
        <v>68</v>
      </c>
      <c r="V65" s="34" t="s">
        <v>70</v>
      </c>
      <c r="W65" s="27" t="s">
        <v>85</v>
      </c>
      <c r="X65" s="30">
        <v>1</v>
      </c>
      <c r="Y65" s="30">
        <v>1</v>
      </c>
      <c r="Z65" s="30">
        <v>1</v>
      </c>
      <c r="AA65" s="30">
        <v>1</v>
      </c>
      <c r="AB65" s="30"/>
      <c r="AC65" s="30"/>
      <c r="AD65" s="30" t="s">
        <v>69</v>
      </c>
      <c r="AE65" s="30"/>
      <c r="AF65" s="30"/>
      <c r="AG65" s="30" t="s">
        <v>88</v>
      </c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6"/>
      <c r="AS65" s="36"/>
      <c r="AT65" s="36"/>
      <c r="AU65" s="36"/>
      <c r="AV65" s="36"/>
      <c r="AW65" s="36"/>
      <c r="AX65" s="36"/>
      <c r="AY65" s="36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27"/>
      <c r="BL65" s="27"/>
    </row>
    <row r="66" spans="1:64">
      <c r="A66" s="25" t="s">
        <v>54</v>
      </c>
      <c r="B66" s="26">
        <v>46206</v>
      </c>
      <c r="C66" s="27">
        <v>30090</v>
      </c>
      <c r="D66" s="27"/>
      <c r="E66" s="27" t="s">
        <v>76</v>
      </c>
      <c r="F66" s="27" t="s">
        <v>59</v>
      </c>
      <c r="G66" s="27" t="s">
        <v>294</v>
      </c>
      <c r="H66" s="30" t="s">
        <v>435</v>
      </c>
      <c r="I66" s="31" t="s">
        <v>439</v>
      </c>
      <c r="J66" s="30" t="s">
        <v>440</v>
      </c>
      <c r="K66" s="27">
        <v>1</v>
      </c>
      <c r="L66" s="27">
        <v>100</v>
      </c>
      <c r="M66" s="27"/>
      <c r="N66" s="31" t="s">
        <v>372</v>
      </c>
      <c r="O66" s="27"/>
      <c r="P66" s="30"/>
      <c r="Q66" s="30" t="s">
        <v>66</v>
      </c>
      <c r="R66" s="26">
        <v>46209</v>
      </c>
      <c r="S66" s="26">
        <v>46211</v>
      </c>
      <c r="T66" s="31"/>
      <c r="U66" s="30" t="s">
        <v>68</v>
      </c>
      <c r="V66" s="34" t="s">
        <v>70</v>
      </c>
      <c r="W66" s="27" t="s">
        <v>85</v>
      </c>
      <c r="X66" s="30">
        <v>1</v>
      </c>
      <c r="Y66" s="30">
        <v>1</v>
      </c>
      <c r="Z66" s="30">
        <v>1</v>
      </c>
      <c r="AA66" s="30">
        <v>1</v>
      </c>
      <c r="AB66" s="30"/>
      <c r="AC66" s="30"/>
      <c r="AD66" s="30" t="s">
        <v>69</v>
      </c>
      <c r="AE66" s="30"/>
      <c r="AF66" s="30"/>
      <c r="AG66" s="30" t="s">
        <v>88</v>
      </c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6"/>
      <c r="AS66" s="36"/>
      <c r="AT66" s="36"/>
      <c r="AU66" s="36"/>
      <c r="AV66" s="36"/>
      <c r="AW66" s="36"/>
      <c r="AX66" s="36"/>
      <c r="AY66" s="36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27"/>
      <c r="BL66" s="27"/>
    </row>
    <row r="67" spans="1:64">
      <c r="A67" s="25" t="s">
        <v>54</v>
      </c>
      <c r="B67" s="26">
        <v>46206</v>
      </c>
      <c r="C67" s="27">
        <v>30091</v>
      </c>
      <c r="D67" s="27"/>
      <c r="E67" s="27" t="s">
        <v>76</v>
      </c>
      <c r="F67" s="27" t="s">
        <v>59</v>
      </c>
      <c r="G67" s="27" t="s">
        <v>294</v>
      </c>
      <c r="H67" s="30" t="s">
        <v>435</v>
      </c>
      <c r="I67" s="31" t="s">
        <v>441</v>
      </c>
      <c r="J67" s="30" t="s">
        <v>442</v>
      </c>
      <c r="K67" s="27">
        <v>2</v>
      </c>
      <c r="L67" s="27">
        <v>100</v>
      </c>
      <c r="M67" s="27"/>
      <c r="N67" s="31" t="s">
        <v>372</v>
      </c>
      <c r="O67" s="27"/>
      <c r="P67" s="30"/>
      <c r="Q67" s="30" t="s">
        <v>66</v>
      </c>
      <c r="R67" s="26">
        <v>46209</v>
      </c>
      <c r="S67" s="26">
        <v>46211</v>
      </c>
      <c r="T67" s="31"/>
      <c r="U67" s="30" t="s">
        <v>68</v>
      </c>
      <c r="V67" s="34" t="s">
        <v>70</v>
      </c>
      <c r="W67" s="27" t="s">
        <v>85</v>
      </c>
      <c r="X67" s="30">
        <v>1</v>
      </c>
      <c r="Y67" s="30">
        <v>1</v>
      </c>
      <c r="Z67" s="30">
        <v>1</v>
      </c>
      <c r="AA67" s="30">
        <v>1</v>
      </c>
      <c r="AB67" s="30"/>
      <c r="AC67" s="30"/>
      <c r="AD67" s="30" t="s">
        <v>69</v>
      </c>
      <c r="AE67" s="30"/>
      <c r="AF67" s="30"/>
      <c r="AG67" s="30" t="s">
        <v>88</v>
      </c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6"/>
      <c r="AS67" s="36"/>
      <c r="AT67" s="36"/>
      <c r="AU67" s="36"/>
      <c r="AV67" s="36"/>
      <c r="AW67" s="36"/>
      <c r="AX67" s="36"/>
      <c r="AY67" s="36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27"/>
      <c r="BL67" s="27"/>
    </row>
    <row r="68" spans="1:64">
      <c r="A68" s="25" t="s">
        <v>54</v>
      </c>
      <c r="B68" s="26">
        <v>46206</v>
      </c>
      <c r="C68" s="27">
        <v>30092</v>
      </c>
      <c r="D68" s="27"/>
      <c r="E68" s="27" t="s">
        <v>76</v>
      </c>
      <c r="F68" s="27" t="s">
        <v>59</v>
      </c>
      <c r="G68" s="27" t="s">
        <v>294</v>
      </c>
      <c r="H68" s="30" t="s">
        <v>134</v>
      </c>
      <c r="I68" s="31" t="s">
        <v>444</v>
      </c>
      <c r="J68" s="30" t="s">
        <v>445</v>
      </c>
      <c r="K68" s="27">
        <v>5</v>
      </c>
      <c r="L68" s="27"/>
      <c r="M68" s="27"/>
      <c r="N68" s="31" t="s">
        <v>372</v>
      </c>
      <c r="O68" s="27"/>
      <c r="P68" s="30"/>
      <c r="Q68" s="30" t="s">
        <v>66</v>
      </c>
      <c r="R68" s="26">
        <v>46210</v>
      </c>
      <c r="S68" s="26">
        <v>46211</v>
      </c>
      <c r="T68" s="31"/>
      <c r="U68" s="30" t="s">
        <v>68</v>
      </c>
      <c r="V68" s="34" t="s">
        <v>70</v>
      </c>
      <c r="W68" s="27" t="s">
        <v>85</v>
      </c>
      <c r="X68" s="30">
        <v>1</v>
      </c>
      <c r="Y68" s="30">
        <v>1</v>
      </c>
      <c r="Z68" s="30">
        <v>1</v>
      </c>
      <c r="AA68" s="30">
        <v>1</v>
      </c>
      <c r="AB68" s="30"/>
      <c r="AC68" s="30"/>
      <c r="AD68" s="30" t="s">
        <v>69</v>
      </c>
      <c r="AE68" s="30"/>
      <c r="AF68" s="30"/>
      <c r="AG68" s="30" t="s">
        <v>81</v>
      </c>
      <c r="AH68" s="30" t="s">
        <v>41</v>
      </c>
      <c r="AI68" s="30"/>
      <c r="AJ68" s="30"/>
      <c r="AK68" s="30"/>
      <c r="AL68" s="30"/>
      <c r="AM68" s="30"/>
      <c r="AN68" s="30"/>
      <c r="AO68" s="30"/>
      <c r="AP68" s="30"/>
      <c r="AQ68" s="30"/>
      <c r="AR68" s="36"/>
      <c r="AS68" s="36"/>
      <c r="AT68" s="36"/>
      <c r="AU68" s="36"/>
      <c r="AV68" s="36"/>
      <c r="AW68" s="36"/>
      <c r="AX68" s="36"/>
      <c r="AY68" s="36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27"/>
      <c r="BL68" s="27"/>
    </row>
    <row r="69" spans="1:64">
      <c r="A69" s="25" t="s">
        <v>54</v>
      </c>
      <c r="B69" s="26">
        <v>46206</v>
      </c>
      <c r="C69" s="27">
        <v>30252</v>
      </c>
      <c r="D69" s="27"/>
      <c r="E69" s="27" t="s">
        <v>233</v>
      </c>
      <c r="F69" s="27" t="s">
        <v>59</v>
      </c>
      <c r="G69" s="27" t="s">
        <v>294</v>
      </c>
      <c r="H69" s="30" t="s">
        <v>60</v>
      </c>
      <c r="I69" s="31" t="s">
        <v>446</v>
      </c>
      <c r="J69" s="30" t="s">
        <v>60</v>
      </c>
      <c r="K69" s="27">
        <v>1</v>
      </c>
      <c r="L69" s="27" t="s">
        <v>205</v>
      </c>
      <c r="M69" s="27"/>
      <c r="N69" s="31" t="s">
        <v>81</v>
      </c>
      <c r="O69" s="27"/>
      <c r="P69" s="30"/>
      <c r="Q69" s="30" t="s">
        <v>66</v>
      </c>
      <c r="R69" s="26">
        <v>46209</v>
      </c>
      <c r="S69" s="26">
        <v>46211</v>
      </c>
      <c r="T69" s="31"/>
      <c r="U69" s="30" t="s">
        <v>68</v>
      </c>
      <c r="V69" s="34" t="s">
        <v>70</v>
      </c>
      <c r="W69" s="27" t="s">
        <v>208</v>
      </c>
      <c r="X69" s="30">
        <v>1</v>
      </c>
      <c r="Y69" s="30">
        <v>1</v>
      </c>
      <c r="Z69" s="30">
        <v>1</v>
      </c>
      <c r="AA69" s="30">
        <v>1</v>
      </c>
      <c r="AB69" s="30"/>
      <c r="AC69" s="30"/>
      <c r="AD69" s="30" t="s">
        <v>69</v>
      </c>
      <c r="AE69" s="30"/>
      <c r="AF69" s="30"/>
      <c r="AG69" s="30" t="s">
        <v>88</v>
      </c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6"/>
      <c r="AS69" s="36"/>
      <c r="AT69" s="36"/>
      <c r="AU69" s="36"/>
      <c r="AV69" s="36"/>
      <c r="AW69" s="36"/>
      <c r="AX69" s="36"/>
      <c r="AY69" s="36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27"/>
      <c r="BL69" s="27"/>
    </row>
    <row r="70" spans="1:64">
      <c r="A70" s="25" t="s">
        <v>54</v>
      </c>
      <c r="B70" s="26">
        <v>46206</v>
      </c>
      <c r="C70" s="27">
        <v>30255</v>
      </c>
      <c r="D70" s="27"/>
      <c r="E70" s="27" t="s">
        <v>212</v>
      </c>
      <c r="F70" s="27" t="s">
        <v>59</v>
      </c>
      <c r="G70" s="27" t="s">
        <v>294</v>
      </c>
      <c r="H70" s="30" t="s">
        <v>175</v>
      </c>
      <c r="I70" s="31" t="s">
        <v>448</v>
      </c>
      <c r="J70" s="30" t="s">
        <v>175</v>
      </c>
      <c r="K70" s="27">
        <v>1</v>
      </c>
      <c r="L70" s="27" t="s">
        <v>205</v>
      </c>
      <c r="M70" s="27"/>
      <c r="N70" s="31" t="s">
        <v>154</v>
      </c>
      <c r="O70" s="27"/>
      <c r="P70" s="30"/>
      <c r="Q70" s="30" t="s">
        <v>66</v>
      </c>
      <c r="R70" s="26">
        <v>46209</v>
      </c>
      <c r="S70" s="26">
        <v>46210</v>
      </c>
      <c r="T70" s="31"/>
      <c r="U70" s="30" t="s">
        <v>68</v>
      </c>
      <c r="V70" s="34" t="s">
        <v>70</v>
      </c>
      <c r="W70" s="27" t="s">
        <v>208</v>
      </c>
      <c r="X70" s="30">
        <v>1</v>
      </c>
      <c r="Y70" s="30">
        <v>1</v>
      </c>
      <c r="Z70" s="30">
        <v>1</v>
      </c>
      <c r="AA70" s="30">
        <v>1</v>
      </c>
      <c r="AB70" s="30"/>
      <c r="AC70" s="30"/>
      <c r="AD70" s="30" t="s">
        <v>69</v>
      </c>
      <c r="AE70" s="30"/>
      <c r="AF70" s="30"/>
      <c r="AG70" s="30" t="s">
        <v>449</v>
      </c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6"/>
      <c r="AS70" s="36"/>
      <c r="AT70" s="36"/>
      <c r="AU70" s="36"/>
      <c r="AV70" s="36"/>
      <c r="AW70" s="36"/>
      <c r="AX70" s="36"/>
      <c r="AY70" s="36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27"/>
      <c r="BL70" s="27"/>
    </row>
    <row r="71" spans="1:64">
      <c r="A71" s="25" t="s">
        <v>54</v>
      </c>
      <c r="B71" s="26">
        <v>46206</v>
      </c>
      <c r="C71" s="27">
        <v>30254</v>
      </c>
      <c r="D71" s="27"/>
      <c r="E71" s="27" t="s">
        <v>212</v>
      </c>
      <c r="F71" s="27" t="s">
        <v>59</v>
      </c>
      <c r="G71" s="27" t="s">
        <v>294</v>
      </c>
      <c r="H71" s="30" t="s">
        <v>28</v>
      </c>
      <c r="I71" s="31" t="s">
        <v>451</v>
      </c>
      <c r="J71" s="30" t="s">
        <v>28</v>
      </c>
      <c r="K71" s="27">
        <v>1</v>
      </c>
      <c r="L71" s="27" t="s">
        <v>205</v>
      </c>
      <c r="M71" s="27"/>
      <c r="N71" s="31" t="s">
        <v>258</v>
      </c>
      <c r="O71" s="27"/>
      <c r="P71" s="30"/>
      <c r="Q71" s="30" t="s">
        <v>452</v>
      </c>
      <c r="R71" s="26">
        <v>46207</v>
      </c>
      <c r="S71" s="26">
        <v>46209</v>
      </c>
      <c r="T71" s="31"/>
      <c r="U71" s="30" t="s">
        <v>68</v>
      </c>
      <c r="V71" s="34" t="s">
        <v>70</v>
      </c>
      <c r="W71" s="27" t="s">
        <v>208</v>
      </c>
      <c r="X71" s="30">
        <v>1</v>
      </c>
      <c r="Y71" s="30">
        <v>1</v>
      </c>
      <c r="Z71" s="30">
        <v>1</v>
      </c>
      <c r="AA71" s="30">
        <v>1</v>
      </c>
      <c r="AB71" s="30"/>
      <c r="AC71" s="30"/>
      <c r="AD71" s="30" t="s">
        <v>69</v>
      </c>
      <c r="AE71" s="30" t="s">
        <v>453</v>
      </c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6"/>
      <c r="AS71" s="36"/>
      <c r="AT71" s="36"/>
      <c r="AU71" s="36"/>
      <c r="AV71" s="36"/>
      <c r="AW71" s="36"/>
      <c r="AX71" s="36"/>
      <c r="AY71" s="36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27"/>
      <c r="BL71" s="27"/>
    </row>
    <row r="72" spans="1:64">
      <c r="A72" s="25" t="s">
        <v>54</v>
      </c>
      <c r="B72" s="26">
        <v>46206</v>
      </c>
      <c r="C72" s="27">
        <v>30257</v>
      </c>
      <c r="D72" s="27"/>
      <c r="E72" s="27" t="s">
        <v>203</v>
      </c>
      <c r="F72" s="27" t="s">
        <v>59</v>
      </c>
      <c r="G72" s="27" t="s">
        <v>294</v>
      </c>
      <c r="H72" s="30" t="s">
        <v>170</v>
      </c>
      <c r="I72" s="31" t="s">
        <v>454</v>
      </c>
      <c r="J72" s="30" t="s">
        <v>170</v>
      </c>
      <c r="K72" s="27">
        <v>1</v>
      </c>
      <c r="L72" s="27" t="s">
        <v>205</v>
      </c>
      <c r="M72" s="27"/>
      <c r="N72" s="31" t="s">
        <v>455</v>
      </c>
      <c r="O72" s="27"/>
      <c r="P72" s="30"/>
      <c r="Q72" s="30" t="s">
        <v>66</v>
      </c>
      <c r="R72" s="26">
        <v>46215</v>
      </c>
      <c r="S72" s="26">
        <v>46218</v>
      </c>
      <c r="T72" s="31"/>
      <c r="U72" s="30" t="s">
        <v>68</v>
      </c>
      <c r="V72" s="34" t="s">
        <v>70</v>
      </c>
      <c r="W72" s="27" t="s">
        <v>208</v>
      </c>
      <c r="X72" s="30">
        <v>3</v>
      </c>
      <c r="Y72" s="30">
        <v>1</v>
      </c>
      <c r="Z72" s="30">
        <v>1</v>
      </c>
      <c r="AA72" s="30">
        <v>1</v>
      </c>
      <c r="AB72" s="30"/>
      <c r="AC72" s="30"/>
      <c r="AD72" s="30" t="s">
        <v>69</v>
      </c>
      <c r="AE72" s="30"/>
      <c r="AF72" s="30"/>
      <c r="AG72" s="30"/>
      <c r="AH72" s="30" t="s">
        <v>94</v>
      </c>
      <c r="AI72" s="30"/>
      <c r="AJ72" s="30"/>
      <c r="AK72" s="30" t="s">
        <v>455</v>
      </c>
      <c r="AL72" s="30"/>
      <c r="AM72" s="30" t="s">
        <v>41</v>
      </c>
      <c r="AN72" s="30"/>
      <c r="AO72" s="30"/>
      <c r="AP72" s="30"/>
      <c r="AQ72" s="30"/>
      <c r="AR72" s="36"/>
      <c r="AS72" s="36"/>
      <c r="AT72" s="36"/>
      <c r="AU72" s="36"/>
      <c r="AV72" s="36"/>
      <c r="AW72" s="36"/>
      <c r="AX72" s="36"/>
      <c r="AY72" s="36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27"/>
      <c r="BL72" s="27"/>
    </row>
    <row r="73" spans="1:64">
      <c r="A73" s="25" t="s">
        <v>54</v>
      </c>
      <c r="B73" s="26">
        <v>46206</v>
      </c>
      <c r="C73" s="27">
        <v>30256</v>
      </c>
      <c r="D73" s="27"/>
      <c r="E73" s="27" t="s">
        <v>212</v>
      </c>
      <c r="F73" s="27" t="s">
        <v>59</v>
      </c>
      <c r="G73" s="27" t="s">
        <v>294</v>
      </c>
      <c r="H73" s="30" t="s">
        <v>28</v>
      </c>
      <c r="I73" s="31" t="s">
        <v>459</v>
      </c>
      <c r="J73" s="30" t="s">
        <v>28</v>
      </c>
      <c r="K73" s="27">
        <v>1</v>
      </c>
      <c r="L73" s="27" t="s">
        <v>205</v>
      </c>
      <c r="M73" s="27"/>
      <c r="N73" s="31" t="s">
        <v>258</v>
      </c>
      <c r="O73" s="27"/>
      <c r="P73" s="30"/>
      <c r="Q73" s="30" t="s">
        <v>460</v>
      </c>
      <c r="R73" s="26">
        <v>46207</v>
      </c>
      <c r="S73" s="26">
        <v>46209</v>
      </c>
      <c r="T73" s="31"/>
      <c r="U73" s="30" t="s">
        <v>68</v>
      </c>
      <c r="V73" s="34" t="s">
        <v>70</v>
      </c>
      <c r="W73" s="27" t="s">
        <v>208</v>
      </c>
      <c r="X73" s="30">
        <v>1</v>
      </c>
      <c r="Y73" s="30">
        <v>1</v>
      </c>
      <c r="Z73" s="30">
        <v>1</v>
      </c>
      <c r="AA73" s="30">
        <v>1</v>
      </c>
      <c r="AB73" s="30"/>
      <c r="AC73" s="30"/>
      <c r="AD73" s="30" t="s">
        <v>69</v>
      </c>
      <c r="AE73" s="30" t="s">
        <v>260</v>
      </c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6"/>
      <c r="AS73" s="36"/>
      <c r="AT73" s="36"/>
      <c r="AU73" s="36"/>
      <c r="AV73" s="36"/>
      <c r="AW73" s="36"/>
      <c r="AX73" s="36"/>
      <c r="AY73" s="36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27"/>
      <c r="BL73" s="27"/>
    </row>
    <row r="74" spans="1:64">
      <c r="A74" s="25" t="s">
        <v>54</v>
      </c>
      <c r="B74" s="26">
        <v>46206</v>
      </c>
      <c r="C74" s="27">
        <v>30253</v>
      </c>
      <c r="D74" s="27"/>
      <c r="E74" s="27" t="s">
        <v>203</v>
      </c>
      <c r="F74" s="27" t="s">
        <v>59</v>
      </c>
      <c r="G74" s="27" t="s">
        <v>104</v>
      </c>
      <c r="H74" s="30" t="s">
        <v>106</v>
      </c>
      <c r="I74" s="31" t="s">
        <v>463</v>
      </c>
      <c r="J74" s="30" t="s">
        <v>106</v>
      </c>
      <c r="K74" s="27">
        <v>1</v>
      </c>
      <c r="L74" s="27" t="s">
        <v>205</v>
      </c>
      <c r="M74" s="27"/>
      <c r="N74" s="31" t="s">
        <v>328</v>
      </c>
      <c r="O74" s="27"/>
      <c r="P74" s="30"/>
      <c r="Q74" s="30" t="s">
        <v>464</v>
      </c>
      <c r="R74" s="26">
        <v>46207</v>
      </c>
      <c r="S74" s="26">
        <v>46209</v>
      </c>
      <c r="T74" s="31"/>
      <c r="U74" s="30" t="s">
        <v>68</v>
      </c>
      <c r="V74" s="34" t="s">
        <v>70</v>
      </c>
      <c r="W74" s="27" t="s">
        <v>208</v>
      </c>
      <c r="X74" s="30">
        <v>1</v>
      </c>
      <c r="Y74" s="30">
        <v>1</v>
      </c>
      <c r="Z74" s="30">
        <v>1</v>
      </c>
      <c r="AA74" s="30">
        <v>1</v>
      </c>
      <c r="AB74" s="30"/>
      <c r="AC74" s="30"/>
      <c r="AD74" s="30" t="s">
        <v>328</v>
      </c>
      <c r="AE74" s="30" t="s">
        <v>41</v>
      </c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6"/>
      <c r="AS74" s="36"/>
      <c r="AT74" s="36"/>
      <c r="AU74" s="36"/>
      <c r="AV74" s="36"/>
      <c r="AW74" s="36"/>
      <c r="AX74" s="36"/>
      <c r="AY74" s="36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27"/>
      <c r="BL74" s="27"/>
    </row>
    <row r="75" spans="1:64">
      <c r="A75" s="25" t="s">
        <v>54</v>
      </c>
      <c r="B75" s="26">
        <v>46206</v>
      </c>
      <c r="C75" s="27">
        <v>25266</v>
      </c>
      <c r="D75" s="27"/>
      <c r="E75" s="27" t="s">
        <v>465</v>
      </c>
      <c r="F75" s="27" t="s">
        <v>48</v>
      </c>
      <c r="G75" s="27" t="s">
        <v>110</v>
      </c>
      <c r="H75" s="30" t="s">
        <v>403</v>
      </c>
      <c r="I75" s="31" t="s">
        <v>466</v>
      </c>
      <c r="J75" s="30" t="s">
        <v>467</v>
      </c>
      <c r="K75" s="27">
        <v>40</v>
      </c>
      <c r="L75" s="27">
        <v>192</v>
      </c>
      <c r="M75" s="27"/>
      <c r="N75" s="31" t="s">
        <v>115</v>
      </c>
      <c r="O75" s="27"/>
      <c r="P75" s="30"/>
      <c r="Q75" s="30" t="s">
        <v>66</v>
      </c>
      <c r="R75" s="26">
        <v>46209</v>
      </c>
      <c r="S75" s="26">
        <v>46216</v>
      </c>
      <c r="T75" s="31" t="s">
        <v>468</v>
      </c>
      <c r="U75" s="30" t="s">
        <v>68</v>
      </c>
      <c r="V75" s="34" t="s">
        <v>70</v>
      </c>
      <c r="W75" s="27" t="s">
        <v>71</v>
      </c>
      <c r="X75" s="30">
        <v>1</v>
      </c>
      <c r="Y75" s="30">
        <v>1</v>
      </c>
      <c r="Z75" s="30">
        <v>1</v>
      </c>
      <c r="AA75" s="30">
        <v>2</v>
      </c>
      <c r="AB75" s="30"/>
      <c r="AC75" s="30"/>
      <c r="AD75" s="30" t="s">
        <v>469</v>
      </c>
      <c r="AE75" s="30"/>
      <c r="AF75" s="30"/>
      <c r="AG75" s="30" t="s">
        <v>119</v>
      </c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6"/>
      <c r="AS75" s="36"/>
      <c r="AT75" s="36"/>
      <c r="AU75" s="36"/>
      <c r="AV75" s="36"/>
      <c r="AW75" s="36"/>
      <c r="AX75" s="36"/>
      <c r="AY75" s="36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27"/>
      <c r="BL75" s="27"/>
    </row>
    <row r="76" spans="1:64">
      <c r="A76" s="25" t="s">
        <v>54</v>
      </c>
      <c r="B76" s="26">
        <v>46206</v>
      </c>
      <c r="C76" s="27"/>
      <c r="D76" s="27">
        <v>50013215</v>
      </c>
      <c r="E76" s="27" t="s">
        <v>333</v>
      </c>
      <c r="F76" s="27" t="s">
        <v>471</v>
      </c>
      <c r="G76" s="27" t="s">
        <v>28</v>
      </c>
      <c r="H76" s="30" t="s">
        <v>57</v>
      </c>
      <c r="I76" s="31" t="s">
        <v>472</v>
      </c>
      <c r="J76" s="30" t="s">
        <v>473</v>
      </c>
      <c r="K76" s="27">
        <v>1</v>
      </c>
      <c r="L76" s="27">
        <v>5</v>
      </c>
      <c r="M76" s="27"/>
      <c r="N76" s="31" t="s">
        <v>154</v>
      </c>
      <c r="O76" s="27"/>
      <c r="P76" s="30"/>
      <c r="Q76" s="30" t="s">
        <v>474</v>
      </c>
      <c r="R76" s="26">
        <v>46209</v>
      </c>
      <c r="S76" s="26">
        <v>46210</v>
      </c>
      <c r="T76" s="31"/>
      <c r="U76" s="30" t="s">
        <v>68</v>
      </c>
      <c r="V76" s="34" t="s">
        <v>70</v>
      </c>
      <c r="W76" s="27" t="s">
        <v>336</v>
      </c>
      <c r="X76" s="30">
        <v>1</v>
      </c>
      <c r="Y76" s="30">
        <v>1</v>
      </c>
      <c r="Z76" s="30">
        <v>1</v>
      </c>
      <c r="AA76" s="30">
        <v>1</v>
      </c>
      <c r="AB76" s="30"/>
      <c r="AC76" s="30"/>
      <c r="AD76" s="30" t="s">
        <v>69</v>
      </c>
      <c r="AE76" s="30"/>
      <c r="AF76" s="30"/>
      <c r="AG76" s="30" t="s">
        <v>157</v>
      </c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6"/>
      <c r="AS76" s="36"/>
      <c r="AT76" s="36"/>
      <c r="AU76" s="36"/>
      <c r="AV76" s="36"/>
      <c r="AW76" s="36"/>
      <c r="AX76" s="36"/>
      <c r="AY76" s="36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27"/>
      <c r="BL76" s="27"/>
    </row>
    <row r="77" spans="1:64">
      <c r="A77" s="25" t="s">
        <v>187</v>
      </c>
      <c r="B77" s="26">
        <v>46206</v>
      </c>
      <c r="C77" s="27">
        <v>30331</v>
      </c>
      <c r="D77" s="27" t="s">
        <v>475</v>
      </c>
      <c r="E77" s="27" t="s">
        <v>101</v>
      </c>
      <c r="F77" s="27" t="s">
        <v>59</v>
      </c>
      <c r="G77" s="27" t="s">
        <v>294</v>
      </c>
      <c r="H77" s="30" t="s">
        <v>276</v>
      </c>
      <c r="I77" s="31" t="s">
        <v>476</v>
      </c>
      <c r="J77" s="30" t="s">
        <v>477</v>
      </c>
      <c r="K77" s="27">
        <v>172</v>
      </c>
      <c r="L77" s="27">
        <v>355</v>
      </c>
      <c r="M77" s="27"/>
      <c r="N77" s="31"/>
      <c r="O77" s="27" t="s">
        <v>302</v>
      </c>
      <c r="P77" s="30"/>
      <c r="Q77" s="30" t="s">
        <v>66</v>
      </c>
      <c r="R77" s="26">
        <v>46216</v>
      </c>
      <c r="S77" s="26"/>
      <c r="T77" s="31"/>
      <c r="U77" s="30" t="s">
        <v>419</v>
      </c>
      <c r="V77" s="34" t="s">
        <v>90</v>
      </c>
      <c r="W77" s="27" t="s">
        <v>101</v>
      </c>
      <c r="X77" s="30">
        <v>1</v>
      </c>
      <c r="Y77" s="30">
        <v>1</v>
      </c>
      <c r="Z77" s="30">
        <v>1</v>
      </c>
      <c r="AA77" s="30"/>
      <c r="AB77" s="30"/>
      <c r="AC77" s="30"/>
      <c r="AD77" s="30" t="s">
        <v>69</v>
      </c>
      <c r="AE77" s="30"/>
      <c r="AF77" s="30"/>
      <c r="AG77" s="30"/>
      <c r="AH77" s="30" t="s">
        <v>478</v>
      </c>
      <c r="AI77" s="30"/>
      <c r="AJ77" s="30"/>
      <c r="AK77" s="30"/>
      <c r="AL77" s="30"/>
      <c r="AM77" s="30"/>
      <c r="AN77" s="30" t="s">
        <v>90</v>
      </c>
      <c r="AO77" s="30"/>
      <c r="AP77" s="30"/>
      <c r="AQ77" s="30"/>
      <c r="AR77" s="36"/>
      <c r="AS77" s="36"/>
      <c r="AT77" s="36"/>
      <c r="AU77" s="36"/>
      <c r="AV77" s="36"/>
      <c r="AW77" s="36"/>
      <c r="AX77" s="36"/>
      <c r="AY77" s="36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27"/>
      <c r="BL77" s="27"/>
    </row>
    <row r="78" spans="1:64">
      <c r="A78" s="25" t="s">
        <v>187</v>
      </c>
      <c r="B78" s="26">
        <v>46206</v>
      </c>
      <c r="C78" s="27">
        <v>30330</v>
      </c>
      <c r="D78" s="27" t="s">
        <v>479</v>
      </c>
      <c r="E78" s="27" t="s">
        <v>101</v>
      </c>
      <c r="F78" s="27" t="s">
        <v>59</v>
      </c>
      <c r="G78" s="27" t="s">
        <v>294</v>
      </c>
      <c r="H78" s="30" t="s">
        <v>415</v>
      </c>
      <c r="I78" s="31" t="s">
        <v>416</v>
      </c>
      <c r="J78" s="30" t="s">
        <v>417</v>
      </c>
      <c r="K78" s="27">
        <v>508</v>
      </c>
      <c r="L78" s="27">
        <v>799</v>
      </c>
      <c r="M78" s="27"/>
      <c r="N78" s="31"/>
      <c r="O78" s="27" t="s">
        <v>418</v>
      </c>
      <c r="P78" s="30"/>
      <c r="Q78" s="30" t="s">
        <v>66</v>
      </c>
      <c r="R78" s="26"/>
      <c r="S78" s="57">
        <v>46231</v>
      </c>
      <c r="T78" s="31"/>
      <c r="U78" s="30" t="s">
        <v>419</v>
      </c>
      <c r="V78" s="34" t="s">
        <v>90</v>
      </c>
      <c r="W78" s="27" t="s">
        <v>101</v>
      </c>
      <c r="X78" s="30">
        <v>1</v>
      </c>
      <c r="Y78" s="30">
        <v>1</v>
      </c>
      <c r="Z78" s="30">
        <v>1</v>
      </c>
      <c r="AA78" s="30"/>
      <c r="AB78" s="30"/>
      <c r="AC78" s="30"/>
      <c r="AD78" s="30" t="s">
        <v>69</v>
      </c>
      <c r="AE78" s="30"/>
      <c r="AF78" s="30"/>
      <c r="AG78" s="30"/>
      <c r="AH78" s="30"/>
      <c r="AI78" s="30" t="s">
        <v>418</v>
      </c>
      <c r="AJ78" s="30"/>
      <c r="AK78" s="30"/>
      <c r="AL78" s="30"/>
      <c r="AM78" s="30"/>
      <c r="AN78" s="30"/>
      <c r="AO78" s="30"/>
      <c r="AP78" s="30"/>
      <c r="AQ78" s="30"/>
      <c r="AR78" s="36"/>
      <c r="AS78" s="36"/>
      <c r="AT78" s="36"/>
      <c r="AU78" s="36"/>
      <c r="AV78" s="36"/>
      <c r="AW78" s="36"/>
      <c r="AX78" s="36"/>
      <c r="AY78" s="36"/>
      <c r="AZ78" s="30"/>
      <c r="BA78" s="30"/>
      <c r="BB78" s="30"/>
      <c r="BC78" s="30" t="s">
        <v>90</v>
      </c>
      <c r="BD78" s="30"/>
      <c r="BE78" s="30"/>
      <c r="BF78" s="30"/>
      <c r="BG78" s="30"/>
      <c r="BH78" s="30"/>
      <c r="BI78" s="30"/>
      <c r="BJ78" s="30"/>
      <c r="BK78" s="27"/>
      <c r="BL78" s="27"/>
    </row>
    <row r="79" spans="1:64">
      <c r="A79" s="25" t="s">
        <v>54</v>
      </c>
      <c r="B79" s="26">
        <v>46207</v>
      </c>
      <c r="C79" s="27">
        <v>30259</v>
      </c>
      <c r="D79" s="27"/>
      <c r="E79" s="27" t="s">
        <v>203</v>
      </c>
      <c r="F79" s="27" t="s">
        <v>59</v>
      </c>
      <c r="G79" s="27" t="s">
        <v>104</v>
      </c>
      <c r="H79" s="30" t="s">
        <v>151</v>
      </c>
      <c r="I79" s="31" t="s">
        <v>481</v>
      </c>
      <c r="J79" s="30" t="s">
        <v>151</v>
      </c>
      <c r="K79" s="27">
        <v>1</v>
      </c>
      <c r="L79" s="27" t="s">
        <v>205</v>
      </c>
      <c r="M79" s="27"/>
      <c r="N79" s="31" t="s">
        <v>154</v>
      </c>
      <c r="O79" s="27"/>
      <c r="P79" s="30"/>
      <c r="Q79" s="30" t="s">
        <v>66</v>
      </c>
      <c r="R79" s="26">
        <v>46209</v>
      </c>
      <c r="S79" s="26">
        <v>46210</v>
      </c>
      <c r="T79" s="31"/>
      <c r="U79" s="30" t="s">
        <v>68</v>
      </c>
      <c r="V79" s="34" t="s">
        <v>70</v>
      </c>
      <c r="W79" s="27" t="s">
        <v>208</v>
      </c>
      <c r="X79" s="30">
        <v>1</v>
      </c>
      <c r="Y79" s="30">
        <v>1</v>
      </c>
      <c r="Z79" s="30">
        <v>1</v>
      </c>
      <c r="AA79" s="30">
        <v>1</v>
      </c>
      <c r="AB79" s="30"/>
      <c r="AC79" s="30"/>
      <c r="AD79" s="30"/>
      <c r="AE79" s="30" t="s">
        <v>69</v>
      </c>
      <c r="AF79" s="30"/>
      <c r="AG79" s="30" t="s">
        <v>157</v>
      </c>
      <c r="AH79" s="30" t="s">
        <v>483</v>
      </c>
      <c r="AI79" s="30"/>
      <c r="AJ79" s="30"/>
      <c r="AK79" s="30"/>
      <c r="AL79" s="30"/>
      <c r="AM79" s="30"/>
      <c r="AN79" s="30"/>
      <c r="AO79" s="30"/>
      <c r="AP79" s="30"/>
      <c r="AQ79" s="30"/>
      <c r="AR79" s="36"/>
      <c r="AS79" s="36"/>
      <c r="AT79" s="36"/>
      <c r="AU79" s="36"/>
      <c r="AV79" s="36"/>
      <c r="AW79" s="36"/>
      <c r="AX79" s="36"/>
      <c r="AY79" s="36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27"/>
      <c r="BL79" s="27"/>
    </row>
    <row r="80" spans="1:64">
      <c r="A80" s="25" t="s">
        <v>54</v>
      </c>
      <c r="B80" s="26">
        <v>46207</v>
      </c>
      <c r="C80" s="27">
        <v>30263</v>
      </c>
      <c r="D80" s="27"/>
      <c r="E80" s="27" t="s">
        <v>203</v>
      </c>
      <c r="F80" s="27" t="s">
        <v>59</v>
      </c>
      <c r="G80" s="27" t="s">
        <v>104</v>
      </c>
      <c r="H80" s="30" t="s">
        <v>151</v>
      </c>
      <c r="I80" s="31" t="s">
        <v>485</v>
      </c>
      <c r="J80" s="30" t="s">
        <v>151</v>
      </c>
      <c r="K80" s="27">
        <v>1</v>
      </c>
      <c r="L80" s="27" t="s">
        <v>214</v>
      </c>
      <c r="M80" s="27"/>
      <c r="N80" s="31" t="s">
        <v>154</v>
      </c>
      <c r="O80" s="27"/>
      <c r="P80" s="30"/>
      <c r="Q80" s="30" t="s">
        <v>278</v>
      </c>
      <c r="R80" s="26">
        <v>46209</v>
      </c>
      <c r="S80" s="26">
        <v>46210</v>
      </c>
      <c r="T80" s="31"/>
      <c r="U80" s="30" t="s">
        <v>68</v>
      </c>
      <c r="V80" s="34" t="s">
        <v>70</v>
      </c>
      <c r="W80" s="27" t="s">
        <v>208</v>
      </c>
      <c r="X80" s="30">
        <v>1</v>
      </c>
      <c r="Y80" s="30">
        <v>1</v>
      </c>
      <c r="Z80" s="30">
        <v>1</v>
      </c>
      <c r="AA80" s="30">
        <v>1</v>
      </c>
      <c r="AB80" s="30"/>
      <c r="AC80" s="30"/>
      <c r="AD80" s="30"/>
      <c r="AE80" s="30" t="s">
        <v>69</v>
      </c>
      <c r="AF80" s="30"/>
      <c r="AG80" s="30" t="s">
        <v>157</v>
      </c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6"/>
      <c r="AS80" s="36"/>
      <c r="AT80" s="36"/>
      <c r="AU80" s="36"/>
      <c r="AV80" s="36"/>
      <c r="AW80" s="36"/>
      <c r="AX80" s="36"/>
      <c r="AY80" s="36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27"/>
      <c r="BL80" s="27"/>
    </row>
    <row r="81" spans="1:64">
      <c r="A81" s="25" t="s">
        <v>54</v>
      </c>
      <c r="B81" s="26">
        <v>46207</v>
      </c>
      <c r="C81" s="27">
        <v>30264</v>
      </c>
      <c r="D81" s="27"/>
      <c r="E81" s="27" t="s">
        <v>212</v>
      </c>
      <c r="F81" s="27" t="s">
        <v>59</v>
      </c>
      <c r="G81" s="27" t="s">
        <v>104</v>
      </c>
      <c r="H81" s="30" t="s">
        <v>60</v>
      </c>
      <c r="I81" s="31" t="s">
        <v>487</v>
      </c>
      <c r="J81" s="30" t="s">
        <v>60</v>
      </c>
      <c r="K81" s="27">
        <v>1</v>
      </c>
      <c r="L81" s="27" t="s">
        <v>205</v>
      </c>
      <c r="M81" s="27"/>
      <c r="N81" s="31" t="s">
        <v>81</v>
      </c>
      <c r="O81" s="27"/>
      <c r="P81" s="30"/>
      <c r="Q81" s="30" t="s">
        <v>66</v>
      </c>
      <c r="R81" s="26">
        <v>46209</v>
      </c>
      <c r="S81" s="26">
        <v>46211</v>
      </c>
      <c r="T81" s="31"/>
      <c r="U81" s="30" t="s">
        <v>68</v>
      </c>
      <c r="V81" s="34" t="s">
        <v>70</v>
      </c>
      <c r="W81" s="27" t="s">
        <v>208</v>
      </c>
      <c r="X81" s="30">
        <v>1</v>
      </c>
      <c r="Y81" s="30">
        <v>1</v>
      </c>
      <c r="Z81" s="30">
        <v>1</v>
      </c>
      <c r="AA81" s="30">
        <v>1</v>
      </c>
      <c r="AB81" s="30"/>
      <c r="AC81" s="30"/>
      <c r="AD81" s="30"/>
      <c r="AE81" s="30" t="s">
        <v>69</v>
      </c>
      <c r="AF81" s="30"/>
      <c r="AG81" s="30" t="s">
        <v>88</v>
      </c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6"/>
      <c r="AS81" s="36"/>
      <c r="AT81" s="36"/>
      <c r="AU81" s="36"/>
      <c r="AV81" s="36"/>
      <c r="AW81" s="36"/>
      <c r="AX81" s="36"/>
      <c r="AY81" s="36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27"/>
      <c r="BL81" s="27"/>
    </row>
    <row r="82" spans="1:64">
      <c r="A82" s="25" t="s">
        <v>54</v>
      </c>
      <c r="B82" s="26">
        <v>46207</v>
      </c>
      <c r="C82" s="27">
        <v>30260</v>
      </c>
      <c r="D82" s="27"/>
      <c r="E82" s="27" t="s">
        <v>203</v>
      </c>
      <c r="F82" s="27" t="s">
        <v>59</v>
      </c>
      <c r="G82" s="27" t="s">
        <v>104</v>
      </c>
      <c r="H82" s="30" t="s">
        <v>383</v>
      </c>
      <c r="I82" s="31" t="s">
        <v>490</v>
      </c>
      <c r="J82" s="30" t="s">
        <v>383</v>
      </c>
      <c r="K82" s="27">
        <v>1</v>
      </c>
      <c r="L82" s="27" t="s">
        <v>205</v>
      </c>
      <c r="M82" s="27"/>
      <c r="N82" s="31" t="s">
        <v>258</v>
      </c>
      <c r="O82" s="27"/>
      <c r="P82" s="30"/>
      <c r="Q82" s="30" t="s">
        <v>491</v>
      </c>
      <c r="R82" s="26">
        <v>46210</v>
      </c>
      <c r="S82" s="26">
        <v>46211</v>
      </c>
      <c r="T82" s="31"/>
      <c r="U82" s="30" t="s">
        <v>68</v>
      </c>
      <c r="V82" s="34" t="s">
        <v>70</v>
      </c>
      <c r="W82" s="27" t="s">
        <v>208</v>
      </c>
      <c r="X82" s="30">
        <v>1</v>
      </c>
      <c r="Y82" s="30">
        <v>1</v>
      </c>
      <c r="Z82" s="30">
        <v>1</v>
      </c>
      <c r="AA82" s="30">
        <v>1</v>
      </c>
      <c r="AB82" s="30"/>
      <c r="AC82" s="30"/>
      <c r="AD82" s="30"/>
      <c r="AE82" s="30" t="s">
        <v>69</v>
      </c>
      <c r="AF82" s="30"/>
      <c r="AG82" s="30"/>
      <c r="AH82" s="30" t="s">
        <v>260</v>
      </c>
      <c r="AI82" s="30"/>
      <c r="AJ82" s="30"/>
      <c r="AK82" s="30"/>
      <c r="AL82" s="30"/>
      <c r="AM82" s="30"/>
      <c r="AN82" s="30"/>
      <c r="AO82" s="30"/>
      <c r="AP82" s="30"/>
      <c r="AQ82" s="30"/>
      <c r="AR82" s="36"/>
      <c r="AS82" s="36"/>
      <c r="AT82" s="36"/>
      <c r="AU82" s="36"/>
      <c r="AV82" s="36"/>
      <c r="AW82" s="36"/>
      <c r="AX82" s="36"/>
      <c r="AY82" s="36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27"/>
      <c r="BL82" s="27"/>
    </row>
    <row r="83" spans="1:64">
      <c r="A83" s="25" t="s">
        <v>54</v>
      </c>
      <c r="B83" s="26">
        <v>46207</v>
      </c>
      <c r="C83" s="27">
        <v>30262</v>
      </c>
      <c r="D83" s="27"/>
      <c r="E83" s="27" t="s">
        <v>212</v>
      </c>
      <c r="F83" s="27" t="s">
        <v>59</v>
      </c>
      <c r="G83" s="27" t="s">
        <v>104</v>
      </c>
      <c r="H83" s="30" t="s">
        <v>60</v>
      </c>
      <c r="I83" s="31" t="s">
        <v>492</v>
      </c>
      <c r="J83" s="30" t="s">
        <v>60</v>
      </c>
      <c r="K83" s="27">
        <v>1</v>
      </c>
      <c r="L83" s="27" t="s">
        <v>205</v>
      </c>
      <c r="M83" s="27"/>
      <c r="N83" s="31" t="s">
        <v>81</v>
      </c>
      <c r="O83" s="27"/>
      <c r="P83" s="30"/>
      <c r="Q83" s="30" t="s">
        <v>66</v>
      </c>
      <c r="R83" s="26">
        <v>46209</v>
      </c>
      <c r="S83" s="26">
        <v>46211</v>
      </c>
      <c r="T83" s="31"/>
      <c r="U83" s="30" t="s">
        <v>68</v>
      </c>
      <c r="V83" s="34" t="s">
        <v>70</v>
      </c>
      <c r="W83" s="27" t="s">
        <v>208</v>
      </c>
      <c r="X83" s="30">
        <v>1</v>
      </c>
      <c r="Y83" s="30">
        <v>1</v>
      </c>
      <c r="Z83" s="30">
        <v>1</v>
      </c>
      <c r="AA83" s="30">
        <v>1</v>
      </c>
      <c r="AB83" s="30"/>
      <c r="AC83" s="30"/>
      <c r="AD83" s="30"/>
      <c r="AE83" s="30" t="s">
        <v>69</v>
      </c>
      <c r="AF83" s="30"/>
      <c r="AG83" s="30" t="s">
        <v>88</v>
      </c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6"/>
      <c r="AS83" s="36"/>
      <c r="AT83" s="36"/>
      <c r="AU83" s="36"/>
      <c r="AV83" s="36"/>
      <c r="AW83" s="36"/>
      <c r="AX83" s="36"/>
      <c r="AY83" s="36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27"/>
      <c r="BL83" s="27"/>
    </row>
    <row r="84" spans="1:64">
      <c r="A84" s="25" t="s">
        <v>54</v>
      </c>
      <c r="B84" s="26">
        <v>46207</v>
      </c>
      <c r="C84" s="27">
        <v>30261</v>
      </c>
      <c r="D84" s="27"/>
      <c r="E84" s="27" t="s">
        <v>203</v>
      </c>
      <c r="F84" s="27" t="s">
        <v>59</v>
      </c>
      <c r="G84" s="27" t="s">
        <v>104</v>
      </c>
      <c r="H84" s="30" t="s">
        <v>60</v>
      </c>
      <c r="I84" s="31" t="s">
        <v>446</v>
      </c>
      <c r="J84" s="30" t="s">
        <v>60</v>
      </c>
      <c r="K84" s="27">
        <v>1</v>
      </c>
      <c r="L84" s="27" t="s">
        <v>205</v>
      </c>
      <c r="M84" s="27"/>
      <c r="N84" s="31" t="s">
        <v>81</v>
      </c>
      <c r="O84" s="27"/>
      <c r="P84" s="30"/>
      <c r="Q84" s="30" t="s">
        <v>66</v>
      </c>
      <c r="R84" s="26">
        <v>46209</v>
      </c>
      <c r="S84" s="26">
        <v>46211</v>
      </c>
      <c r="T84" s="31"/>
      <c r="U84" s="30" t="s">
        <v>68</v>
      </c>
      <c r="V84" s="34" t="s">
        <v>70</v>
      </c>
      <c r="W84" s="27" t="s">
        <v>208</v>
      </c>
      <c r="X84" s="30">
        <v>1</v>
      </c>
      <c r="Y84" s="30">
        <v>1</v>
      </c>
      <c r="Z84" s="30">
        <v>1</v>
      </c>
      <c r="AA84" s="30">
        <v>1</v>
      </c>
      <c r="AB84" s="30"/>
      <c r="AC84" s="30"/>
      <c r="AD84" s="30"/>
      <c r="AE84" s="30" t="s">
        <v>69</v>
      </c>
      <c r="AF84" s="30"/>
      <c r="AG84" s="30" t="s">
        <v>88</v>
      </c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6"/>
      <c r="AS84" s="36"/>
      <c r="AT84" s="36"/>
      <c r="AU84" s="36"/>
      <c r="AV84" s="36"/>
      <c r="AW84" s="36"/>
      <c r="AX84" s="36"/>
      <c r="AY84" s="36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27"/>
      <c r="BL84" s="27"/>
    </row>
    <row r="85" spans="1:64">
      <c r="A85" s="25" t="s">
        <v>54</v>
      </c>
      <c r="B85" s="26">
        <v>46207</v>
      </c>
      <c r="C85" s="27">
        <v>30258</v>
      </c>
      <c r="D85" s="27"/>
      <c r="E85" s="27" t="s">
        <v>203</v>
      </c>
      <c r="F85" s="27" t="s">
        <v>59</v>
      </c>
      <c r="G85" s="27" t="s">
        <v>104</v>
      </c>
      <c r="H85" s="30" t="s">
        <v>175</v>
      </c>
      <c r="I85" s="31" t="s">
        <v>494</v>
      </c>
      <c r="J85" s="30" t="s">
        <v>175</v>
      </c>
      <c r="K85" s="27">
        <v>1</v>
      </c>
      <c r="L85" s="27" t="s">
        <v>205</v>
      </c>
      <c r="M85" s="27"/>
      <c r="N85" s="31" t="s">
        <v>154</v>
      </c>
      <c r="O85" s="27"/>
      <c r="P85" s="30"/>
      <c r="Q85" s="30" t="s">
        <v>66</v>
      </c>
      <c r="R85" s="26">
        <v>46209</v>
      </c>
      <c r="S85" s="26">
        <v>46210</v>
      </c>
      <c r="T85" s="31"/>
      <c r="U85" s="30" t="s">
        <v>68</v>
      </c>
      <c r="V85" s="34" t="s">
        <v>70</v>
      </c>
      <c r="W85" s="27" t="s">
        <v>208</v>
      </c>
      <c r="X85" s="30">
        <v>1</v>
      </c>
      <c r="Y85" s="30">
        <v>1</v>
      </c>
      <c r="Z85" s="30">
        <v>1</v>
      </c>
      <c r="AA85" s="30">
        <v>1</v>
      </c>
      <c r="AB85" s="30"/>
      <c r="AC85" s="30"/>
      <c r="AD85" s="30"/>
      <c r="AE85" s="30" t="s">
        <v>69</v>
      </c>
      <c r="AF85" s="30"/>
      <c r="AG85" s="30" t="s">
        <v>154</v>
      </c>
      <c r="AH85" s="30" t="s">
        <v>90</v>
      </c>
      <c r="AI85" s="30"/>
      <c r="AJ85" s="30"/>
      <c r="AK85" s="30"/>
      <c r="AL85" s="30"/>
      <c r="AM85" s="30"/>
      <c r="AN85" s="30"/>
      <c r="AO85" s="30"/>
      <c r="AP85" s="30"/>
      <c r="AQ85" s="30"/>
      <c r="AR85" s="36"/>
      <c r="AS85" s="36"/>
      <c r="AT85" s="36"/>
      <c r="AU85" s="36"/>
      <c r="AV85" s="36"/>
      <c r="AW85" s="36"/>
      <c r="AX85" s="36"/>
      <c r="AY85" s="36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27"/>
      <c r="BL85" s="27"/>
    </row>
    <row r="86" spans="1:64">
      <c r="A86" s="25" t="s">
        <v>187</v>
      </c>
      <c r="B86" s="26">
        <v>46207</v>
      </c>
      <c r="C86" s="27">
        <v>30299</v>
      </c>
      <c r="D86" s="27"/>
      <c r="E86" s="27" t="s">
        <v>465</v>
      </c>
      <c r="F86" s="27" t="s">
        <v>59</v>
      </c>
      <c r="G86" s="27" t="s">
        <v>60</v>
      </c>
      <c r="H86" s="30" t="s">
        <v>130</v>
      </c>
      <c r="I86" s="31" t="s">
        <v>495</v>
      </c>
      <c r="J86" s="30" t="s">
        <v>496</v>
      </c>
      <c r="K86" s="27">
        <v>56</v>
      </c>
      <c r="L86" s="27">
        <v>268.8</v>
      </c>
      <c r="M86" s="27"/>
      <c r="N86" s="31" t="s">
        <v>275</v>
      </c>
      <c r="O86" s="27"/>
      <c r="P86" s="30"/>
      <c r="Q86" s="30" t="s">
        <v>66</v>
      </c>
      <c r="R86" s="26">
        <v>46210</v>
      </c>
      <c r="S86" s="27"/>
      <c r="T86" s="31"/>
      <c r="U86" s="30" t="s">
        <v>68</v>
      </c>
      <c r="V86" s="34" t="s">
        <v>70</v>
      </c>
      <c r="W86" s="27" t="s">
        <v>71</v>
      </c>
      <c r="X86" s="30">
        <v>1</v>
      </c>
      <c r="Y86" s="30">
        <v>1</v>
      </c>
      <c r="Z86" s="30">
        <v>1</v>
      </c>
      <c r="AA86" s="30">
        <v>1</v>
      </c>
      <c r="AB86" s="30"/>
      <c r="AC86" s="30"/>
      <c r="AD86" s="30"/>
      <c r="AE86" s="30" t="s">
        <v>69</v>
      </c>
      <c r="AF86" s="30"/>
      <c r="AG86" s="30" t="s">
        <v>275</v>
      </c>
      <c r="AH86" s="30" t="s">
        <v>90</v>
      </c>
      <c r="AI86" s="30"/>
      <c r="AJ86" s="30"/>
      <c r="AK86" s="30"/>
      <c r="AL86" s="30"/>
      <c r="AM86" s="30"/>
      <c r="AN86" s="30"/>
      <c r="AO86" s="30"/>
      <c r="AP86" s="30"/>
      <c r="AQ86" s="30"/>
      <c r="AR86" s="36"/>
      <c r="AS86" s="36"/>
      <c r="AT86" s="36"/>
      <c r="AU86" s="36"/>
      <c r="AV86" s="36"/>
      <c r="AW86" s="36"/>
      <c r="AX86" s="36"/>
      <c r="AY86" s="36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27"/>
      <c r="BL86" s="27"/>
    </row>
    <row r="87" spans="1:64">
      <c r="A87" s="25" t="s">
        <v>187</v>
      </c>
      <c r="B87" s="26">
        <v>46207</v>
      </c>
      <c r="C87" s="27">
        <v>30300</v>
      </c>
      <c r="D87" s="27"/>
      <c r="E87" s="27" t="s">
        <v>367</v>
      </c>
      <c r="F87" s="27" t="s">
        <v>59</v>
      </c>
      <c r="G87" s="27" t="s">
        <v>104</v>
      </c>
      <c r="H87" s="30" t="s">
        <v>498</v>
      </c>
      <c r="I87" s="31" t="s">
        <v>499</v>
      </c>
      <c r="J87" s="30" t="s">
        <v>500</v>
      </c>
      <c r="K87" s="27">
        <v>34</v>
      </c>
      <c r="L87" s="27"/>
      <c r="M87" s="27"/>
      <c r="N87" s="31"/>
      <c r="O87" s="27" t="s">
        <v>302</v>
      </c>
      <c r="P87" s="30"/>
      <c r="Q87" s="30" t="s">
        <v>501</v>
      </c>
      <c r="R87" s="26">
        <v>46224</v>
      </c>
      <c r="S87" s="27"/>
      <c r="T87" s="31"/>
      <c r="U87" s="30" t="s">
        <v>419</v>
      </c>
      <c r="V87" s="34" t="s">
        <v>90</v>
      </c>
      <c r="W87" s="27" t="s">
        <v>320</v>
      </c>
      <c r="X87" s="30">
        <v>2</v>
      </c>
      <c r="Y87" s="30">
        <v>2</v>
      </c>
      <c r="Z87" s="30">
        <v>2</v>
      </c>
      <c r="AA87" s="30"/>
      <c r="AB87" s="30"/>
      <c r="AC87" s="30"/>
      <c r="AD87" s="30"/>
      <c r="AE87" s="30" t="s">
        <v>69</v>
      </c>
      <c r="AF87" s="30"/>
      <c r="AG87" s="30" t="s">
        <v>302</v>
      </c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6"/>
      <c r="AS87" s="36"/>
      <c r="AT87" s="36"/>
      <c r="AU87" s="36"/>
      <c r="AV87" s="36" t="s">
        <v>90</v>
      </c>
      <c r="AW87" s="36"/>
      <c r="AX87" s="36"/>
      <c r="AY87" s="36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27"/>
      <c r="BL87" s="27"/>
    </row>
    <row r="88" spans="1:64">
      <c r="A88" s="25" t="s">
        <v>54</v>
      </c>
      <c r="B88" s="26">
        <v>46207</v>
      </c>
      <c r="C88" s="27">
        <v>28523</v>
      </c>
      <c r="D88" s="27"/>
      <c r="E88" s="27" t="s">
        <v>367</v>
      </c>
      <c r="F88" s="27" t="s">
        <v>59</v>
      </c>
      <c r="G88" s="27" t="s">
        <v>104</v>
      </c>
      <c r="H88" s="30" t="s">
        <v>315</v>
      </c>
      <c r="I88" s="31" t="s">
        <v>502</v>
      </c>
      <c r="J88" s="30" t="s">
        <v>317</v>
      </c>
      <c r="K88" s="27">
        <v>8</v>
      </c>
      <c r="L88" s="27">
        <v>281</v>
      </c>
      <c r="M88" s="27"/>
      <c r="N88" s="31" t="s">
        <v>247</v>
      </c>
      <c r="O88" s="27"/>
      <c r="P88" s="30"/>
      <c r="Q88" s="30" t="s">
        <v>66</v>
      </c>
      <c r="R88" s="26">
        <v>46210</v>
      </c>
      <c r="S88" s="26">
        <v>46211</v>
      </c>
      <c r="T88" s="31"/>
      <c r="U88" s="30" t="s">
        <v>68</v>
      </c>
      <c r="V88" s="34" t="s">
        <v>70</v>
      </c>
      <c r="W88" s="27" t="s">
        <v>284</v>
      </c>
      <c r="X88" s="30">
        <v>1</v>
      </c>
      <c r="Y88" s="30">
        <v>1</v>
      </c>
      <c r="Z88" s="30">
        <v>1</v>
      </c>
      <c r="AA88" s="30">
        <v>1</v>
      </c>
      <c r="AB88" s="30"/>
      <c r="AC88" s="30"/>
      <c r="AD88" s="30"/>
      <c r="AE88" s="30" t="s">
        <v>503</v>
      </c>
      <c r="AF88" s="30" t="s">
        <v>321</v>
      </c>
      <c r="AG88" s="30"/>
      <c r="AH88" s="30" t="s">
        <v>251</v>
      </c>
      <c r="AI88" s="30"/>
      <c r="AJ88" s="30"/>
      <c r="AK88" s="30"/>
      <c r="AL88" s="30"/>
      <c r="AM88" s="30"/>
      <c r="AN88" s="30"/>
      <c r="AO88" s="30"/>
      <c r="AP88" s="30"/>
      <c r="AQ88" s="30"/>
      <c r="AR88" s="36"/>
      <c r="AS88" s="36"/>
      <c r="AT88" s="36"/>
      <c r="AU88" s="36"/>
      <c r="AV88" s="36"/>
      <c r="AW88" s="36"/>
      <c r="AX88" s="36"/>
      <c r="AY88" s="36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27"/>
      <c r="BL88" s="27"/>
    </row>
    <row r="89" spans="1:64">
      <c r="A89" s="25" t="s">
        <v>54</v>
      </c>
      <c r="B89" s="26">
        <v>46207</v>
      </c>
      <c r="C89" s="27"/>
      <c r="D89" s="27">
        <v>43884</v>
      </c>
      <c r="E89" s="27" t="s">
        <v>284</v>
      </c>
      <c r="F89" s="27" t="s">
        <v>48</v>
      </c>
      <c r="G89" s="27" t="s">
        <v>110</v>
      </c>
      <c r="H89" s="30" t="s">
        <v>170</v>
      </c>
      <c r="I89" s="31" t="s">
        <v>505</v>
      </c>
      <c r="J89" s="30" t="s">
        <v>506</v>
      </c>
      <c r="K89" s="27">
        <v>2</v>
      </c>
      <c r="L89" s="27">
        <v>24</v>
      </c>
      <c r="M89" s="27"/>
      <c r="N89" s="31" t="s">
        <v>507</v>
      </c>
      <c r="O89" s="27"/>
      <c r="P89" s="30"/>
      <c r="Q89" s="30" t="s">
        <v>66</v>
      </c>
      <c r="R89" s="26">
        <v>46212</v>
      </c>
      <c r="S89" s="26">
        <v>46216</v>
      </c>
      <c r="T89" s="31"/>
      <c r="U89" s="30" t="s">
        <v>68</v>
      </c>
      <c r="V89" s="34" t="s">
        <v>70</v>
      </c>
      <c r="W89" s="27" t="s">
        <v>284</v>
      </c>
      <c r="X89" s="30">
        <v>3</v>
      </c>
      <c r="Y89" s="30">
        <v>2</v>
      </c>
      <c r="Z89" s="30">
        <v>3</v>
      </c>
      <c r="AA89" s="30">
        <v>1</v>
      </c>
      <c r="AB89" s="30"/>
      <c r="AC89" s="30"/>
      <c r="AD89" s="30"/>
      <c r="AE89" s="30" t="s">
        <v>118</v>
      </c>
      <c r="AF89" s="30"/>
      <c r="AG89" s="30"/>
      <c r="AH89" s="30" t="s">
        <v>508</v>
      </c>
      <c r="AI89" s="30"/>
      <c r="AJ89" s="30" t="s">
        <v>509</v>
      </c>
      <c r="AK89" s="30"/>
      <c r="AL89" s="30"/>
      <c r="AM89" s="30"/>
      <c r="AN89" s="30"/>
      <c r="AO89" s="30"/>
      <c r="AP89" s="30"/>
      <c r="AQ89" s="30"/>
      <c r="AR89" s="36"/>
      <c r="AS89" s="36"/>
      <c r="AT89" s="36"/>
      <c r="AU89" s="36"/>
      <c r="AV89" s="36"/>
      <c r="AW89" s="36"/>
      <c r="AX89" s="36"/>
      <c r="AY89" s="36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27"/>
      <c r="BL89" s="27"/>
    </row>
    <row r="90" spans="1:64">
      <c r="A90" s="25" t="s">
        <v>54</v>
      </c>
      <c r="B90" s="26">
        <v>46207</v>
      </c>
      <c r="C90" s="27"/>
      <c r="D90" s="27">
        <v>43908</v>
      </c>
      <c r="E90" s="27" t="s">
        <v>284</v>
      </c>
      <c r="F90" s="27" t="s">
        <v>48</v>
      </c>
      <c r="G90" s="27" t="s">
        <v>110</v>
      </c>
      <c r="H90" s="30" t="s">
        <v>510</v>
      </c>
      <c r="I90" s="31" t="s">
        <v>511</v>
      </c>
      <c r="J90" s="30" t="s">
        <v>512</v>
      </c>
      <c r="K90" s="27">
        <v>34</v>
      </c>
      <c r="L90" s="27">
        <v>146</v>
      </c>
      <c r="M90" s="27"/>
      <c r="N90" s="31" t="s">
        <v>318</v>
      </c>
      <c r="O90" s="27"/>
      <c r="P90" s="30"/>
      <c r="Q90" s="30" t="s">
        <v>66</v>
      </c>
      <c r="R90" s="26">
        <v>46209</v>
      </c>
      <c r="S90" s="26">
        <v>46216</v>
      </c>
      <c r="T90" s="31"/>
      <c r="U90" s="30" t="s">
        <v>68</v>
      </c>
      <c r="V90" s="34" t="s">
        <v>70</v>
      </c>
      <c r="W90" s="27" t="s">
        <v>284</v>
      </c>
      <c r="X90" s="30">
        <v>1</v>
      </c>
      <c r="Y90" s="30">
        <v>1</v>
      </c>
      <c r="Z90" s="30">
        <v>1</v>
      </c>
      <c r="AA90" s="30">
        <v>1</v>
      </c>
      <c r="AB90" s="30"/>
      <c r="AC90" s="30"/>
      <c r="AD90" s="30"/>
      <c r="AE90" s="30" t="s">
        <v>275</v>
      </c>
      <c r="AF90" s="30" t="s">
        <v>321</v>
      </c>
      <c r="AG90" s="30" t="s">
        <v>322</v>
      </c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6"/>
      <c r="AS90" s="36"/>
      <c r="AT90" s="36"/>
      <c r="AU90" s="36"/>
      <c r="AV90" s="36"/>
      <c r="AW90" s="36"/>
      <c r="AX90" s="36"/>
      <c r="AY90" s="36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27"/>
      <c r="BL90" s="27"/>
    </row>
    <row r="91" spans="1:64">
      <c r="A91" s="25" t="s">
        <v>54</v>
      </c>
      <c r="B91" s="26">
        <v>46207</v>
      </c>
      <c r="C91" s="27"/>
      <c r="D91" s="27">
        <v>136392</v>
      </c>
      <c r="E91" s="27" t="s">
        <v>284</v>
      </c>
      <c r="F91" s="27" t="s">
        <v>48</v>
      </c>
      <c r="G91" s="27" t="s">
        <v>110</v>
      </c>
      <c r="H91" s="30" t="s">
        <v>513</v>
      </c>
      <c r="I91" s="31" t="s">
        <v>514</v>
      </c>
      <c r="J91" s="30" t="s">
        <v>515</v>
      </c>
      <c r="K91" s="27">
        <v>10</v>
      </c>
      <c r="L91" s="27">
        <v>83</v>
      </c>
      <c r="M91" s="27"/>
      <c r="N91" s="31" t="s">
        <v>318</v>
      </c>
      <c r="O91" s="27"/>
      <c r="P91" s="30"/>
      <c r="Q91" s="30" t="s">
        <v>66</v>
      </c>
      <c r="R91" s="26">
        <v>46210</v>
      </c>
      <c r="S91" s="26">
        <v>46216</v>
      </c>
      <c r="T91" s="31"/>
      <c r="U91" s="30" t="s">
        <v>68</v>
      </c>
      <c r="V91" s="34" t="s">
        <v>70</v>
      </c>
      <c r="W91" s="27" t="s">
        <v>284</v>
      </c>
      <c r="X91" s="30">
        <v>1</v>
      </c>
      <c r="Y91" s="30">
        <v>1</v>
      </c>
      <c r="Z91" s="30">
        <v>1</v>
      </c>
      <c r="AA91" s="30">
        <v>1</v>
      </c>
      <c r="AB91" s="30"/>
      <c r="AC91" s="30"/>
      <c r="AD91" s="30"/>
      <c r="AE91" s="30" t="s">
        <v>275</v>
      </c>
      <c r="AF91" s="30" t="s">
        <v>321</v>
      </c>
      <c r="AG91" s="30" t="s">
        <v>318</v>
      </c>
      <c r="AH91" s="30" t="s">
        <v>41</v>
      </c>
      <c r="AI91" s="30"/>
      <c r="AJ91" s="30"/>
      <c r="AK91" s="30"/>
      <c r="AL91" s="30"/>
      <c r="AM91" s="30"/>
      <c r="AN91" s="30"/>
      <c r="AO91" s="30"/>
      <c r="AP91" s="30"/>
      <c r="AQ91" s="30"/>
      <c r="AR91" s="36"/>
      <c r="AS91" s="36"/>
      <c r="AT91" s="36"/>
      <c r="AU91" s="36"/>
      <c r="AV91" s="36"/>
      <c r="AW91" s="36"/>
      <c r="AX91" s="36"/>
      <c r="AY91" s="36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27"/>
      <c r="BL91" s="27"/>
    </row>
    <row r="92" spans="1:64">
      <c r="A92" s="25" t="s">
        <v>54</v>
      </c>
      <c r="B92" s="26">
        <v>46207</v>
      </c>
      <c r="C92" s="27"/>
      <c r="D92" s="27">
        <v>43883</v>
      </c>
      <c r="E92" s="27" t="s">
        <v>284</v>
      </c>
      <c r="F92" s="27" t="s">
        <v>48</v>
      </c>
      <c r="G92" s="27" t="s">
        <v>110</v>
      </c>
      <c r="H92" s="30" t="s">
        <v>412</v>
      </c>
      <c r="I92" s="31" t="s">
        <v>517</v>
      </c>
      <c r="J92" s="30" t="s">
        <v>518</v>
      </c>
      <c r="K92" s="27">
        <v>1</v>
      </c>
      <c r="L92" s="27">
        <v>3</v>
      </c>
      <c r="M92" s="48">
        <v>46031</v>
      </c>
      <c r="N92" s="31" t="s">
        <v>507</v>
      </c>
      <c r="O92" s="27"/>
      <c r="P92" s="30"/>
      <c r="Q92" s="30" t="s">
        <v>519</v>
      </c>
      <c r="R92" s="26">
        <v>46212</v>
      </c>
      <c r="S92" s="26">
        <v>46216</v>
      </c>
      <c r="T92" s="31"/>
      <c r="U92" s="30" t="s">
        <v>68</v>
      </c>
      <c r="V92" s="34" t="s">
        <v>70</v>
      </c>
      <c r="W92" s="27" t="s">
        <v>284</v>
      </c>
      <c r="X92" s="30">
        <v>3</v>
      </c>
      <c r="Y92" s="30">
        <v>2</v>
      </c>
      <c r="Z92" s="30">
        <v>3</v>
      </c>
      <c r="AA92" s="30">
        <v>1</v>
      </c>
      <c r="AB92" s="30"/>
      <c r="AC92" s="30"/>
      <c r="AD92" s="30"/>
      <c r="AE92" s="30" t="s">
        <v>118</v>
      </c>
      <c r="AF92" s="30"/>
      <c r="AG92" s="30"/>
      <c r="AH92" s="30" t="s">
        <v>508</v>
      </c>
      <c r="AI92" s="30"/>
      <c r="AJ92" s="30" t="s">
        <v>509</v>
      </c>
      <c r="AK92" s="30"/>
      <c r="AL92" s="30"/>
      <c r="AM92" s="30"/>
      <c r="AN92" s="30"/>
      <c r="AO92" s="30"/>
      <c r="AP92" s="30"/>
      <c r="AQ92" s="30"/>
      <c r="AR92" s="36"/>
      <c r="AS92" s="36"/>
      <c r="AT92" s="36"/>
      <c r="AU92" s="36"/>
      <c r="AV92" s="36"/>
      <c r="AW92" s="36"/>
      <c r="AX92" s="36"/>
      <c r="AY92" s="36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27"/>
      <c r="BL92" s="27"/>
    </row>
    <row r="93" spans="1:64">
      <c r="A93" s="25" t="s">
        <v>54</v>
      </c>
      <c r="B93" s="26">
        <v>46207</v>
      </c>
      <c r="C93" s="27"/>
      <c r="D93" s="27">
        <v>38335</v>
      </c>
      <c r="E93" s="27" t="s">
        <v>284</v>
      </c>
      <c r="F93" s="27" t="s">
        <v>48</v>
      </c>
      <c r="G93" s="27" t="s">
        <v>110</v>
      </c>
      <c r="H93" s="30" t="s">
        <v>412</v>
      </c>
      <c r="I93" s="31" t="s">
        <v>517</v>
      </c>
      <c r="J93" s="30" t="s">
        <v>518</v>
      </c>
      <c r="K93" s="27">
        <v>1</v>
      </c>
      <c r="L93" s="27">
        <v>7</v>
      </c>
      <c r="M93" s="48">
        <v>46031</v>
      </c>
      <c r="N93" s="31" t="s">
        <v>507</v>
      </c>
      <c r="O93" s="27"/>
      <c r="P93" s="30"/>
      <c r="Q93" s="30" t="s">
        <v>519</v>
      </c>
      <c r="R93" s="26">
        <v>46212</v>
      </c>
      <c r="S93" s="26">
        <v>46216</v>
      </c>
      <c r="T93" s="31"/>
      <c r="U93" s="30" t="s">
        <v>68</v>
      </c>
      <c r="V93" s="34" t="s">
        <v>70</v>
      </c>
      <c r="W93" s="27" t="s">
        <v>284</v>
      </c>
      <c r="X93" s="30">
        <v>3</v>
      </c>
      <c r="Y93" s="30">
        <v>2</v>
      </c>
      <c r="Z93" s="30">
        <v>3</v>
      </c>
      <c r="AA93" s="30">
        <v>1</v>
      </c>
      <c r="AB93" s="30"/>
      <c r="AC93" s="30"/>
      <c r="AD93" s="30"/>
      <c r="AE93" s="30" t="s">
        <v>118</v>
      </c>
      <c r="AF93" s="30"/>
      <c r="AG93" s="30"/>
      <c r="AH93" s="30" t="s">
        <v>508</v>
      </c>
      <c r="AI93" s="30"/>
      <c r="AJ93" s="30" t="s">
        <v>509</v>
      </c>
      <c r="AK93" s="30"/>
      <c r="AL93" s="30"/>
      <c r="AM93" s="30"/>
      <c r="AN93" s="30"/>
      <c r="AO93" s="30"/>
      <c r="AP93" s="30"/>
      <c r="AQ93" s="30"/>
      <c r="AR93" s="36"/>
      <c r="AS93" s="36"/>
      <c r="AT93" s="36"/>
      <c r="AU93" s="36"/>
      <c r="AV93" s="36"/>
      <c r="AW93" s="36"/>
      <c r="AX93" s="36"/>
      <c r="AY93" s="36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27"/>
      <c r="BL93" s="27"/>
    </row>
    <row r="94" spans="1:64">
      <c r="A94" s="25" t="s">
        <v>54</v>
      </c>
      <c r="B94" s="26">
        <v>46207</v>
      </c>
      <c r="C94" s="27"/>
      <c r="D94" s="27">
        <v>43823</v>
      </c>
      <c r="E94" s="27" t="s">
        <v>284</v>
      </c>
      <c r="F94" s="27" t="s">
        <v>48</v>
      </c>
      <c r="G94" s="27" t="s">
        <v>110</v>
      </c>
      <c r="H94" s="30" t="s">
        <v>522</v>
      </c>
      <c r="I94" s="31" t="s">
        <v>523</v>
      </c>
      <c r="J94" s="30" t="s">
        <v>524</v>
      </c>
      <c r="K94" s="27">
        <v>1</v>
      </c>
      <c r="L94" s="27">
        <v>35</v>
      </c>
      <c r="M94" s="27"/>
      <c r="N94" s="31" t="s">
        <v>318</v>
      </c>
      <c r="O94" s="27"/>
      <c r="P94" s="30"/>
      <c r="Q94" s="30" t="s">
        <v>66</v>
      </c>
      <c r="R94" s="26">
        <v>46210</v>
      </c>
      <c r="S94" s="26">
        <v>46216</v>
      </c>
      <c r="T94" s="31"/>
      <c r="U94" s="30" t="s">
        <v>68</v>
      </c>
      <c r="V94" s="34" t="s">
        <v>70</v>
      </c>
      <c r="W94" s="27" t="s">
        <v>284</v>
      </c>
      <c r="X94" s="30">
        <v>1</v>
      </c>
      <c r="Y94" s="30">
        <v>1</v>
      </c>
      <c r="Z94" s="30">
        <v>1</v>
      </c>
      <c r="AA94" s="30">
        <v>1</v>
      </c>
      <c r="AB94" s="30"/>
      <c r="AC94" s="30"/>
      <c r="AD94" s="30"/>
      <c r="AE94" s="30" t="s">
        <v>275</v>
      </c>
      <c r="AF94" s="30" t="s">
        <v>321</v>
      </c>
      <c r="AG94" s="30" t="s">
        <v>318</v>
      </c>
      <c r="AH94" s="30" t="s">
        <v>41</v>
      </c>
      <c r="AI94" s="30"/>
      <c r="AJ94" s="30"/>
      <c r="AK94" s="30"/>
      <c r="AL94" s="30"/>
      <c r="AM94" s="30"/>
      <c r="AN94" s="30"/>
      <c r="AO94" s="30"/>
      <c r="AP94" s="30"/>
      <c r="AQ94" s="30"/>
      <c r="AR94" s="36"/>
      <c r="AS94" s="36"/>
      <c r="AT94" s="36"/>
      <c r="AU94" s="36"/>
      <c r="AV94" s="36"/>
      <c r="AW94" s="36"/>
      <c r="AX94" s="36"/>
      <c r="AY94" s="36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27"/>
      <c r="BL94" s="27"/>
    </row>
    <row r="95" spans="1:64">
      <c r="A95" s="25" t="s">
        <v>54</v>
      </c>
      <c r="B95" s="26">
        <v>46207</v>
      </c>
      <c r="C95" s="27"/>
      <c r="D95" s="27">
        <v>44103</v>
      </c>
      <c r="E95" s="27" t="s">
        <v>284</v>
      </c>
      <c r="F95" s="27" t="s">
        <v>48</v>
      </c>
      <c r="G95" s="27" t="s">
        <v>110</v>
      </c>
      <c r="H95" s="30" t="s">
        <v>175</v>
      </c>
      <c r="I95" s="31" t="s">
        <v>525</v>
      </c>
      <c r="J95" s="30" t="s">
        <v>526</v>
      </c>
      <c r="K95" s="27">
        <v>23</v>
      </c>
      <c r="L95" s="27">
        <v>153</v>
      </c>
      <c r="M95" s="27"/>
      <c r="N95" s="31" t="s">
        <v>154</v>
      </c>
      <c r="O95" s="27"/>
      <c r="P95" s="30"/>
      <c r="Q95" s="30" t="s">
        <v>66</v>
      </c>
      <c r="R95" s="26">
        <v>46212</v>
      </c>
      <c r="S95" s="26">
        <v>46213</v>
      </c>
      <c r="T95" s="31"/>
      <c r="U95" s="30" t="s">
        <v>68</v>
      </c>
      <c r="V95" s="34" t="s">
        <v>70</v>
      </c>
      <c r="W95" s="27" t="s">
        <v>284</v>
      </c>
      <c r="X95" s="30">
        <v>3</v>
      </c>
      <c r="Y95" s="30">
        <v>2</v>
      </c>
      <c r="Z95" s="30">
        <v>3</v>
      </c>
      <c r="AA95" s="30">
        <v>1</v>
      </c>
      <c r="AB95" s="30"/>
      <c r="AC95" s="30"/>
      <c r="AD95" s="30"/>
      <c r="AE95" s="30" t="s">
        <v>118</v>
      </c>
      <c r="AF95" s="30"/>
      <c r="AG95" s="30"/>
      <c r="AH95" s="30" t="s">
        <v>508</v>
      </c>
      <c r="AI95" s="30"/>
      <c r="AJ95" s="30" t="s">
        <v>157</v>
      </c>
      <c r="AK95" s="30"/>
      <c r="AL95" s="30"/>
      <c r="AM95" s="30"/>
      <c r="AN95" s="30"/>
      <c r="AO95" s="30"/>
      <c r="AP95" s="30"/>
      <c r="AQ95" s="30"/>
      <c r="AR95" s="36"/>
      <c r="AS95" s="36"/>
      <c r="AT95" s="36"/>
      <c r="AU95" s="36"/>
      <c r="AV95" s="36"/>
      <c r="AW95" s="36"/>
      <c r="AX95" s="36"/>
      <c r="AY95" s="36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27"/>
      <c r="BL95" s="27"/>
    </row>
    <row r="96" spans="1:64">
      <c r="A96" s="25" t="s">
        <v>54</v>
      </c>
      <c r="B96" s="26">
        <v>46207</v>
      </c>
      <c r="C96" s="27"/>
      <c r="D96" s="27">
        <v>44102</v>
      </c>
      <c r="E96" s="27" t="s">
        <v>284</v>
      </c>
      <c r="F96" s="27" t="s">
        <v>48</v>
      </c>
      <c r="G96" s="27" t="s">
        <v>110</v>
      </c>
      <c r="H96" s="30" t="s">
        <v>29</v>
      </c>
      <c r="I96" s="31" t="s">
        <v>527</v>
      </c>
      <c r="J96" s="30" t="s">
        <v>528</v>
      </c>
      <c r="K96" s="27">
        <v>4</v>
      </c>
      <c r="L96" s="27">
        <v>44</v>
      </c>
      <c r="M96" s="27"/>
      <c r="N96" s="31" t="s">
        <v>318</v>
      </c>
      <c r="O96" s="27"/>
      <c r="P96" s="30"/>
      <c r="Q96" s="30" t="s">
        <v>529</v>
      </c>
      <c r="R96" s="26">
        <v>46210</v>
      </c>
      <c r="S96" s="26">
        <v>46216</v>
      </c>
      <c r="T96" s="31"/>
      <c r="U96" s="30" t="s">
        <v>68</v>
      </c>
      <c r="V96" s="34" t="s">
        <v>70</v>
      </c>
      <c r="W96" s="27" t="s">
        <v>284</v>
      </c>
      <c r="X96" s="30">
        <v>1</v>
      </c>
      <c r="Y96" s="30">
        <v>1</v>
      </c>
      <c r="Z96" s="30">
        <v>1</v>
      </c>
      <c r="AA96" s="30">
        <v>1</v>
      </c>
      <c r="AB96" s="30"/>
      <c r="AC96" s="30"/>
      <c r="AD96" s="30"/>
      <c r="AE96" s="30" t="s">
        <v>275</v>
      </c>
      <c r="AF96" s="30" t="s">
        <v>321</v>
      </c>
      <c r="AG96" s="30" t="s">
        <v>318</v>
      </c>
      <c r="AH96" s="30" t="s">
        <v>41</v>
      </c>
      <c r="AI96" s="30"/>
      <c r="AJ96" s="30"/>
      <c r="AK96" s="30"/>
      <c r="AL96" s="30"/>
      <c r="AM96" s="30"/>
      <c r="AN96" s="30"/>
      <c r="AO96" s="30"/>
      <c r="AP96" s="30"/>
      <c r="AQ96" s="30"/>
      <c r="AR96" s="36"/>
      <c r="AS96" s="36"/>
      <c r="AT96" s="36"/>
      <c r="AU96" s="36"/>
      <c r="AV96" s="36"/>
      <c r="AW96" s="36"/>
      <c r="AX96" s="36"/>
      <c r="AY96" s="36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27"/>
      <c r="BL96" s="27"/>
    </row>
    <row r="97" spans="1:64">
      <c r="A97" s="25" t="s">
        <v>54</v>
      </c>
      <c r="B97" s="26">
        <v>46209</v>
      </c>
      <c r="C97" s="27"/>
      <c r="D97" s="27">
        <v>503870332</v>
      </c>
      <c r="E97" s="27" t="s">
        <v>333</v>
      </c>
      <c r="F97" s="27" t="s">
        <v>471</v>
      </c>
      <c r="G97" s="27" t="s">
        <v>28</v>
      </c>
      <c r="H97" s="30" t="s">
        <v>57</v>
      </c>
      <c r="I97" s="31" t="s">
        <v>530</v>
      </c>
      <c r="J97" s="30" t="s">
        <v>531</v>
      </c>
      <c r="K97" s="27">
        <v>3</v>
      </c>
      <c r="L97" s="27">
        <v>57</v>
      </c>
      <c r="M97" s="27"/>
      <c r="N97" s="31" t="s">
        <v>154</v>
      </c>
      <c r="O97" s="27"/>
      <c r="P97" s="30"/>
      <c r="Q97" s="30" t="s">
        <v>66</v>
      </c>
      <c r="R97" s="26">
        <v>46212</v>
      </c>
      <c r="S97" s="26">
        <v>46213</v>
      </c>
      <c r="T97" s="31"/>
      <c r="U97" s="30" t="s">
        <v>68</v>
      </c>
      <c r="V97" s="34" t="s">
        <v>70</v>
      </c>
      <c r="W97" s="27" t="s">
        <v>336</v>
      </c>
      <c r="X97" s="30">
        <v>1</v>
      </c>
      <c r="Y97" s="30">
        <v>1</v>
      </c>
      <c r="Z97" s="30">
        <v>1</v>
      </c>
      <c r="AA97" s="30">
        <v>1</v>
      </c>
      <c r="AB97" s="30"/>
      <c r="AC97" s="30"/>
      <c r="AD97" s="30"/>
      <c r="AE97" s="30"/>
      <c r="AF97" s="30"/>
      <c r="AG97" s="30" t="s">
        <v>69</v>
      </c>
      <c r="AH97" s="30"/>
      <c r="AI97" s="30"/>
      <c r="AJ97" s="30" t="s">
        <v>533</v>
      </c>
      <c r="AK97" s="30"/>
      <c r="AL97" s="30"/>
      <c r="AM97" s="30"/>
      <c r="AN97" s="30"/>
      <c r="AO97" s="30"/>
      <c r="AP97" s="30"/>
      <c r="AQ97" s="30"/>
      <c r="AR97" s="36"/>
      <c r="AS97" s="36"/>
      <c r="AT97" s="36"/>
      <c r="AU97" s="36"/>
      <c r="AV97" s="36"/>
      <c r="AW97" s="36"/>
      <c r="AX97" s="36"/>
      <c r="AY97" s="36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27"/>
      <c r="BL97" s="27"/>
    </row>
    <row r="98" spans="1:64">
      <c r="A98" s="25" t="s">
        <v>54</v>
      </c>
      <c r="B98" s="26">
        <v>46209</v>
      </c>
      <c r="C98" s="27"/>
      <c r="D98" s="27">
        <v>10221243960</v>
      </c>
      <c r="E98" s="27" t="s">
        <v>333</v>
      </c>
      <c r="F98" s="27" t="s">
        <v>471</v>
      </c>
      <c r="G98" s="27" t="s">
        <v>28</v>
      </c>
      <c r="H98" s="30" t="s">
        <v>412</v>
      </c>
      <c r="I98" s="31" t="s">
        <v>534</v>
      </c>
      <c r="J98" s="30" t="s">
        <v>535</v>
      </c>
      <c r="K98" s="27">
        <v>1</v>
      </c>
      <c r="L98" s="27">
        <v>21</v>
      </c>
      <c r="M98" s="27"/>
      <c r="N98" s="31" t="s">
        <v>94</v>
      </c>
      <c r="O98" s="27"/>
      <c r="P98" s="30"/>
      <c r="Q98" s="30" t="s">
        <v>536</v>
      </c>
      <c r="R98" s="26">
        <v>46211</v>
      </c>
      <c r="S98" s="26">
        <v>46211</v>
      </c>
      <c r="T98" s="31"/>
      <c r="U98" s="30" t="s">
        <v>68</v>
      </c>
      <c r="V98" s="34" t="s">
        <v>70</v>
      </c>
      <c r="W98" s="27" t="s">
        <v>336</v>
      </c>
      <c r="X98" s="30">
        <v>1</v>
      </c>
      <c r="Y98" s="30">
        <v>1</v>
      </c>
      <c r="Z98" s="30">
        <v>1</v>
      </c>
      <c r="AA98" s="30">
        <v>1</v>
      </c>
      <c r="AB98" s="30"/>
      <c r="AC98" s="30"/>
      <c r="AD98" s="30"/>
      <c r="AE98" s="30"/>
      <c r="AF98" s="30"/>
      <c r="AG98" s="30" t="s">
        <v>69</v>
      </c>
      <c r="AH98" s="30" t="s">
        <v>94</v>
      </c>
      <c r="AI98" s="30" t="s">
        <v>41</v>
      </c>
      <c r="AJ98" s="30"/>
      <c r="AK98" s="30"/>
      <c r="AL98" s="30"/>
      <c r="AM98" s="30"/>
      <c r="AN98" s="30"/>
      <c r="AO98" s="30"/>
      <c r="AP98" s="30"/>
      <c r="AQ98" s="30"/>
      <c r="AR98" s="36"/>
      <c r="AS98" s="36"/>
      <c r="AT98" s="36"/>
      <c r="AU98" s="36"/>
      <c r="AV98" s="36"/>
      <c r="AW98" s="36"/>
      <c r="AX98" s="36"/>
      <c r="AY98" s="36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27"/>
      <c r="BL98" s="27"/>
    </row>
    <row r="99" spans="1:64">
      <c r="A99" s="25" t="s">
        <v>54</v>
      </c>
      <c r="B99" s="26">
        <v>46209</v>
      </c>
      <c r="C99" s="27"/>
      <c r="D99" s="27">
        <v>10221243958</v>
      </c>
      <c r="E99" s="27" t="s">
        <v>333</v>
      </c>
      <c r="F99" s="27" t="s">
        <v>471</v>
      </c>
      <c r="G99" s="27" t="s">
        <v>28</v>
      </c>
      <c r="H99" s="30" t="s">
        <v>412</v>
      </c>
      <c r="I99" s="31" t="s">
        <v>534</v>
      </c>
      <c r="J99" s="30" t="s">
        <v>535</v>
      </c>
      <c r="K99" s="27">
        <v>1</v>
      </c>
      <c r="L99" s="27">
        <v>1</v>
      </c>
      <c r="M99" s="27"/>
      <c r="N99" s="31" t="s">
        <v>94</v>
      </c>
      <c r="O99" s="27"/>
      <c r="P99" s="30"/>
      <c r="Q99" s="30" t="s">
        <v>536</v>
      </c>
      <c r="R99" s="26">
        <v>46211</v>
      </c>
      <c r="S99" s="26">
        <v>46211</v>
      </c>
      <c r="T99" s="31"/>
      <c r="U99" s="30" t="s">
        <v>68</v>
      </c>
      <c r="V99" s="34" t="s">
        <v>70</v>
      </c>
      <c r="W99" s="27" t="s">
        <v>336</v>
      </c>
      <c r="X99" s="30">
        <v>1</v>
      </c>
      <c r="Y99" s="30">
        <v>1</v>
      </c>
      <c r="Z99" s="30">
        <v>1</v>
      </c>
      <c r="AA99" s="30">
        <v>1</v>
      </c>
      <c r="AB99" s="30"/>
      <c r="AC99" s="30"/>
      <c r="AD99" s="30"/>
      <c r="AE99" s="30"/>
      <c r="AF99" s="30"/>
      <c r="AG99" s="30" t="s">
        <v>69</v>
      </c>
      <c r="AH99" s="30" t="s">
        <v>94</v>
      </c>
      <c r="AI99" s="30" t="s">
        <v>41</v>
      </c>
      <c r="AJ99" s="30"/>
      <c r="AK99" s="30"/>
      <c r="AL99" s="30"/>
      <c r="AM99" s="30"/>
      <c r="AN99" s="30"/>
      <c r="AO99" s="30"/>
      <c r="AP99" s="30"/>
      <c r="AQ99" s="30"/>
      <c r="AR99" s="36"/>
      <c r="AS99" s="36"/>
      <c r="AT99" s="36"/>
      <c r="AU99" s="36"/>
      <c r="AV99" s="36"/>
      <c r="AW99" s="36"/>
      <c r="AX99" s="36"/>
      <c r="AY99" s="36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27"/>
      <c r="BL99" s="27"/>
    </row>
    <row r="100" spans="1:64">
      <c r="A100" s="25" t="s">
        <v>54</v>
      </c>
      <c r="B100" s="26">
        <v>46209</v>
      </c>
      <c r="C100" s="27">
        <v>30265</v>
      </c>
      <c r="D100" s="27"/>
      <c r="E100" s="27" t="s">
        <v>203</v>
      </c>
      <c r="F100" s="27" t="s">
        <v>59</v>
      </c>
      <c r="G100" s="27" t="s">
        <v>104</v>
      </c>
      <c r="H100" s="30" t="s">
        <v>538</v>
      </c>
      <c r="I100" s="31" t="s">
        <v>539</v>
      </c>
      <c r="J100" s="30" t="s">
        <v>540</v>
      </c>
      <c r="K100" s="27">
        <v>1</v>
      </c>
      <c r="L100" s="27" t="s">
        <v>205</v>
      </c>
      <c r="M100" s="27"/>
      <c r="N100" s="31" t="s">
        <v>81</v>
      </c>
      <c r="O100" s="27"/>
      <c r="P100" s="30"/>
      <c r="Q100" s="30" t="s">
        <v>66</v>
      </c>
      <c r="R100" s="26">
        <v>46212</v>
      </c>
      <c r="S100" s="26">
        <v>46213</v>
      </c>
      <c r="T100" s="31"/>
      <c r="U100" s="30" t="s">
        <v>68</v>
      </c>
      <c r="V100" s="34" t="s">
        <v>70</v>
      </c>
      <c r="W100" s="27" t="s">
        <v>208</v>
      </c>
      <c r="X100" s="30">
        <v>1</v>
      </c>
      <c r="Y100" s="30">
        <v>1</v>
      </c>
      <c r="Z100" s="30">
        <v>1</v>
      </c>
      <c r="AA100" s="30">
        <v>1</v>
      </c>
      <c r="AB100" s="30"/>
      <c r="AC100" s="30"/>
      <c r="AD100" s="30"/>
      <c r="AE100" s="30"/>
      <c r="AF100" s="30"/>
      <c r="AG100" s="30" t="s">
        <v>69</v>
      </c>
      <c r="AH100" s="30"/>
      <c r="AI100" s="30"/>
      <c r="AJ100" s="30" t="s">
        <v>88</v>
      </c>
      <c r="AK100" s="30"/>
      <c r="AL100" s="30"/>
      <c r="AM100" s="30"/>
      <c r="AN100" s="30"/>
      <c r="AO100" s="30"/>
      <c r="AP100" s="30"/>
      <c r="AQ100" s="30"/>
      <c r="AR100" s="36"/>
      <c r="AS100" s="36"/>
      <c r="AT100" s="36"/>
      <c r="AU100" s="36"/>
      <c r="AV100" s="36"/>
      <c r="AW100" s="36"/>
      <c r="AX100" s="36"/>
      <c r="AY100" s="36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27"/>
      <c r="BL100" s="27"/>
    </row>
    <row r="101" spans="1:64">
      <c r="A101" s="25" t="s">
        <v>54</v>
      </c>
      <c r="B101" s="26">
        <v>46209</v>
      </c>
      <c r="C101" s="27">
        <v>30269</v>
      </c>
      <c r="D101" s="27"/>
      <c r="E101" s="27" t="s">
        <v>212</v>
      </c>
      <c r="F101" s="27" t="s">
        <v>59</v>
      </c>
      <c r="G101" s="27" t="s">
        <v>104</v>
      </c>
      <c r="H101" s="30" t="s">
        <v>169</v>
      </c>
      <c r="I101" s="31" t="s">
        <v>235</v>
      </c>
      <c r="J101" s="30" t="s">
        <v>169</v>
      </c>
      <c r="K101" s="27">
        <v>1</v>
      </c>
      <c r="L101" s="27" t="s">
        <v>205</v>
      </c>
      <c r="M101" s="27"/>
      <c r="N101" s="31" t="s">
        <v>94</v>
      </c>
      <c r="O101" s="27"/>
      <c r="P101" s="30"/>
      <c r="Q101" s="30" t="s">
        <v>541</v>
      </c>
      <c r="R101" s="26">
        <v>46213</v>
      </c>
      <c r="S101" s="26">
        <v>46213</v>
      </c>
      <c r="T101" s="31"/>
      <c r="U101" s="30" t="s">
        <v>68</v>
      </c>
      <c r="V101" s="34" t="s">
        <v>70</v>
      </c>
      <c r="W101" s="27" t="s">
        <v>208</v>
      </c>
      <c r="X101" s="30">
        <v>1</v>
      </c>
      <c r="Y101" s="30">
        <v>1</v>
      </c>
      <c r="Z101" s="30">
        <v>1</v>
      </c>
      <c r="AA101" s="30">
        <v>1</v>
      </c>
      <c r="AB101" s="30"/>
      <c r="AC101" s="30"/>
      <c r="AD101" s="30"/>
      <c r="AE101" s="30"/>
      <c r="AF101" s="30"/>
      <c r="AG101" s="30" t="s">
        <v>69</v>
      </c>
      <c r="AH101" s="30"/>
      <c r="AI101" s="30"/>
      <c r="AJ101" s="30" t="s">
        <v>94</v>
      </c>
      <c r="AK101" s="30" t="s">
        <v>41</v>
      </c>
      <c r="AL101" s="30"/>
      <c r="AM101" s="30"/>
      <c r="AN101" s="30"/>
      <c r="AO101" s="30"/>
      <c r="AP101" s="30"/>
      <c r="AQ101" s="30"/>
      <c r="AR101" s="36"/>
      <c r="AS101" s="36"/>
      <c r="AT101" s="36"/>
      <c r="AU101" s="36"/>
      <c r="AV101" s="36"/>
      <c r="AW101" s="36"/>
      <c r="AX101" s="36"/>
      <c r="AY101" s="36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27"/>
      <c r="BL101" s="27"/>
    </row>
    <row r="102" spans="1:64">
      <c r="A102" s="25" t="s">
        <v>54</v>
      </c>
      <c r="B102" s="26">
        <v>46209</v>
      </c>
      <c r="C102" s="27">
        <v>30270</v>
      </c>
      <c r="D102" s="27"/>
      <c r="E102" s="27" t="s">
        <v>212</v>
      </c>
      <c r="F102" s="27" t="s">
        <v>59</v>
      </c>
      <c r="G102" s="27" t="s">
        <v>104</v>
      </c>
      <c r="H102" s="30" t="s">
        <v>60</v>
      </c>
      <c r="I102" s="31" t="s">
        <v>542</v>
      </c>
      <c r="J102" s="30" t="s">
        <v>60</v>
      </c>
      <c r="K102" s="27">
        <v>1</v>
      </c>
      <c r="L102" s="27" t="s">
        <v>205</v>
      </c>
      <c r="M102" s="27"/>
      <c r="N102" s="31" t="s">
        <v>154</v>
      </c>
      <c r="O102" s="27"/>
      <c r="P102" s="30"/>
      <c r="Q102" s="30" t="s">
        <v>543</v>
      </c>
      <c r="R102" s="26">
        <v>46213</v>
      </c>
      <c r="S102" s="26">
        <v>46216</v>
      </c>
      <c r="T102" s="31"/>
      <c r="U102" s="30" t="s">
        <v>68</v>
      </c>
      <c r="V102" s="34" t="s">
        <v>70</v>
      </c>
      <c r="W102" s="27" t="s">
        <v>208</v>
      </c>
      <c r="X102" s="30">
        <v>1</v>
      </c>
      <c r="Y102" s="30">
        <v>1</v>
      </c>
      <c r="Z102" s="30">
        <v>1</v>
      </c>
      <c r="AA102" s="30">
        <v>1</v>
      </c>
      <c r="AB102" s="30"/>
      <c r="AC102" s="30"/>
      <c r="AD102" s="30"/>
      <c r="AE102" s="30"/>
      <c r="AF102" s="30"/>
      <c r="AG102" s="30" t="s">
        <v>69</v>
      </c>
      <c r="AH102" s="30"/>
      <c r="AI102" s="30"/>
      <c r="AJ102" s="30" t="s">
        <v>544</v>
      </c>
      <c r="AK102" s="30" t="s">
        <v>90</v>
      </c>
      <c r="AL102" s="30"/>
      <c r="AM102" s="30"/>
      <c r="AN102" s="30"/>
      <c r="AO102" s="30"/>
      <c r="AP102" s="30"/>
      <c r="AQ102" s="30"/>
      <c r="AR102" s="36"/>
      <c r="AS102" s="36"/>
      <c r="AT102" s="36"/>
      <c r="AU102" s="36"/>
      <c r="AV102" s="36"/>
      <c r="AW102" s="36"/>
      <c r="AX102" s="36"/>
      <c r="AY102" s="36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27"/>
      <c r="BL102" s="27"/>
    </row>
    <row r="103" spans="1:64">
      <c r="A103" s="25" t="s">
        <v>54</v>
      </c>
      <c r="B103" s="26">
        <v>46209</v>
      </c>
      <c r="C103" s="27">
        <v>30267</v>
      </c>
      <c r="D103" s="27"/>
      <c r="E103" s="27" t="s">
        <v>212</v>
      </c>
      <c r="F103" s="27" t="s">
        <v>59</v>
      </c>
      <c r="G103" s="27" t="s">
        <v>104</v>
      </c>
      <c r="H103" s="30" t="s">
        <v>60</v>
      </c>
      <c r="I103" s="31" t="s">
        <v>446</v>
      </c>
      <c r="J103" s="30" t="s">
        <v>60</v>
      </c>
      <c r="K103" s="27">
        <v>1</v>
      </c>
      <c r="L103" s="27" t="s">
        <v>214</v>
      </c>
      <c r="M103" s="27"/>
      <c r="N103" s="31" t="s">
        <v>154</v>
      </c>
      <c r="O103" s="27"/>
      <c r="P103" s="30"/>
      <c r="Q103" s="30" t="s">
        <v>545</v>
      </c>
      <c r="R103" s="26">
        <v>46212</v>
      </c>
      <c r="S103" s="26">
        <v>46216</v>
      </c>
      <c r="T103" s="31"/>
      <c r="U103" s="30" t="s">
        <v>68</v>
      </c>
      <c r="V103" s="34" t="s">
        <v>70</v>
      </c>
      <c r="W103" s="27" t="s">
        <v>208</v>
      </c>
      <c r="X103" s="30">
        <v>1</v>
      </c>
      <c r="Y103" s="30">
        <v>1</v>
      </c>
      <c r="Z103" s="30">
        <v>1</v>
      </c>
      <c r="AA103" s="30">
        <v>1</v>
      </c>
      <c r="AB103" s="30"/>
      <c r="AC103" s="30"/>
      <c r="AD103" s="30"/>
      <c r="AE103" s="30"/>
      <c r="AF103" s="30"/>
      <c r="AG103" s="30" t="s">
        <v>69</v>
      </c>
      <c r="AH103" s="30"/>
      <c r="AI103" s="30"/>
      <c r="AJ103" s="30" t="s">
        <v>546</v>
      </c>
      <c r="AK103" s="30"/>
      <c r="AL103" s="30"/>
      <c r="AM103" s="30"/>
      <c r="AN103" s="30"/>
      <c r="AO103" s="30"/>
      <c r="AP103" s="30"/>
      <c r="AQ103" s="30"/>
      <c r="AR103" s="36"/>
      <c r="AS103" s="36"/>
      <c r="AT103" s="36"/>
      <c r="AU103" s="36"/>
      <c r="AV103" s="36"/>
      <c r="AW103" s="36"/>
      <c r="AX103" s="36"/>
      <c r="AY103" s="36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27"/>
      <c r="BL103" s="27"/>
    </row>
    <row r="104" spans="1:64">
      <c r="A104" s="25" t="s">
        <v>54</v>
      </c>
      <c r="B104" s="26">
        <v>46209</v>
      </c>
      <c r="C104" s="27">
        <v>30266</v>
      </c>
      <c r="D104" s="27"/>
      <c r="E104" s="27" t="s">
        <v>233</v>
      </c>
      <c r="F104" s="27" t="s">
        <v>59</v>
      </c>
      <c r="G104" s="27" t="s">
        <v>104</v>
      </c>
      <c r="H104" s="30" t="s">
        <v>383</v>
      </c>
      <c r="I104" s="31" t="s">
        <v>547</v>
      </c>
      <c r="J104" s="30" t="s">
        <v>28</v>
      </c>
      <c r="K104" s="27">
        <v>1</v>
      </c>
      <c r="L104" s="27" t="s">
        <v>205</v>
      </c>
      <c r="M104" s="27"/>
      <c r="N104" s="31" t="s">
        <v>384</v>
      </c>
      <c r="O104" s="27"/>
      <c r="P104" s="30"/>
      <c r="Q104" s="30" t="s">
        <v>165</v>
      </c>
      <c r="R104" s="26">
        <v>46210</v>
      </c>
      <c r="S104" s="26">
        <v>46211</v>
      </c>
      <c r="T104" s="31"/>
      <c r="U104" s="30" t="s">
        <v>68</v>
      </c>
      <c r="V104" s="34" t="s">
        <v>70</v>
      </c>
      <c r="W104" s="27" t="s">
        <v>208</v>
      </c>
      <c r="X104" s="30">
        <v>1</v>
      </c>
      <c r="Y104" s="30">
        <v>1</v>
      </c>
      <c r="Z104" s="30">
        <v>1</v>
      </c>
      <c r="AA104" s="30">
        <v>1</v>
      </c>
      <c r="AB104" s="30"/>
      <c r="AC104" s="30"/>
      <c r="AD104" s="30"/>
      <c r="AE104" s="30"/>
      <c r="AF104" s="30"/>
      <c r="AG104" s="30" t="s">
        <v>69</v>
      </c>
      <c r="AH104" s="30" t="s">
        <v>260</v>
      </c>
      <c r="AI104" s="30"/>
      <c r="AJ104" s="30"/>
      <c r="AK104" s="30"/>
      <c r="AL104" s="30"/>
      <c r="AM104" s="30"/>
      <c r="AN104" s="30"/>
      <c r="AO104" s="30"/>
      <c r="AP104" s="30"/>
      <c r="AQ104" s="30"/>
      <c r="AR104" s="36"/>
      <c r="AS104" s="36"/>
      <c r="AT104" s="36"/>
      <c r="AU104" s="36"/>
      <c r="AV104" s="36"/>
      <c r="AW104" s="36"/>
      <c r="AX104" s="36"/>
      <c r="AY104" s="36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27"/>
      <c r="BL104" s="27"/>
    </row>
    <row r="105" spans="1:64">
      <c r="A105" s="25" t="s">
        <v>54</v>
      </c>
      <c r="B105" s="26">
        <v>46209</v>
      </c>
      <c r="C105" s="27"/>
      <c r="D105" s="27">
        <v>12722</v>
      </c>
      <c r="E105" s="27" t="s">
        <v>548</v>
      </c>
      <c r="F105" s="27" t="s">
        <v>59</v>
      </c>
      <c r="G105" s="27" t="s">
        <v>104</v>
      </c>
      <c r="H105" s="30" t="s">
        <v>134</v>
      </c>
      <c r="I105" s="31" t="s">
        <v>549</v>
      </c>
      <c r="J105" s="30" t="s">
        <v>134</v>
      </c>
      <c r="K105" s="27">
        <v>1</v>
      </c>
      <c r="L105" s="27">
        <v>1</v>
      </c>
      <c r="M105" s="27"/>
      <c r="N105" s="31" t="s">
        <v>81</v>
      </c>
      <c r="O105" s="27"/>
      <c r="P105" s="30"/>
      <c r="Q105" s="30" t="s">
        <v>550</v>
      </c>
      <c r="R105" s="26">
        <v>46210</v>
      </c>
      <c r="S105" s="26">
        <v>46211</v>
      </c>
      <c r="T105" s="31"/>
      <c r="U105" s="30" t="s">
        <v>68</v>
      </c>
      <c r="V105" s="34" t="s">
        <v>70</v>
      </c>
      <c r="W105" s="27" t="s">
        <v>548</v>
      </c>
      <c r="X105" s="30">
        <v>1</v>
      </c>
      <c r="Y105" s="30">
        <v>1</v>
      </c>
      <c r="Z105" s="30">
        <v>1</v>
      </c>
      <c r="AA105" s="30">
        <v>1</v>
      </c>
      <c r="AB105" s="30"/>
      <c r="AC105" s="30"/>
      <c r="AD105" s="30"/>
      <c r="AE105" s="30"/>
      <c r="AF105" s="30"/>
      <c r="AG105" s="30" t="s">
        <v>81</v>
      </c>
      <c r="AH105" s="30" t="s">
        <v>41</v>
      </c>
      <c r="AI105" s="30"/>
      <c r="AJ105" s="30"/>
      <c r="AK105" s="30"/>
      <c r="AL105" s="30"/>
      <c r="AM105" s="30"/>
      <c r="AN105" s="30"/>
      <c r="AO105" s="30"/>
      <c r="AP105" s="30"/>
      <c r="AQ105" s="30"/>
      <c r="AR105" s="36"/>
      <c r="AS105" s="36"/>
      <c r="AT105" s="36"/>
      <c r="AU105" s="36"/>
      <c r="AV105" s="36"/>
      <c r="AW105" s="36"/>
      <c r="AX105" s="36"/>
      <c r="AY105" s="36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27"/>
      <c r="BL105" s="27"/>
    </row>
    <row r="106" spans="1:64">
      <c r="A106" s="25" t="s">
        <v>54</v>
      </c>
      <c r="B106" s="26">
        <v>46209</v>
      </c>
      <c r="C106" s="27">
        <v>29006</v>
      </c>
      <c r="D106" s="27"/>
      <c r="E106" s="27" t="s">
        <v>551</v>
      </c>
      <c r="F106" s="27" t="s">
        <v>552</v>
      </c>
      <c r="G106" s="27" t="s">
        <v>116</v>
      </c>
      <c r="H106" s="30" t="s">
        <v>315</v>
      </c>
      <c r="I106" s="31" t="s">
        <v>553</v>
      </c>
      <c r="J106" s="30" t="s">
        <v>555</v>
      </c>
      <c r="K106" s="27">
        <v>2</v>
      </c>
      <c r="L106" s="27" t="s">
        <v>556</v>
      </c>
      <c r="M106" s="27"/>
      <c r="N106" s="31" t="s">
        <v>247</v>
      </c>
      <c r="O106" s="27"/>
      <c r="P106" s="30"/>
      <c r="Q106" s="30" t="s">
        <v>82</v>
      </c>
      <c r="R106" s="26">
        <v>46209</v>
      </c>
      <c r="S106" s="26">
        <v>46211</v>
      </c>
      <c r="T106" s="31"/>
      <c r="U106" s="30" t="s">
        <v>68</v>
      </c>
      <c r="V106" s="34" t="s">
        <v>70</v>
      </c>
      <c r="W106" s="27" t="s">
        <v>497</v>
      </c>
      <c r="X106" s="30">
        <v>1</v>
      </c>
      <c r="Y106" s="30">
        <v>1</v>
      </c>
      <c r="Z106" s="30">
        <v>1</v>
      </c>
      <c r="AA106" s="30">
        <v>1</v>
      </c>
      <c r="AB106" s="30"/>
      <c r="AC106" s="30"/>
      <c r="AD106" s="30"/>
      <c r="AE106" s="30"/>
      <c r="AF106" s="30"/>
      <c r="AG106" s="30" t="s">
        <v>557</v>
      </c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6"/>
      <c r="AS106" s="36"/>
      <c r="AT106" s="36"/>
      <c r="AU106" s="36"/>
      <c r="AV106" s="36"/>
      <c r="AW106" s="36"/>
      <c r="AX106" s="36"/>
      <c r="AY106" s="36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27"/>
      <c r="BL106" s="27"/>
    </row>
    <row r="107" spans="1:64">
      <c r="A107" s="25" t="s">
        <v>54</v>
      </c>
      <c r="B107" s="26">
        <v>46210</v>
      </c>
      <c r="C107" s="27">
        <v>5333</v>
      </c>
      <c r="D107" s="27"/>
      <c r="E107" s="27" t="s">
        <v>559</v>
      </c>
      <c r="F107" s="27" t="s">
        <v>185</v>
      </c>
      <c r="G107" s="27" t="s">
        <v>28</v>
      </c>
      <c r="H107" s="30" t="s">
        <v>106</v>
      </c>
      <c r="I107" s="31" t="s">
        <v>560</v>
      </c>
      <c r="J107" s="30" t="s">
        <v>561</v>
      </c>
      <c r="K107" s="27">
        <v>10</v>
      </c>
      <c r="L107" s="27"/>
      <c r="M107" s="27"/>
      <c r="N107" s="31" t="s">
        <v>95</v>
      </c>
      <c r="O107" s="27"/>
      <c r="P107" s="30"/>
      <c r="Q107" s="30" t="s">
        <v>562</v>
      </c>
      <c r="R107" s="26">
        <v>46211</v>
      </c>
      <c r="S107" s="26">
        <v>46213</v>
      </c>
      <c r="T107" s="31"/>
      <c r="U107" s="30" t="s">
        <v>68</v>
      </c>
      <c r="V107" s="34" t="s">
        <v>70</v>
      </c>
      <c r="W107" s="27" t="s">
        <v>563</v>
      </c>
      <c r="X107" s="30">
        <v>1</v>
      </c>
      <c r="Y107" s="30">
        <v>1</v>
      </c>
      <c r="Z107" s="30">
        <v>1</v>
      </c>
      <c r="AA107" s="30">
        <v>1</v>
      </c>
      <c r="AB107" s="30"/>
      <c r="AC107" s="30"/>
      <c r="AD107" s="30"/>
      <c r="AE107" s="30"/>
      <c r="AF107" s="30"/>
      <c r="AG107" s="30"/>
      <c r="AH107" s="30" t="s">
        <v>564</v>
      </c>
      <c r="AI107" s="30" t="s">
        <v>41</v>
      </c>
      <c r="AJ107" s="30"/>
      <c r="AK107" s="30"/>
      <c r="AL107" s="30"/>
      <c r="AM107" s="30"/>
      <c r="AN107" s="30"/>
      <c r="AO107" s="30"/>
      <c r="AP107" s="30"/>
      <c r="AQ107" s="30"/>
      <c r="AR107" s="36"/>
      <c r="AS107" s="36"/>
      <c r="AT107" s="36"/>
      <c r="AU107" s="36"/>
      <c r="AV107" s="36"/>
      <c r="AW107" s="36"/>
      <c r="AX107" s="36"/>
      <c r="AY107" s="36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27"/>
      <c r="BL107" s="27"/>
    </row>
    <row r="108" spans="1:64">
      <c r="A108" s="25" t="s">
        <v>54</v>
      </c>
      <c r="B108" s="26">
        <v>46210</v>
      </c>
      <c r="C108" s="27">
        <v>5332</v>
      </c>
      <c r="D108" s="27"/>
      <c r="E108" s="27" t="s">
        <v>559</v>
      </c>
      <c r="F108" s="27" t="s">
        <v>185</v>
      </c>
      <c r="G108" s="27" t="s">
        <v>28</v>
      </c>
      <c r="H108" s="30" t="s">
        <v>79</v>
      </c>
      <c r="I108" s="31" t="s">
        <v>567</v>
      </c>
      <c r="J108" s="30" t="s">
        <v>568</v>
      </c>
      <c r="K108" s="27">
        <v>50</v>
      </c>
      <c r="L108" s="27"/>
      <c r="M108" s="27"/>
      <c r="N108" s="31" t="s">
        <v>95</v>
      </c>
      <c r="O108" s="27"/>
      <c r="P108" s="30"/>
      <c r="Q108" s="30" t="s">
        <v>562</v>
      </c>
      <c r="R108" s="26">
        <v>46211</v>
      </c>
      <c r="S108" s="26">
        <v>46213</v>
      </c>
      <c r="T108" s="31"/>
      <c r="U108" s="30" t="s">
        <v>68</v>
      </c>
      <c r="V108" s="34" t="s">
        <v>70</v>
      </c>
      <c r="W108" s="27" t="s">
        <v>563</v>
      </c>
      <c r="X108" s="30">
        <v>1</v>
      </c>
      <c r="Y108" s="30">
        <v>1</v>
      </c>
      <c r="Z108" s="30">
        <v>1</v>
      </c>
      <c r="AA108" s="30">
        <v>1</v>
      </c>
      <c r="AB108" s="30"/>
      <c r="AC108" s="30"/>
      <c r="AD108" s="30"/>
      <c r="AE108" s="30"/>
      <c r="AF108" s="30"/>
      <c r="AG108" s="30"/>
      <c r="AH108" s="30" t="s">
        <v>564</v>
      </c>
      <c r="AI108" s="30" t="s">
        <v>41</v>
      </c>
      <c r="AJ108" s="30"/>
      <c r="AK108" s="30"/>
      <c r="AL108" s="30"/>
      <c r="AM108" s="30"/>
      <c r="AN108" s="30"/>
      <c r="AO108" s="30"/>
      <c r="AP108" s="30"/>
      <c r="AQ108" s="30"/>
      <c r="AR108" s="36"/>
      <c r="AS108" s="36"/>
      <c r="AT108" s="36"/>
      <c r="AU108" s="36"/>
      <c r="AV108" s="36"/>
      <c r="AW108" s="36"/>
      <c r="AX108" s="36"/>
      <c r="AY108" s="36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27"/>
      <c r="BL108" s="27"/>
    </row>
    <row r="109" spans="1:64">
      <c r="A109" s="25" t="s">
        <v>54</v>
      </c>
      <c r="B109" s="26">
        <v>46210</v>
      </c>
      <c r="C109" s="27">
        <v>5331</v>
      </c>
      <c r="D109" s="27" t="s">
        <v>279</v>
      </c>
      <c r="E109" s="27" t="s">
        <v>559</v>
      </c>
      <c r="F109" s="27" t="s">
        <v>185</v>
      </c>
      <c r="G109" s="27" t="s">
        <v>28</v>
      </c>
      <c r="H109" s="30" t="s">
        <v>569</v>
      </c>
      <c r="I109" s="31" t="s">
        <v>570</v>
      </c>
      <c r="J109" s="30" t="s">
        <v>571</v>
      </c>
      <c r="K109" s="27">
        <v>6</v>
      </c>
      <c r="L109" s="27"/>
      <c r="M109" s="27"/>
      <c r="N109" s="31" t="s">
        <v>95</v>
      </c>
      <c r="O109" s="27"/>
      <c r="P109" s="30"/>
      <c r="Q109" s="30" t="s">
        <v>572</v>
      </c>
      <c r="R109" s="26">
        <v>46211</v>
      </c>
      <c r="S109" s="26">
        <v>46213</v>
      </c>
      <c r="T109" s="31"/>
      <c r="U109" s="30" t="s">
        <v>68</v>
      </c>
      <c r="V109" s="34" t="s">
        <v>70</v>
      </c>
      <c r="W109" s="27" t="s">
        <v>563</v>
      </c>
      <c r="X109" s="30">
        <v>1</v>
      </c>
      <c r="Y109" s="30">
        <v>1</v>
      </c>
      <c r="Z109" s="30">
        <v>1</v>
      </c>
      <c r="AA109" s="30">
        <v>1</v>
      </c>
      <c r="AB109" s="30"/>
      <c r="AC109" s="30"/>
      <c r="AD109" s="30"/>
      <c r="AE109" s="30"/>
      <c r="AF109" s="30"/>
      <c r="AG109" s="30"/>
      <c r="AH109" s="30" t="s">
        <v>564</v>
      </c>
      <c r="AI109" s="30" t="s">
        <v>41</v>
      </c>
      <c r="AJ109" s="30"/>
      <c r="AK109" s="30"/>
      <c r="AL109" s="30"/>
      <c r="AM109" s="30"/>
      <c r="AN109" s="30"/>
      <c r="AO109" s="30"/>
      <c r="AP109" s="30"/>
      <c r="AQ109" s="30"/>
      <c r="AR109" s="36"/>
      <c r="AS109" s="36"/>
      <c r="AT109" s="36"/>
      <c r="AU109" s="36"/>
      <c r="AV109" s="36"/>
      <c r="AW109" s="36"/>
      <c r="AX109" s="36"/>
      <c r="AY109" s="36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27"/>
      <c r="BL109" s="27"/>
    </row>
    <row r="110" spans="1:64">
      <c r="A110" s="25" t="s">
        <v>54</v>
      </c>
      <c r="B110" s="26">
        <v>46210</v>
      </c>
      <c r="C110" s="27">
        <v>5330</v>
      </c>
      <c r="D110" s="27"/>
      <c r="E110" s="27" t="s">
        <v>559</v>
      </c>
      <c r="F110" s="27" t="s">
        <v>185</v>
      </c>
      <c r="G110" s="27" t="s">
        <v>28</v>
      </c>
      <c r="H110" s="30" t="s">
        <v>569</v>
      </c>
      <c r="I110" s="31" t="s">
        <v>570</v>
      </c>
      <c r="J110" s="30" t="s">
        <v>571</v>
      </c>
      <c r="K110" s="27">
        <v>6</v>
      </c>
      <c r="L110" s="27"/>
      <c r="M110" s="27"/>
      <c r="N110" s="31" t="s">
        <v>95</v>
      </c>
      <c r="O110" s="27"/>
      <c r="P110" s="30"/>
      <c r="Q110" s="30" t="s">
        <v>572</v>
      </c>
      <c r="R110" s="26">
        <v>46211</v>
      </c>
      <c r="S110" s="26">
        <v>46213</v>
      </c>
      <c r="T110" s="31"/>
      <c r="U110" s="30" t="s">
        <v>68</v>
      </c>
      <c r="V110" s="34" t="s">
        <v>70</v>
      </c>
      <c r="W110" s="27" t="s">
        <v>563</v>
      </c>
      <c r="X110" s="30">
        <v>1</v>
      </c>
      <c r="Y110" s="30">
        <v>1</v>
      </c>
      <c r="Z110" s="30">
        <v>1</v>
      </c>
      <c r="AA110" s="30">
        <v>1</v>
      </c>
      <c r="AB110" s="30"/>
      <c r="AC110" s="30"/>
      <c r="AD110" s="30"/>
      <c r="AE110" s="30"/>
      <c r="AF110" s="30"/>
      <c r="AG110" s="30"/>
      <c r="AH110" s="30" t="s">
        <v>564</v>
      </c>
      <c r="AI110" s="30" t="s">
        <v>41</v>
      </c>
      <c r="AJ110" s="30"/>
      <c r="AK110" s="30"/>
      <c r="AL110" s="30"/>
      <c r="AM110" s="30"/>
      <c r="AN110" s="30"/>
      <c r="AO110" s="30"/>
      <c r="AP110" s="30"/>
      <c r="AQ110" s="30"/>
      <c r="AR110" s="36"/>
      <c r="AS110" s="36"/>
      <c r="AT110" s="36"/>
      <c r="AU110" s="36"/>
      <c r="AV110" s="36"/>
      <c r="AW110" s="36"/>
      <c r="AX110" s="36"/>
      <c r="AY110" s="36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27"/>
      <c r="BL110" s="27"/>
    </row>
    <row r="111" spans="1:64">
      <c r="A111" s="25" t="s">
        <v>54</v>
      </c>
      <c r="B111" s="26">
        <v>46210</v>
      </c>
      <c r="C111" s="27">
        <v>5329</v>
      </c>
      <c r="D111" s="27"/>
      <c r="E111" s="27" t="s">
        <v>559</v>
      </c>
      <c r="F111" s="27" t="s">
        <v>185</v>
      </c>
      <c r="G111" s="27" t="s">
        <v>28</v>
      </c>
      <c r="H111" s="30" t="s">
        <v>569</v>
      </c>
      <c r="I111" s="31" t="s">
        <v>570</v>
      </c>
      <c r="J111" s="30" t="s">
        <v>571</v>
      </c>
      <c r="K111" s="27">
        <v>12</v>
      </c>
      <c r="L111" s="27"/>
      <c r="M111" s="27"/>
      <c r="N111" s="31" t="s">
        <v>95</v>
      </c>
      <c r="O111" s="27"/>
      <c r="P111" s="30"/>
      <c r="Q111" s="30" t="s">
        <v>572</v>
      </c>
      <c r="R111" s="26">
        <v>46211</v>
      </c>
      <c r="S111" s="26">
        <v>46213</v>
      </c>
      <c r="T111" s="31"/>
      <c r="U111" s="30" t="s">
        <v>68</v>
      </c>
      <c r="V111" s="34" t="s">
        <v>70</v>
      </c>
      <c r="W111" s="27" t="s">
        <v>563</v>
      </c>
      <c r="X111" s="30">
        <v>1</v>
      </c>
      <c r="Y111" s="30">
        <v>1</v>
      </c>
      <c r="Z111" s="30">
        <v>1</v>
      </c>
      <c r="AA111" s="30">
        <v>1</v>
      </c>
      <c r="AB111" s="30"/>
      <c r="AC111" s="30"/>
      <c r="AD111" s="30"/>
      <c r="AE111" s="30"/>
      <c r="AF111" s="30"/>
      <c r="AG111" s="30"/>
      <c r="AH111" s="30" t="s">
        <v>564</v>
      </c>
      <c r="AI111" s="30" t="s">
        <v>41</v>
      </c>
      <c r="AJ111" s="30"/>
      <c r="AK111" s="30"/>
      <c r="AL111" s="30"/>
      <c r="AM111" s="30"/>
      <c r="AN111" s="30"/>
      <c r="AO111" s="30"/>
      <c r="AP111" s="30"/>
      <c r="AQ111" s="30"/>
      <c r="AR111" s="36"/>
      <c r="AS111" s="36"/>
      <c r="AT111" s="36"/>
      <c r="AU111" s="36"/>
      <c r="AV111" s="36"/>
      <c r="AW111" s="36"/>
      <c r="AX111" s="36"/>
      <c r="AY111" s="36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27"/>
      <c r="BL111" s="27"/>
    </row>
    <row r="112" spans="1:64">
      <c r="A112" s="25" t="s">
        <v>54</v>
      </c>
      <c r="B112" s="26">
        <v>46210</v>
      </c>
      <c r="C112" s="27">
        <v>5328</v>
      </c>
      <c r="D112" s="27"/>
      <c r="E112" s="27" t="s">
        <v>559</v>
      </c>
      <c r="F112" s="27" t="s">
        <v>185</v>
      </c>
      <c r="G112" s="27" t="s">
        <v>28</v>
      </c>
      <c r="H112" s="30" t="s">
        <v>569</v>
      </c>
      <c r="I112" s="31" t="s">
        <v>578</v>
      </c>
      <c r="J112" s="30" t="s">
        <v>579</v>
      </c>
      <c r="K112" s="27">
        <v>10</v>
      </c>
      <c r="L112" s="27"/>
      <c r="M112" s="27"/>
      <c r="N112" s="31" t="s">
        <v>95</v>
      </c>
      <c r="O112" s="27"/>
      <c r="P112" s="30"/>
      <c r="Q112" s="30" t="s">
        <v>562</v>
      </c>
      <c r="R112" s="26">
        <v>46211</v>
      </c>
      <c r="S112" s="26">
        <v>46213</v>
      </c>
      <c r="T112" s="31"/>
      <c r="U112" s="30" t="s">
        <v>68</v>
      </c>
      <c r="V112" s="34" t="s">
        <v>70</v>
      </c>
      <c r="W112" s="27" t="s">
        <v>563</v>
      </c>
      <c r="X112" s="30">
        <v>1</v>
      </c>
      <c r="Y112" s="30">
        <v>1</v>
      </c>
      <c r="Z112" s="30">
        <v>1</v>
      </c>
      <c r="AA112" s="30">
        <v>1</v>
      </c>
      <c r="AB112" s="30"/>
      <c r="AC112" s="30"/>
      <c r="AD112" s="30"/>
      <c r="AE112" s="30"/>
      <c r="AF112" s="30"/>
      <c r="AG112" s="30"/>
      <c r="AH112" s="30" t="s">
        <v>564</v>
      </c>
      <c r="AI112" s="30" t="s">
        <v>41</v>
      </c>
      <c r="AJ112" s="30"/>
      <c r="AK112" s="30"/>
      <c r="AL112" s="30"/>
      <c r="AM112" s="30"/>
      <c r="AN112" s="30"/>
      <c r="AO112" s="30"/>
      <c r="AP112" s="30"/>
      <c r="AQ112" s="30"/>
      <c r="AR112" s="36"/>
      <c r="AS112" s="36"/>
      <c r="AT112" s="36"/>
      <c r="AU112" s="36"/>
      <c r="AV112" s="36"/>
      <c r="AW112" s="36"/>
      <c r="AX112" s="36"/>
      <c r="AY112" s="36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27"/>
      <c r="BL112" s="27"/>
    </row>
    <row r="113" spans="1:64">
      <c r="A113" s="25" t="s">
        <v>54</v>
      </c>
      <c r="B113" s="26">
        <v>46210</v>
      </c>
      <c r="C113" s="27">
        <v>5334</v>
      </c>
      <c r="D113" s="27"/>
      <c r="E113" s="27" t="s">
        <v>337</v>
      </c>
      <c r="F113" s="27" t="s">
        <v>185</v>
      </c>
      <c r="G113" s="27" t="s">
        <v>28</v>
      </c>
      <c r="H113" s="30" t="s">
        <v>431</v>
      </c>
      <c r="I113" s="31" t="s">
        <v>581</v>
      </c>
      <c r="J113" s="30" t="s">
        <v>582</v>
      </c>
      <c r="K113" s="27">
        <v>2</v>
      </c>
      <c r="L113" s="27"/>
      <c r="M113" s="27"/>
      <c r="N113" s="31" t="s">
        <v>455</v>
      </c>
      <c r="O113" s="27"/>
      <c r="P113" s="30"/>
      <c r="Q113" s="30" t="s">
        <v>66</v>
      </c>
      <c r="R113" s="26">
        <v>46212</v>
      </c>
      <c r="S113" s="26">
        <v>46213</v>
      </c>
      <c r="T113" s="31"/>
      <c r="U113" s="30" t="s">
        <v>68</v>
      </c>
      <c r="V113" s="34" t="s">
        <v>70</v>
      </c>
      <c r="W113" s="27" t="s">
        <v>341</v>
      </c>
      <c r="X113" s="30">
        <v>1</v>
      </c>
      <c r="Y113" s="30">
        <v>1</v>
      </c>
      <c r="Z113" s="30">
        <v>1</v>
      </c>
      <c r="AA113" s="30">
        <v>1</v>
      </c>
      <c r="AB113" s="30"/>
      <c r="AC113" s="30"/>
      <c r="AD113" s="30"/>
      <c r="AE113" s="30"/>
      <c r="AF113" s="30"/>
      <c r="AG113" s="30"/>
      <c r="AH113" s="30" t="s">
        <v>69</v>
      </c>
      <c r="AI113" s="30"/>
      <c r="AJ113" s="30" t="s">
        <v>583</v>
      </c>
      <c r="AK113" s="30"/>
      <c r="AL113" s="30"/>
      <c r="AM113" s="30"/>
      <c r="AN113" s="30"/>
      <c r="AO113" s="30"/>
      <c r="AP113" s="30"/>
      <c r="AQ113" s="30"/>
      <c r="AR113" s="36"/>
      <c r="AS113" s="36"/>
      <c r="AT113" s="36"/>
      <c r="AU113" s="36"/>
      <c r="AV113" s="36"/>
      <c r="AW113" s="36"/>
      <c r="AX113" s="36"/>
      <c r="AY113" s="36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27"/>
      <c r="BL113" s="27"/>
    </row>
    <row r="114" spans="1:64">
      <c r="A114" s="25" t="s">
        <v>54</v>
      </c>
      <c r="B114" s="26">
        <v>46210</v>
      </c>
      <c r="C114" s="27"/>
      <c r="D114" s="27">
        <v>503870400</v>
      </c>
      <c r="E114" s="27" t="s">
        <v>585</v>
      </c>
      <c r="F114" s="27" t="s">
        <v>471</v>
      </c>
      <c r="G114" s="27" t="s">
        <v>57</v>
      </c>
      <c r="H114" s="30" t="s">
        <v>28</v>
      </c>
      <c r="I114" s="31" t="s">
        <v>586</v>
      </c>
      <c r="J114" s="30" t="s">
        <v>28</v>
      </c>
      <c r="K114" s="27">
        <v>1</v>
      </c>
      <c r="L114" s="27">
        <v>25</v>
      </c>
      <c r="M114" s="27"/>
      <c r="N114" s="31" t="s">
        <v>95</v>
      </c>
      <c r="O114" s="27"/>
      <c r="P114" s="30"/>
      <c r="Q114" s="30" t="s">
        <v>66</v>
      </c>
      <c r="R114" s="26">
        <v>46214</v>
      </c>
      <c r="S114" s="26">
        <v>46217</v>
      </c>
      <c r="T114" s="31" t="s">
        <v>587</v>
      </c>
      <c r="U114" s="30" t="s">
        <v>68</v>
      </c>
      <c r="V114" s="34" t="s">
        <v>70</v>
      </c>
      <c r="W114" s="27" t="s">
        <v>336</v>
      </c>
      <c r="X114" s="30">
        <v>1</v>
      </c>
      <c r="Y114" s="30">
        <v>1</v>
      </c>
      <c r="Z114" s="30">
        <v>1</v>
      </c>
      <c r="AA114" s="30">
        <v>1</v>
      </c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 t="s">
        <v>588</v>
      </c>
      <c r="AM114" s="30"/>
      <c r="AN114" s="30"/>
      <c r="AO114" s="30"/>
      <c r="AP114" s="30"/>
      <c r="AQ114" s="30"/>
      <c r="AR114" s="36"/>
      <c r="AS114" s="36"/>
      <c r="AT114" s="36"/>
      <c r="AU114" s="36"/>
      <c r="AV114" s="36"/>
      <c r="AW114" s="36"/>
      <c r="AX114" s="36"/>
      <c r="AY114" s="36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27"/>
      <c r="BL114" s="27"/>
    </row>
    <row r="115" spans="1:64">
      <c r="A115" s="25" t="s">
        <v>187</v>
      </c>
      <c r="B115" s="26">
        <v>46210</v>
      </c>
      <c r="C115" s="27">
        <v>30304</v>
      </c>
      <c r="D115" s="27"/>
      <c r="E115" s="27" t="s">
        <v>590</v>
      </c>
      <c r="F115" s="27" t="s">
        <v>59</v>
      </c>
      <c r="G115" s="27" t="s">
        <v>60</v>
      </c>
      <c r="H115" s="30" t="s">
        <v>300</v>
      </c>
      <c r="I115" s="39" t="s">
        <v>591</v>
      </c>
      <c r="J115" s="39" t="s">
        <v>301</v>
      </c>
      <c r="K115" s="27">
        <v>3</v>
      </c>
      <c r="L115" s="27" t="s">
        <v>592</v>
      </c>
      <c r="M115" s="27"/>
      <c r="N115" s="31"/>
      <c r="O115" s="27" t="s">
        <v>302</v>
      </c>
      <c r="P115" s="30"/>
      <c r="Q115" s="30" t="s">
        <v>594</v>
      </c>
      <c r="R115" s="26">
        <v>46217</v>
      </c>
      <c r="S115" s="26">
        <v>46237</v>
      </c>
      <c r="T115" s="31"/>
      <c r="U115" s="30" t="s">
        <v>68</v>
      </c>
      <c r="V115" s="34" t="s">
        <v>70</v>
      </c>
      <c r="W115" s="27" t="s">
        <v>273</v>
      </c>
      <c r="X115" s="30">
        <v>1</v>
      </c>
      <c r="Y115" s="30">
        <v>1</v>
      </c>
      <c r="Z115" s="30">
        <v>1</v>
      </c>
      <c r="AA115" s="30">
        <v>2</v>
      </c>
      <c r="AB115" s="30"/>
      <c r="AC115" s="30"/>
      <c r="AD115" s="30"/>
      <c r="AE115" s="30"/>
      <c r="AF115" s="30"/>
      <c r="AG115" s="30"/>
      <c r="AH115" s="30" t="s">
        <v>69</v>
      </c>
      <c r="AI115" s="30" t="s">
        <v>595</v>
      </c>
      <c r="AJ115" s="30" t="s">
        <v>302</v>
      </c>
      <c r="AK115" s="30"/>
      <c r="AL115" s="30"/>
      <c r="AM115" s="30"/>
      <c r="AN115" s="30"/>
      <c r="AO115" s="30" t="s">
        <v>90</v>
      </c>
      <c r="AP115" s="30"/>
      <c r="AQ115" s="30"/>
      <c r="AR115" s="36"/>
      <c r="AS115" s="36"/>
      <c r="AT115" s="36"/>
      <c r="AU115" s="36"/>
      <c r="AV115" s="36"/>
      <c r="AW115" s="36"/>
      <c r="AX115" s="36"/>
      <c r="AY115" s="36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27"/>
      <c r="BL115" s="27"/>
    </row>
    <row r="116" spans="1:64">
      <c r="A116" s="25" t="s">
        <v>187</v>
      </c>
      <c r="B116" s="26">
        <v>46210</v>
      </c>
      <c r="C116" s="27">
        <v>30305</v>
      </c>
      <c r="D116" s="27"/>
      <c r="E116" s="27" t="s">
        <v>590</v>
      </c>
      <c r="F116" s="27" t="s">
        <v>59</v>
      </c>
      <c r="G116" s="27" t="s">
        <v>60</v>
      </c>
      <c r="H116" s="30" t="s">
        <v>270</v>
      </c>
      <c r="I116" s="29" t="s">
        <v>597</v>
      </c>
      <c r="J116" s="29" t="s">
        <v>271</v>
      </c>
      <c r="K116" s="27">
        <v>9</v>
      </c>
      <c r="L116" s="27" t="s">
        <v>598</v>
      </c>
      <c r="M116" s="27"/>
      <c r="N116" s="31"/>
      <c r="O116" s="27" t="s">
        <v>272</v>
      </c>
      <c r="P116" s="30"/>
      <c r="Q116" s="30" t="s">
        <v>599</v>
      </c>
      <c r="R116" s="26">
        <v>46234</v>
      </c>
      <c r="S116" s="27"/>
      <c r="T116" s="31"/>
      <c r="U116" s="30" t="s">
        <v>419</v>
      </c>
      <c r="V116" s="34" t="s">
        <v>90</v>
      </c>
      <c r="W116" s="27" t="s">
        <v>273</v>
      </c>
      <c r="X116" s="30">
        <v>1</v>
      </c>
      <c r="Y116" s="30">
        <v>1</v>
      </c>
      <c r="Z116" s="30">
        <v>1</v>
      </c>
      <c r="AA116" s="30"/>
      <c r="AB116" s="30"/>
      <c r="AC116" s="30"/>
      <c r="AD116" s="30"/>
      <c r="AE116" s="30"/>
      <c r="AF116" s="30"/>
      <c r="AG116" s="30"/>
      <c r="AH116" s="30" t="s">
        <v>69</v>
      </c>
      <c r="AI116" s="30" t="s">
        <v>541</v>
      </c>
      <c r="AJ116" s="30"/>
      <c r="AK116" s="30" t="s">
        <v>600</v>
      </c>
      <c r="AL116" s="30"/>
      <c r="AM116" s="30" t="s">
        <v>272</v>
      </c>
      <c r="AN116" s="30"/>
      <c r="AO116" s="30"/>
      <c r="AP116" s="30"/>
      <c r="AQ116" s="30"/>
      <c r="AR116" s="36"/>
      <c r="AS116" s="36"/>
      <c r="AT116" s="36"/>
      <c r="AU116" s="36"/>
      <c r="AV116" s="36"/>
      <c r="AW116" s="36"/>
      <c r="AX116" s="36"/>
      <c r="AY116" s="36"/>
      <c r="AZ116" s="30"/>
      <c r="BA116" s="30"/>
      <c r="BB116" s="30"/>
      <c r="BC116" s="30"/>
      <c r="BD116" s="30"/>
      <c r="BE116" s="30"/>
      <c r="BF116" s="30" t="s">
        <v>90</v>
      </c>
      <c r="BG116" s="30"/>
      <c r="BH116" s="30"/>
      <c r="BI116" s="30"/>
      <c r="BJ116" s="30"/>
      <c r="BK116" s="27"/>
      <c r="BL116" s="27"/>
    </row>
    <row r="117" spans="1:64">
      <c r="A117" s="25" t="s">
        <v>54</v>
      </c>
      <c r="B117" s="26">
        <v>46210</v>
      </c>
      <c r="C117" s="27">
        <v>30161</v>
      </c>
      <c r="D117" s="27"/>
      <c r="E117" s="27" t="s">
        <v>393</v>
      </c>
      <c r="F117" s="27" t="s">
        <v>59</v>
      </c>
      <c r="G117" s="27" t="s">
        <v>383</v>
      </c>
      <c r="H117" s="30" t="s">
        <v>395</v>
      </c>
      <c r="I117" s="31" t="s">
        <v>396</v>
      </c>
      <c r="J117" s="30" t="s">
        <v>601</v>
      </c>
      <c r="K117" s="27">
        <v>3</v>
      </c>
      <c r="L117" s="27">
        <v>15</v>
      </c>
      <c r="M117" s="27"/>
      <c r="N117" s="31" t="s">
        <v>602</v>
      </c>
      <c r="O117" s="27"/>
      <c r="P117" s="30"/>
      <c r="Q117" s="30" t="s">
        <v>66</v>
      </c>
      <c r="R117" s="26">
        <v>46213</v>
      </c>
      <c r="S117" s="26">
        <v>46216</v>
      </c>
      <c r="T117" s="31"/>
      <c r="U117" s="30" t="s">
        <v>68</v>
      </c>
      <c r="V117" s="34" t="s">
        <v>70</v>
      </c>
      <c r="W117" s="27" t="s">
        <v>603</v>
      </c>
      <c r="X117" s="30">
        <v>1</v>
      </c>
      <c r="Y117" s="30">
        <v>1</v>
      </c>
      <c r="Z117" s="30">
        <v>1</v>
      </c>
      <c r="AA117" s="30">
        <v>1</v>
      </c>
      <c r="AB117" s="30"/>
      <c r="AC117" s="30"/>
      <c r="AD117" s="30"/>
      <c r="AE117" s="30"/>
      <c r="AF117" s="30"/>
      <c r="AG117" s="30"/>
      <c r="AH117" s="30" t="s">
        <v>69</v>
      </c>
      <c r="AI117" s="30"/>
      <c r="AJ117" s="30" t="s">
        <v>507</v>
      </c>
      <c r="AK117" s="30" t="s">
        <v>41</v>
      </c>
      <c r="AL117" s="30"/>
      <c r="AM117" s="30"/>
      <c r="AN117" s="30"/>
      <c r="AO117" s="30"/>
      <c r="AP117" s="30"/>
      <c r="AQ117" s="30"/>
      <c r="AR117" s="36"/>
      <c r="AS117" s="36"/>
      <c r="AT117" s="36"/>
      <c r="AU117" s="36"/>
      <c r="AV117" s="36"/>
      <c r="AW117" s="36"/>
      <c r="AX117" s="36"/>
      <c r="AY117" s="36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27"/>
      <c r="BL117" s="27"/>
    </row>
    <row r="118" spans="1:64">
      <c r="A118" s="25" t="s">
        <v>54</v>
      </c>
      <c r="B118" s="26">
        <v>46210</v>
      </c>
      <c r="C118" s="27">
        <v>30160</v>
      </c>
      <c r="D118" s="27"/>
      <c r="E118" s="27" t="s">
        <v>393</v>
      </c>
      <c r="F118" s="27" t="s">
        <v>59</v>
      </c>
      <c r="G118" s="27" t="s">
        <v>383</v>
      </c>
      <c r="H118" s="30" t="s">
        <v>606</v>
      </c>
      <c r="I118" s="31" t="s">
        <v>607</v>
      </c>
      <c r="J118" s="30" t="s">
        <v>608</v>
      </c>
      <c r="K118" s="27">
        <v>10</v>
      </c>
      <c r="L118" s="27">
        <v>80</v>
      </c>
      <c r="M118" s="27"/>
      <c r="N118" s="31" t="s">
        <v>154</v>
      </c>
      <c r="O118" s="27"/>
      <c r="P118" s="30"/>
      <c r="Q118" s="30" t="s">
        <v>66</v>
      </c>
      <c r="R118" s="26">
        <v>46212</v>
      </c>
      <c r="S118" s="26">
        <v>46213</v>
      </c>
      <c r="T118" s="31"/>
      <c r="U118" s="30" t="s">
        <v>68</v>
      </c>
      <c r="V118" s="34" t="s">
        <v>70</v>
      </c>
      <c r="W118" s="27" t="s">
        <v>603</v>
      </c>
      <c r="X118" s="30">
        <v>1</v>
      </c>
      <c r="Y118" s="30">
        <v>1</v>
      </c>
      <c r="Z118" s="30">
        <v>1</v>
      </c>
      <c r="AA118" s="30">
        <v>1</v>
      </c>
      <c r="AB118" s="30"/>
      <c r="AC118" s="30"/>
      <c r="AD118" s="30"/>
      <c r="AE118" s="30"/>
      <c r="AF118" s="30"/>
      <c r="AG118" s="30"/>
      <c r="AH118" s="30" t="s">
        <v>69</v>
      </c>
      <c r="AI118" s="30"/>
      <c r="AJ118" s="30" t="s">
        <v>157</v>
      </c>
      <c r="AK118" s="30"/>
      <c r="AL118" s="30"/>
      <c r="AM118" s="30"/>
      <c r="AN118" s="30"/>
      <c r="AO118" s="30"/>
      <c r="AP118" s="30"/>
      <c r="AQ118" s="30"/>
      <c r="AR118" s="36"/>
      <c r="AS118" s="36"/>
      <c r="AT118" s="36"/>
      <c r="AU118" s="36"/>
      <c r="AV118" s="36"/>
      <c r="AW118" s="36"/>
      <c r="AX118" s="36"/>
      <c r="AY118" s="36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27"/>
      <c r="BL118" s="27"/>
    </row>
    <row r="119" spans="1:64">
      <c r="A119" s="25" t="s">
        <v>54</v>
      </c>
      <c r="B119" s="26">
        <v>46210</v>
      </c>
      <c r="C119" s="27">
        <v>25273</v>
      </c>
      <c r="D119" s="27"/>
      <c r="E119" s="27" t="s">
        <v>58</v>
      </c>
      <c r="F119" s="27" t="s">
        <v>48</v>
      </c>
      <c r="G119" s="27" t="s">
        <v>110</v>
      </c>
      <c r="H119" s="30" t="s">
        <v>403</v>
      </c>
      <c r="I119" s="31" t="s">
        <v>610</v>
      </c>
      <c r="J119" s="30" t="s">
        <v>111</v>
      </c>
      <c r="K119" s="27">
        <v>34</v>
      </c>
      <c r="L119" s="27" t="s">
        <v>611</v>
      </c>
      <c r="M119" s="27"/>
      <c r="N119" s="31" t="s">
        <v>124</v>
      </c>
      <c r="O119" s="27"/>
      <c r="P119" s="30"/>
      <c r="Q119" s="30" t="s">
        <v>66</v>
      </c>
      <c r="R119" s="26">
        <v>46212</v>
      </c>
      <c r="S119" s="26">
        <v>46218</v>
      </c>
      <c r="T119" s="31"/>
      <c r="U119" s="30" t="s">
        <v>68</v>
      </c>
      <c r="V119" s="34" t="s">
        <v>70</v>
      </c>
      <c r="W119" s="27" t="s">
        <v>71</v>
      </c>
      <c r="X119" s="30">
        <v>1</v>
      </c>
      <c r="Y119" s="30">
        <v>1</v>
      </c>
      <c r="Z119" s="30">
        <v>1</v>
      </c>
      <c r="AA119" s="30">
        <v>2</v>
      </c>
      <c r="AB119" s="30"/>
      <c r="AC119" s="30"/>
      <c r="AD119" s="30"/>
      <c r="AE119" s="30"/>
      <c r="AF119" s="30"/>
      <c r="AG119" s="30"/>
      <c r="AH119" s="30" t="s">
        <v>469</v>
      </c>
      <c r="AI119" s="30" t="s">
        <v>124</v>
      </c>
      <c r="AJ119" s="30" t="s">
        <v>41</v>
      </c>
      <c r="AK119" s="30"/>
      <c r="AL119" s="30"/>
      <c r="AM119" s="30"/>
      <c r="AN119" s="30"/>
      <c r="AO119" s="30"/>
      <c r="AP119" s="30"/>
      <c r="AQ119" s="30"/>
      <c r="AR119" s="36"/>
      <c r="AS119" s="36"/>
      <c r="AT119" s="36"/>
      <c r="AU119" s="36"/>
      <c r="AV119" s="36"/>
      <c r="AW119" s="36"/>
      <c r="AX119" s="36"/>
      <c r="AY119" s="36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27"/>
      <c r="BL119" s="27"/>
    </row>
    <row r="120" spans="1:64">
      <c r="A120" s="25" t="s">
        <v>54</v>
      </c>
      <c r="B120" s="26">
        <v>46210</v>
      </c>
      <c r="C120" s="27">
        <v>25272</v>
      </c>
      <c r="D120" s="27"/>
      <c r="E120" s="27" t="s">
        <v>58</v>
      </c>
      <c r="F120" s="27" t="s">
        <v>48</v>
      </c>
      <c r="G120" s="27" t="s">
        <v>110</v>
      </c>
      <c r="H120" s="30" t="s">
        <v>613</v>
      </c>
      <c r="I120" s="31" t="s">
        <v>614</v>
      </c>
      <c r="J120" s="30" t="s">
        <v>613</v>
      </c>
      <c r="K120" s="27">
        <v>20</v>
      </c>
      <c r="L120" s="27">
        <v>96</v>
      </c>
      <c r="M120" s="27"/>
      <c r="N120" s="31" t="s">
        <v>124</v>
      </c>
      <c r="O120" s="27"/>
      <c r="P120" s="30"/>
      <c r="Q120" s="30" t="s">
        <v>66</v>
      </c>
      <c r="R120" s="26">
        <v>46212</v>
      </c>
      <c r="S120" s="26">
        <v>46218</v>
      </c>
      <c r="T120" s="31"/>
      <c r="U120" s="30" t="s">
        <v>68</v>
      </c>
      <c r="V120" s="34" t="s">
        <v>70</v>
      </c>
      <c r="W120" s="27" t="s">
        <v>71</v>
      </c>
      <c r="X120" s="30">
        <v>1</v>
      </c>
      <c r="Y120" s="30">
        <v>1</v>
      </c>
      <c r="Z120" s="30">
        <v>1</v>
      </c>
      <c r="AA120" s="30">
        <v>2</v>
      </c>
      <c r="AB120" s="30"/>
      <c r="AC120" s="30"/>
      <c r="AD120" s="30"/>
      <c r="AE120" s="30"/>
      <c r="AF120" s="30"/>
      <c r="AG120" s="30"/>
      <c r="AH120" s="30" t="s">
        <v>469</v>
      </c>
      <c r="AI120" s="30" t="s">
        <v>124</v>
      </c>
      <c r="AJ120" s="30" t="s">
        <v>41</v>
      </c>
      <c r="AK120" s="30"/>
      <c r="AL120" s="30"/>
      <c r="AM120" s="30"/>
      <c r="AN120" s="30"/>
      <c r="AO120" s="30"/>
      <c r="AP120" s="30"/>
      <c r="AQ120" s="30"/>
      <c r="AR120" s="36"/>
      <c r="AS120" s="36"/>
      <c r="AT120" s="36"/>
      <c r="AU120" s="36"/>
      <c r="AV120" s="36"/>
      <c r="AW120" s="36"/>
      <c r="AX120" s="36"/>
      <c r="AY120" s="36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27"/>
      <c r="BL120" s="27"/>
    </row>
    <row r="121" spans="1:64">
      <c r="A121" s="25" t="s">
        <v>187</v>
      </c>
      <c r="B121" s="26">
        <v>46210</v>
      </c>
      <c r="C121" s="27">
        <v>30303</v>
      </c>
      <c r="D121" s="27"/>
      <c r="E121" s="27" t="s">
        <v>314</v>
      </c>
      <c r="F121" s="27" t="s">
        <v>59</v>
      </c>
      <c r="G121" s="27" t="s">
        <v>104</v>
      </c>
      <c r="H121" s="30" t="s">
        <v>616</v>
      </c>
      <c r="I121" s="31" t="s">
        <v>617</v>
      </c>
      <c r="J121" s="30" t="s">
        <v>618</v>
      </c>
      <c r="K121" s="27">
        <v>2</v>
      </c>
      <c r="L121" s="27">
        <v>75</v>
      </c>
      <c r="M121" s="27"/>
      <c r="N121" s="31"/>
      <c r="O121" s="27" t="s">
        <v>272</v>
      </c>
      <c r="P121" s="30"/>
      <c r="Q121" s="30" t="s">
        <v>619</v>
      </c>
      <c r="R121" s="26">
        <v>46217</v>
      </c>
      <c r="S121" s="27"/>
      <c r="T121" s="31"/>
      <c r="U121" s="30" t="s">
        <v>419</v>
      </c>
      <c r="V121" s="34" t="s">
        <v>90</v>
      </c>
      <c r="W121" s="27" t="s">
        <v>320</v>
      </c>
      <c r="X121" s="30">
        <v>1</v>
      </c>
      <c r="Y121" s="30">
        <v>1</v>
      </c>
      <c r="Z121" s="30">
        <v>1</v>
      </c>
      <c r="AA121" s="30"/>
      <c r="AB121" s="30"/>
      <c r="AC121" s="30"/>
      <c r="AD121" s="30"/>
      <c r="AE121" s="30"/>
      <c r="AF121" s="30"/>
      <c r="AG121" s="30"/>
      <c r="AH121" s="30" t="s">
        <v>69</v>
      </c>
      <c r="AI121" s="30" t="s">
        <v>541</v>
      </c>
      <c r="AJ121" s="30"/>
      <c r="AK121" s="30" t="s">
        <v>620</v>
      </c>
      <c r="AL121" s="30"/>
      <c r="AM121" s="30"/>
      <c r="AN121" s="30"/>
      <c r="AO121" s="30" t="s">
        <v>90</v>
      </c>
      <c r="AP121" s="30"/>
      <c r="AQ121" s="30"/>
      <c r="AR121" s="36"/>
      <c r="AS121" s="36"/>
      <c r="AT121" s="36"/>
      <c r="AU121" s="36"/>
      <c r="AV121" s="36"/>
      <c r="AW121" s="36"/>
      <c r="AX121" s="36"/>
      <c r="AY121" s="36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27"/>
      <c r="BL121" s="27"/>
    </row>
    <row r="122" spans="1:64">
      <c r="A122" s="25" t="s">
        <v>187</v>
      </c>
      <c r="B122" s="26">
        <v>46210</v>
      </c>
      <c r="C122" s="27">
        <v>30302</v>
      </c>
      <c r="D122" s="27"/>
      <c r="E122" s="27" t="s">
        <v>314</v>
      </c>
      <c r="F122" s="27" t="s">
        <v>59</v>
      </c>
      <c r="G122" s="27" t="s">
        <v>104</v>
      </c>
      <c r="H122" s="30" t="s">
        <v>622</v>
      </c>
      <c r="I122" s="31" t="s">
        <v>623</v>
      </c>
      <c r="J122" s="30" t="s">
        <v>624</v>
      </c>
      <c r="K122" s="27">
        <v>1</v>
      </c>
      <c r="L122" s="27">
        <v>35</v>
      </c>
      <c r="M122" s="27"/>
      <c r="N122" s="31"/>
      <c r="O122" s="27" t="s">
        <v>272</v>
      </c>
      <c r="P122" s="30"/>
      <c r="Q122" s="30"/>
      <c r="R122" s="27"/>
      <c r="S122" s="27"/>
      <c r="T122" s="59" t="s">
        <v>625</v>
      </c>
      <c r="U122" s="30" t="s">
        <v>626</v>
      </c>
      <c r="V122" s="34" t="s">
        <v>627</v>
      </c>
      <c r="W122" s="27" t="s">
        <v>320</v>
      </c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 t="s">
        <v>69</v>
      </c>
      <c r="AI122" s="30" t="s">
        <v>541</v>
      </c>
      <c r="AJ122" s="30"/>
      <c r="AK122" s="30" t="s">
        <v>620</v>
      </c>
      <c r="AL122" s="30"/>
      <c r="AM122" s="30"/>
      <c r="AN122" s="30"/>
      <c r="AO122" s="30"/>
      <c r="AP122" s="30"/>
      <c r="AQ122" s="30"/>
      <c r="AR122" s="36"/>
      <c r="AS122" s="36"/>
      <c r="AT122" s="36"/>
      <c r="AU122" s="36"/>
      <c r="AV122" s="36"/>
      <c r="AW122" s="36"/>
      <c r="AX122" s="36"/>
      <c r="AY122" s="36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27"/>
      <c r="BL122" s="27"/>
    </row>
    <row r="123" spans="1:64">
      <c r="A123" s="25" t="s">
        <v>54</v>
      </c>
      <c r="B123" s="26">
        <v>46210</v>
      </c>
      <c r="C123" s="27">
        <v>30271</v>
      </c>
      <c r="D123" s="27"/>
      <c r="E123" s="27" t="s">
        <v>203</v>
      </c>
      <c r="F123" s="27" t="s">
        <v>59</v>
      </c>
      <c r="G123" s="27" t="s">
        <v>104</v>
      </c>
      <c r="H123" s="30" t="s">
        <v>175</v>
      </c>
      <c r="I123" s="31" t="s">
        <v>628</v>
      </c>
      <c r="J123" s="30" t="s">
        <v>175</v>
      </c>
      <c r="K123" s="27">
        <v>1</v>
      </c>
      <c r="L123" s="27" t="s">
        <v>205</v>
      </c>
      <c r="M123" s="27"/>
      <c r="N123" s="31" t="s">
        <v>154</v>
      </c>
      <c r="O123" s="27"/>
      <c r="P123" s="30"/>
      <c r="Q123" s="30" t="s">
        <v>66</v>
      </c>
      <c r="R123" s="26">
        <v>46212</v>
      </c>
      <c r="S123" s="26">
        <v>46213</v>
      </c>
      <c r="T123" s="31"/>
      <c r="U123" s="30" t="s">
        <v>68</v>
      </c>
      <c r="V123" s="34" t="s">
        <v>70</v>
      </c>
      <c r="W123" s="27" t="s">
        <v>208</v>
      </c>
      <c r="X123" s="30">
        <v>1</v>
      </c>
      <c r="Y123" s="30">
        <v>1</v>
      </c>
      <c r="Z123" s="30">
        <v>1</v>
      </c>
      <c r="AA123" s="30">
        <v>1</v>
      </c>
      <c r="AB123" s="30"/>
      <c r="AC123" s="30"/>
      <c r="AD123" s="30"/>
      <c r="AE123" s="30"/>
      <c r="AF123" s="30"/>
      <c r="AG123" s="30"/>
      <c r="AH123" s="30" t="s">
        <v>69</v>
      </c>
      <c r="AI123" s="30"/>
      <c r="AJ123" s="30" t="s">
        <v>157</v>
      </c>
      <c r="AK123" s="30"/>
      <c r="AL123" s="30"/>
      <c r="AM123" s="30"/>
      <c r="AN123" s="30"/>
      <c r="AO123" s="30"/>
      <c r="AP123" s="30"/>
      <c r="AQ123" s="30"/>
      <c r="AR123" s="36"/>
      <c r="AS123" s="36"/>
      <c r="AT123" s="36"/>
      <c r="AU123" s="36"/>
      <c r="AV123" s="36"/>
      <c r="AW123" s="36"/>
      <c r="AX123" s="36"/>
      <c r="AY123" s="36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27"/>
      <c r="BL123" s="27"/>
    </row>
    <row r="124" spans="1:64">
      <c r="A124" s="25" t="s">
        <v>54</v>
      </c>
      <c r="B124" s="26">
        <v>46210</v>
      </c>
      <c r="C124" s="27">
        <v>30275</v>
      </c>
      <c r="D124" s="27"/>
      <c r="E124" s="27" t="s">
        <v>203</v>
      </c>
      <c r="F124" s="27" t="s">
        <v>59</v>
      </c>
      <c r="G124" s="27" t="s">
        <v>104</v>
      </c>
      <c r="H124" s="30" t="s">
        <v>170</v>
      </c>
      <c r="I124" s="31" t="s">
        <v>222</v>
      </c>
      <c r="J124" s="30" t="s">
        <v>170</v>
      </c>
      <c r="K124" s="27">
        <v>1</v>
      </c>
      <c r="L124" s="27" t="s">
        <v>205</v>
      </c>
      <c r="M124" s="27"/>
      <c r="N124" s="31" t="s">
        <v>602</v>
      </c>
      <c r="O124" s="27"/>
      <c r="P124" s="30"/>
      <c r="Q124" s="30" t="s">
        <v>66</v>
      </c>
      <c r="R124" s="26">
        <v>46212</v>
      </c>
      <c r="S124" s="26">
        <v>46216</v>
      </c>
      <c r="T124" s="31"/>
      <c r="U124" s="30" t="s">
        <v>68</v>
      </c>
      <c r="V124" s="34" t="s">
        <v>70</v>
      </c>
      <c r="W124" s="27" t="s">
        <v>208</v>
      </c>
      <c r="X124" s="30">
        <v>1</v>
      </c>
      <c r="Y124" s="30">
        <v>1</v>
      </c>
      <c r="Z124" s="30">
        <v>1</v>
      </c>
      <c r="AA124" s="30">
        <v>1</v>
      </c>
      <c r="AB124" s="30"/>
      <c r="AC124" s="30"/>
      <c r="AD124" s="30"/>
      <c r="AE124" s="30"/>
      <c r="AF124" s="30"/>
      <c r="AG124" s="30"/>
      <c r="AH124" s="30" t="s">
        <v>69</v>
      </c>
      <c r="AI124" s="30"/>
      <c r="AJ124" s="30" t="s">
        <v>631</v>
      </c>
      <c r="AK124" s="30"/>
      <c r="AL124" s="30"/>
      <c r="AM124" s="30"/>
      <c r="AN124" s="30"/>
      <c r="AO124" s="30"/>
      <c r="AP124" s="30"/>
      <c r="AQ124" s="30"/>
      <c r="AR124" s="36"/>
      <c r="AS124" s="36"/>
      <c r="AT124" s="36"/>
      <c r="AU124" s="36"/>
      <c r="AV124" s="36"/>
      <c r="AW124" s="36"/>
      <c r="AX124" s="36"/>
      <c r="AY124" s="36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27"/>
      <c r="BL124" s="27"/>
    </row>
    <row r="125" spans="1:64">
      <c r="A125" s="25" t="s">
        <v>54</v>
      </c>
      <c r="B125" s="26">
        <v>46210</v>
      </c>
      <c r="C125" s="27">
        <v>30273</v>
      </c>
      <c r="D125" s="27"/>
      <c r="E125" s="27" t="s">
        <v>212</v>
      </c>
      <c r="F125" s="27" t="s">
        <v>59</v>
      </c>
      <c r="G125" s="27" t="s">
        <v>104</v>
      </c>
      <c r="H125" s="30" t="s">
        <v>170</v>
      </c>
      <c r="I125" s="31" t="s">
        <v>632</v>
      </c>
      <c r="J125" s="30" t="s">
        <v>170</v>
      </c>
      <c r="K125" s="27">
        <v>1</v>
      </c>
      <c r="L125" s="27" t="s">
        <v>205</v>
      </c>
      <c r="M125" s="27"/>
      <c r="N125" s="31" t="s">
        <v>602</v>
      </c>
      <c r="O125" s="27"/>
      <c r="P125" s="30"/>
      <c r="Q125" s="30" t="s">
        <v>66</v>
      </c>
      <c r="R125" s="26">
        <v>46212</v>
      </c>
      <c r="S125" s="26">
        <v>46216</v>
      </c>
      <c r="T125" s="31"/>
      <c r="U125" s="30" t="s">
        <v>68</v>
      </c>
      <c r="V125" s="34" t="s">
        <v>70</v>
      </c>
      <c r="W125" s="27" t="s">
        <v>208</v>
      </c>
      <c r="X125" s="30">
        <v>1</v>
      </c>
      <c r="Y125" s="30">
        <v>1</v>
      </c>
      <c r="Z125" s="30">
        <v>1</v>
      </c>
      <c r="AA125" s="30">
        <v>1</v>
      </c>
      <c r="AB125" s="30"/>
      <c r="AC125" s="30"/>
      <c r="AD125" s="30"/>
      <c r="AE125" s="30"/>
      <c r="AF125" s="30"/>
      <c r="AG125" s="30"/>
      <c r="AH125" s="30" t="s">
        <v>69</v>
      </c>
      <c r="AI125" s="30"/>
      <c r="AJ125" s="30" t="s">
        <v>631</v>
      </c>
      <c r="AK125" s="30"/>
      <c r="AL125" s="30"/>
      <c r="AM125" s="30"/>
      <c r="AN125" s="30"/>
      <c r="AO125" s="30"/>
      <c r="AP125" s="30"/>
      <c r="AQ125" s="30"/>
      <c r="AR125" s="36"/>
      <c r="AS125" s="36"/>
      <c r="AT125" s="36"/>
      <c r="AU125" s="36"/>
      <c r="AV125" s="36"/>
      <c r="AW125" s="36"/>
      <c r="AX125" s="36"/>
      <c r="AY125" s="36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27"/>
      <c r="BL125" s="27"/>
    </row>
    <row r="126" spans="1:64">
      <c r="A126" s="25" t="s">
        <v>54</v>
      </c>
      <c r="B126" s="26">
        <v>46210</v>
      </c>
      <c r="C126" s="27">
        <v>29733</v>
      </c>
      <c r="D126" s="27"/>
      <c r="E126" s="27" t="s">
        <v>203</v>
      </c>
      <c r="F126" s="27" t="s">
        <v>59</v>
      </c>
      <c r="G126" s="27" t="s">
        <v>104</v>
      </c>
      <c r="H126" s="30" t="s">
        <v>151</v>
      </c>
      <c r="I126" s="31" t="s">
        <v>633</v>
      </c>
      <c r="J126" s="30" t="s">
        <v>151</v>
      </c>
      <c r="K126" s="27">
        <v>1</v>
      </c>
      <c r="L126" s="27" t="s">
        <v>214</v>
      </c>
      <c r="M126" s="27"/>
      <c r="N126" s="31" t="s">
        <v>455</v>
      </c>
      <c r="O126" s="27"/>
      <c r="P126" s="30"/>
      <c r="Q126" s="30" t="s">
        <v>66</v>
      </c>
      <c r="R126" s="26">
        <v>46212</v>
      </c>
      <c r="S126" s="26">
        <v>46213</v>
      </c>
      <c r="T126" s="31"/>
      <c r="U126" s="30" t="s">
        <v>68</v>
      </c>
      <c r="V126" s="34" t="s">
        <v>70</v>
      </c>
      <c r="W126" s="27" t="s">
        <v>208</v>
      </c>
      <c r="X126" s="30">
        <v>1</v>
      </c>
      <c r="Y126" s="30">
        <v>1</v>
      </c>
      <c r="Z126" s="30">
        <v>1</v>
      </c>
      <c r="AA126" s="30">
        <v>1</v>
      </c>
      <c r="AB126" s="30"/>
      <c r="AC126" s="30"/>
      <c r="AD126" s="30"/>
      <c r="AE126" s="30"/>
      <c r="AF126" s="30"/>
      <c r="AG126" s="30"/>
      <c r="AH126" s="30" t="s">
        <v>69</v>
      </c>
      <c r="AI126" s="30"/>
      <c r="AJ126" s="30" t="s">
        <v>583</v>
      </c>
      <c r="AK126" s="30"/>
      <c r="AL126" s="30"/>
      <c r="AM126" s="30"/>
      <c r="AN126" s="30"/>
      <c r="AO126" s="30"/>
      <c r="AP126" s="30"/>
      <c r="AQ126" s="30"/>
      <c r="AR126" s="36"/>
      <c r="AS126" s="36"/>
      <c r="AT126" s="36"/>
      <c r="AU126" s="36"/>
      <c r="AV126" s="36"/>
      <c r="AW126" s="36"/>
      <c r="AX126" s="36"/>
      <c r="AY126" s="36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27"/>
      <c r="BL126" s="27"/>
    </row>
    <row r="127" spans="1:64">
      <c r="A127" s="25" t="s">
        <v>54</v>
      </c>
      <c r="B127" s="26">
        <v>46210</v>
      </c>
      <c r="C127" s="27">
        <v>29737</v>
      </c>
      <c r="D127" s="27"/>
      <c r="E127" s="27" t="s">
        <v>203</v>
      </c>
      <c r="F127" s="27" t="s">
        <v>59</v>
      </c>
      <c r="G127" s="27" t="s">
        <v>104</v>
      </c>
      <c r="H127" s="30" t="s">
        <v>280</v>
      </c>
      <c r="I127" s="31" t="s">
        <v>634</v>
      </c>
      <c r="J127" s="30" t="s">
        <v>635</v>
      </c>
      <c r="K127" s="27">
        <v>1</v>
      </c>
      <c r="L127" s="27" t="s">
        <v>205</v>
      </c>
      <c r="M127" s="27"/>
      <c r="N127" s="31" t="s">
        <v>455</v>
      </c>
      <c r="O127" s="27"/>
      <c r="P127" s="30"/>
      <c r="Q127" s="30" t="s">
        <v>637</v>
      </c>
      <c r="R127" s="26">
        <v>46212</v>
      </c>
      <c r="S127" s="26">
        <v>46213</v>
      </c>
      <c r="T127" s="31"/>
      <c r="U127" s="30" t="s">
        <v>68</v>
      </c>
      <c r="V127" s="34" t="s">
        <v>70</v>
      </c>
      <c r="W127" s="27" t="s">
        <v>208</v>
      </c>
      <c r="X127" s="30">
        <v>1</v>
      </c>
      <c r="Y127" s="30">
        <v>1</v>
      </c>
      <c r="Z127" s="30">
        <v>1</v>
      </c>
      <c r="AA127" s="30">
        <v>1</v>
      </c>
      <c r="AB127" s="30"/>
      <c r="AC127" s="30"/>
      <c r="AD127" s="30"/>
      <c r="AE127" s="30"/>
      <c r="AF127" s="30"/>
      <c r="AG127" s="30"/>
      <c r="AH127" s="30" t="s">
        <v>69</v>
      </c>
      <c r="AI127" s="30"/>
      <c r="AJ127" s="30" t="s">
        <v>583</v>
      </c>
      <c r="AK127" s="30"/>
      <c r="AL127" s="30"/>
      <c r="AM127" s="30"/>
      <c r="AN127" s="30"/>
      <c r="AO127" s="30"/>
      <c r="AP127" s="30"/>
      <c r="AQ127" s="30"/>
      <c r="AR127" s="36"/>
      <c r="AS127" s="36"/>
      <c r="AT127" s="36"/>
      <c r="AU127" s="36"/>
      <c r="AV127" s="36"/>
      <c r="AW127" s="36"/>
      <c r="AX127" s="36"/>
      <c r="AY127" s="36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27"/>
      <c r="BL127" s="27"/>
    </row>
    <row r="128" spans="1:64">
      <c r="A128" s="25" t="s">
        <v>54</v>
      </c>
      <c r="B128" s="26">
        <v>46210</v>
      </c>
      <c r="C128" s="27">
        <v>29734</v>
      </c>
      <c r="D128" s="27"/>
      <c r="E128" s="27" t="s">
        <v>203</v>
      </c>
      <c r="F128" s="27" t="s">
        <v>59</v>
      </c>
      <c r="G128" s="27" t="s">
        <v>104</v>
      </c>
      <c r="H128" s="30" t="s">
        <v>151</v>
      </c>
      <c r="I128" s="31" t="s">
        <v>638</v>
      </c>
      <c r="J128" s="30" t="s">
        <v>151</v>
      </c>
      <c r="K128" s="27">
        <v>1</v>
      </c>
      <c r="L128" s="27" t="s">
        <v>205</v>
      </c>
      <c r="M128" s="27"/>
      <c r="N128" s="31" t="s">
        <v>455</v>
      </c>
      <c r="O128" s="27"/>
      <c r="P128" s="30"/>
      <c r="Q128" s="30" t="s">
        <v>66</v>
      </c>
      <c r="R128" s="26">
        <v>46212</v>
      </c>
      <c r="S128" s="26">
        <v>46213</v>
      </c>
      <c r="T128" s="31"/>
      <c r="U128" s="30" t="s">
        <v>68</v>
      </c>
      <c r="V128" s="34" t="s">
        <v>70</v>
      </c>
      <c r="W128" s="27" t="s">
        <v>208</v>
      </c>
      <c r="X128" s="30">
        <v>1</v>
      </c>
      <c r="Y128" s="30">
        <v>1</v>
      </c>
      <c r="Z128" s="30">
        <v>1</v>
      </c>
      <c r="AA128" s="30">
        <v>1</v>
      </c>
      <c r="AB128" s="30"/>
      <c r="AC128" s="30"/>
      <c r="AD128" s="30"/>
      <c r="AE128" s="30"/>
      <c r="AF128" s="30"/>
      <c r="AG128" s="30"/>
      <c r="AH128" s="30" t="s">
        <v>69</v>
      </c>
      <c r="AI128" s="30"/>
      <c r="AJ128" s="30" t="s">
        <v>583</v>
      </c>
      <c r="AK128" s="30"/>
      <c r="AL128" s="30"/>
      <c r="AM128" s="30"/>
      <c r="AN128" s="30"/>
      <c r="AO128" s="30"/>
      <c r="AP128" s="30"/>
      <c r="AQ128" s="30"/>
      <c r="AR128" s="36"/>
      <c r="AS128" s="36"/>
      <c r="AT128" s="36"/>
      <c r="AU128" s="36"/>
      <c r="AV128" s="36"/>
      <c r="AW128" s="36"/>
      <c r="AX128" s="36"/>
      <c r="AY128" s="36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27"/>
      <c r="BL128" s="27"/>
    </row>
    <row r="129" spans="1:64">
      <c r="A129" s="25" t="s">
        <v>54</v>
      </c>
      <c r="B129" s="26">
        <v>46210</v>
      </c>
      <c r="C129" s="27">
        <v>29728</v>
      </c>
      <c r="D129" s="27"/>
      <c r="E129" s="27" t="s">
        <v>203</v>
      </c>
      <c r="F129" s="27" t="s">
        <v>59</v>
      </c>
      <c r="G129" s="27" t="s">
        <v>104</v>
      </c>
      <c r="H129" s="30" t="s">
        <v>106</v>
      </c>
      <c r="I129" s="31" t="s">
        <v>639</v>
      </c>
      <c r="J129" s="30" t="s">
        <v>106</v>
      </c>
      <c r="K129" s="27">
        <v>1</v>
      </c>
      <c r="L129" s="27" t="s">
        <v>214</v>
      </c>
      <c r="M129" s="27"/>
      <c r="N129" s="31" t="s">
        <v>95</v>
      </c>
      <c r="O129" s="27"/>
      <c r="P129" s="30"/>
      <c r="Q129" s="30" t="s">
        <v>66</v>
      </c>
      <c r="R129" s="26">
        <v>46211</v>
      </c>
      <c r="S129" s="26">
        <v>46213</v>
      </c>
      <c r="T129" s="31"/>
      <c r="U129" s="30" t="s">
        <v>68</v>
      </c>
      <c r="V129" s="34" t="s">
        <v>70</v>
      </c>
      <c r="W129" s="27" t="s">
        <v>208</v>
      </c>
      <c r="X129" s="30">
        <v>1</v>
      </c>
      <c r="Y129" s="30">
        <v>1</v>
      </c>
      <c r="Z129" s="30">
        <v>1</v>
      </c>
      <c r="AA129" s="30">
        <v>1</v>
      </c>
      <c r="AB129" s="30"/>
      <c r="AC129" s="30"/>
      <c r="AD129" s="30"/>
      <c r="AE129" s="30"/>
      <c r="AF129" s="30"/>
      <c r="AG129" s="30"/>
      <c r="AH129" s="30" t="s">
        <v>640</v>
      </c>
      <c r="AI129" s="30" t="s">
        <v>41</v>
      </c>
      <c r="AJ129" s="30"/>
      <c r="AK129" s="30"/>
      <c r="AL129" s="30"/>
      <c r="AM129" s="30"/>
      <c r="AN129" s="30"/>
      <c r="AO129" s="30"/>
      <c r="AP129" s="30"/>
      <c r="AQ129" s="30"/>
      <c r="AR129" s="36"/>
      <c r="AS129" s="36"/>
      <c r="AT129" s="36"/>
      <c r="AU129" s="36"/>
      <c r="AV129" s="36"/>
      <c r="AW129" s="36"/>
      <c r="AX129" s="36"/>
      <c r="AY129" s="36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27"/>
      <c r="BL129" s="27"/>
    </row>
    <row r="130" spans="1:64">
      <c r="A130" s="25" t="s">
        <v>54</v>
      </c>
      <c r="B130" s="26">
        <v>46210</v>
      </c>
      <c r="C130" s="27">
        <v>29729</v>
      </c>
      <c r="D130" s="27"/>
      <c r="E130" s="27" t="s">
        <v>203</v>
      </c>
      <c r="F130" s="27" t="s">
        <v>59</v>
      </c>
      <c r="G130" s="27" t="s">
        <v>104</v>
      </c>
      <c r="H130" s="30" t="s">
        <v>106</v>
      </c>
      <c r="I130" s="31" t="s">
        <v>463</v>
      </c>
      <c r="J130" s="30" t="s">
        <v>106</v>
      </c>
      <c r="K130" s="27">
        <v>1</v>
      </c>
      <c r="L130" s="27" t="s">
        <v>205</v>
      </c>
      <c r="M130" s="27"/>
      <c r="N130" s="31" t="s">
        <v>95</v>
      </c>
      <c r="O130" s="27"/>
      <c r="P130" s="30"/>
      <c r="Q130" s="30" t="s">
        <v>328</v>
      </c>
      <c r="R130" s="26">
        <v>46211</v>
      </c>
      <c r="S130" s="26">
        <v>46213</v>
      </c>
      <c r="T130" s="31"/>
      <c r="U130" s="30" t="s">
        <v>68</v>
      </c>
      <c r="V130" s="34" t="s">
        <v>70</v>
      </c>
      <c r="W130" s="27" t="s">
        <v>208</v>
      </c>
      <c r="X130" s="30">
        <v>1</v>
      </c>
      <c r="Y130" s="30">
        <v>1</v>
      </c>
      <c r="Z130" s="30">
        <v>1</v>
      </c>
      <c r="AA130" s="30">
        <v>1</v>
      </c>
      <c r="AB130" s="30"/>
      <c r="AC130" s="30"/>
      <c r="AD130" s="30"/>
      <c r="AE130" s="30"/>
      <c r="AF130" s="30"/>
      <c r="AG130" s="30"/>
      <c r="AH130" s="30" t="s">
        <v>640</v>
      </c>
      <c r="AI130" s="30" t="s">
        <v>41</v>
      </c>
      <c r="AJ130" s="30"/>
      <c r="AK130" s="30"/>
      <c r="AL130" s="30"/>
      <c r="AM130" s="30"/>
      <c r="AN130" s="30"/>
      <c r="AO130" s="30"/>
      <c r="AP130" s="30"/>
      <c r="AQ130" s="30"/>
      <c r="AR130" s="36"/>
      <c r="AS130" s="36"/>
      <c r="AT130" s="36"/>
      <c r="AU130" s="36"/>
      <c r="AV130" s="36"/>
      <c r="AW130" s="36"/>
      <c r="AX130" s="36"/>
      <c r="AY130" s="36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27"/>
      <c r="BL130" s="27"/>
    </row>
    <row r="131" spans="1:64">
      <c r="A131" s="25" t="s">
        <v>54</v>
      </c>
      <c r="B131" s="26">
        <v>46210</v>
      </c>
      <c r="C131" s="27">
        <v>29736</v>
      </c>
      <c r="D131" s="27"/>
      <c r="E131" s="27" t="s">
        <v>212</v>
      </c>
      <c r="F131" s="27" t="s">
        <v>59</v>
      </c>
      <c r="G131" s="27" t="s">
        <v>104</v>
      </c>
      <c r="H131" s="30" t="s">
        <v>538</v>
      </c>
      <c r="I131" s="31" t="s">
        <v>641</v>
      </c>
      <c r="J131" s="30" t="s">
        <v>538</v>
      </c>
      <c r="K131" s="27">
        <v>1</v>
      </c>
      <c r="L131" s="27" t="s">
        <v>205</v>
      </c>
      <c r="M131" s="27"/>
      <c r="N131" s="31" t="s">
        <v>81</v>
      </c>
      <c r="O131" s="27"/>
      <c r="P131" s="30"/>
      <c r="Q131" s="30" t="s">
        <v>66</v>
      </c>
      <c r="R131" s="26">
        <v>46212</v>
      </c>
      <c r="S131" s="26">
        <v>46213</v>
      </c>
      <c r="T131" s="31"/>
      <c r="U131" s="30" t="s">
        <v>68</v>
      </c>
      <c r="V131" s="34" t="s">
        <v>70</v>
      </c>
      <c r="W131" s="27" t="s">
        <v>208</v>
      </c>
      <c r="X131" s="30">
        <v>1</v>
      </c>
      <c r="Y131" s="30">
        <v>1</v>
      </c>
      <c r="Z131" s="30">
        <v>1</v>
      </c>
      <c r="AA131" s="30">
        <v>1</v>
      </c>
      <c r="AB131" s="30"/>
      <c r="AC131" s="30"/>
      <c r="AD131" s="30"/>
      <c r="AE131" s="30"/>
      <c r="AF131" s="30"/>
      <c r="AG131" s="30"/>
      <c r="AH131" s="30" t="s">
        <v>69</v>
      </c>
      <c r="AI131" s="30"/>
      <c r="AJ131" s="30" t="s">
        <v>88</v>
      </c>
      <c r="AK131" s="30"/>
      <c r="AL131" s="30"/>
      <c r="AM131" s="30"/>
      <c r="AN131" s="30"/>
      <c r="AO131" s="30"/>
      <c r="AP131" s="30"/>
      <c r="AQ131" s="30"/>
      <c r="AR131" s="36"/>
      <c r="AS131" s="36"/>
      <c r="AT131" s="36"/>
      <c r="AU131" s="36"/>
      <c r="AV131" s="36"/>
      <c r="AW131" s="36"/>
      <c r="AX131" s="36"/>
      <c r="AY131" s="36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27"/>
      <c r="BL131" s="27"/>
    </row>
    <row r="132" spans="1:64">
      <c r="A132" s="25" t="s">
        <v>54</v>
      </c>
      <c r="B132" s="26">
        <v>46210</v>
      </c>
      <c r="C132" s="27">
        <v>29730</v>
      </c>
      <c r="D132" s="27"/>
      <c r="E132" s="27" t="s">
        <v>203</v>
      </c>
      <c r="F132" s="27" t="s">
        <v>59</v>
      </c>
      <c r="G132" s="27" t="s">
        <v>104</v>
      </c>
      <c r="H132" s="30" t="s">
        <v>538</v>
      </c>
      <c r="I132" s="31" t="s">
        <v>644</v>
      </c>
      <c r="J132" s="30" t="s">
        <v>538</v>
      </c>
      <c r="K132" s="27">
        <v>1</v>
      </c>
      <c r="L132" s="27" t="s">
        <v>214</v>
      </c>
      <c r="M132" s="27"/>
      <c r="N132" s="31" t="s">
        <v>81</v>
      </c>
      <c r="O132" s="27"/>
      <c r="P132" s="30"/>
      <c r="Q132" s="30" t="s">
        <v>645</v>
      </c>
      <c r="R132" s="26">
        <v>46212</v>
      </c>
      <c r="S132" s="26">
        <v>46213</v>
      </c>
      <c r="T132" s="31"/>
      <c r="U132" s="30" t="s">
        <v>68</v>
      </c>
      <c r="V132" s="34" t="s">
        <v>70</v>
      </c>
      <c r="W132" s="27" t="s">
        <v>208</v>
      </c>
      <c r="X132" s="30">
        <v>1</v>
      </c>
      <c r="Y132" s="30">
        <v>1</v>
      </c>
      <c r="Z132" s="30">
        <v>1</v>
      </c>
      <c r="AA132" s="30">
        <v>1</v>
      </c>
      <c r="AB132" s="30"/>
      <c r="AC132" s="30"/>
      <c r="AD132" s="30"/>
      <c r="AE132" s="30"/>
      <c r="AF132" s="30"/>
      <c r="AG132" s="30"/>
      <c r="AH132" s="30" t="s">
        <v>69</v>
      </c>
      <c r="AI132" s="30"/>
      <c r="AJ132" s="30" t="s">
        <v>88</v>
      </c>
      <c r="AK132" s="30"/>
      <c r="AL132" s="30"/>
      <c r="AM132" s="30"/>
      <c r="AN132" s="30"/>
      <c r="AO132" s="30"/>
      <c r="AP132" s="30"/>
      <c r="AQ132" s="30"/>
      <c r="AR132" s="36"/>
      <c r="AS132" s="36"/>
      <c r="AT132" s="36"/>
      <c r="AU132" s="36"/>
      <c r="AV132" s="36"/>
      <c r="AW132" s="36"/>
      <c r="AX132" s="36"/>
      <c r="AY132" s="36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27"/>
      <c r="BL132" s="27"/>
    </row>
    <row r="133" spans="1:64">
      <c r="A133" s="25" t="s">
        <v>54</v>
      </c>
      <c r="B133" s="26">
        <v>46210</v>
      </c>
      <c r="C133" s="27">
        <v>29739</v>
      </c>
      <c r="D133" s="27"/>
      <c r="E133" s="27" t="s">
        <v>212</v>
      </c>
      <c r="F133" s="27" t="s">
        <v>59</v>
      </c>
      <c r="G133" s="27" t="s">
        <v>104</v>
      </c>
      <c r="H133" s="30" t="s">
        <v>60</v>
      </c>
      <c r="I133" s="31" t="s">
        <v>646</v>
      </c>
      <c r="J133" s="30" t="s">
        <v>60</v>
      </c>
      <c r="K133" s="27">
        <v>1</v>
      </c>
      <c r="L133" s="27" t="s">
        <v>205</v>
      </c>
      <c r="M133" s="27"/>
      <c r="N133" s="31" t="s">
        <v>258</v>
      </c>
      <c r="O133" s="27"/>
      <c r="P133" s="30"/>
      <c r="Q133" s="30" t="s">
        <v>66</v>
      </c>
      <c r="R133" s="26">
        <v>46211</v>
      </c>
      <c r="S133" s="26">
        <v>46212</v>
      </c>
      <c r="T133" s="31"/>
      <c r="U133" s="30" t="s">
        <v>68</v>
      </c>
      <c r="V133" s="34" t="s">
        <v>70</v>
      </c>
      <c r="W133" s="27" t="s">
        <v>208</v>
      </c>
      <c r="X133" s="30">
        <v>1</v>
      </c>
      <c r="Y133" s="30">
        <v>1</v>
      </c>
      <c r="Z133" s="30">
        <v>1</v>
      </c>
      <c r="AA133" s="30">
        <v>1</v>
      </c>
      <c r="AB133" s="30"/>
      <c r="AC133" s="30"/>
      <c r="AD133" s="30"/>
      <c r="AE133" s="30"/>
      <c r="AF133" s="30"/>
      <c r="AG133" s="30"/>
      <c r="AH133" s="30" t="s">
        <v>69</v>
      </c>
      <c r="AI133" s="30" t="s">
        <v>260</v>
      </c>
      <c r="AJ133" s="30"/>
      <c r="AK133" s="30"/>
      <c r="AL133" s="30"/>
      <c r="AM133" s="30"/>
      <c r="AN133" s="30"/>
      <c r="AO133" s="30"/>
      <c r="AP133" s="30"/>
      <c r="AQ133" s="30"/>
      <c r="AR133" s="36"/>
      <c r="AS133" s="36"/>
      <c r="AT133" s="36"/>
      <c r="AU133" s="36"/>
      <c r="AV133" s="36"/>
      <c r="AW133" s="36"/>
      <c r="AX133" s="36"/>
      <c r="AY133" s="36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27"/>
      <c r="BL133" s="27"/>
    </row>
    <row r="134" spans="1:64">
      <c r="A134" s="25" t="s">
        <v>54</v>
      </c>
      <c r="B134" s="26">
        <v>46210</v>
      </c>
      <c r="C134" s="27">
        <v>29732</v>
      </c>
      <c r="D134" s="27"/>
      <c r="E134" s="27" t="s">
        <v>233</v>
      </c>
      <c r="F134" s="27" t="s">
        <v>59</v>
      </c>
      <c r="G134" s="27" t="s">
        <v>104</v>
      </c>
      <c r="H134" s="30" t="s">
        <v>60</v>
      </c>
      <c r="I134" s="31" t="s">
        <v>647</v>
      </c>
      <c r="J134" s="30" t="s">
        <v>60</v>
      </c>
      <c r="K134" s="27">
        <v>1</v>
      </c>
      <c r="L134" s="27"/>
      <c r="M134" s="27"/>
      <c r="N134" s="31" t="s">
        <v>154</v>
      </c>
      <c r="O134" s="27"/>
      <c r="P134" s="30"/>
      <c r="Q134" s="30" t="s">
        <v>66</v>
      </c>
      <c r="R134" s="26">
        <v>46213</v>
      </c>
      <c r="S134" s="26">
        <v>46216</v>
      </c>
      <c r="T134" s="31"/>
      <c r="U134" s="30" t="s">
        <v>68</v>
      </c>
      <c r="V134" s="34" t="s">
        <v>70</v>
      </c>
      <c r="W134" s="27" t="s">
        <v>208</v>
      </c>
      <c r="X134" s="30">
        <v>1</v>
      </c>
      <c r="Y134" s="30">
        <v>1</v>
      </c>
      <c r="Z134" s="30">
        <v>1</v>
      </c>
      <c r="AA134" s="30">
        <v>1</v>
      </c>
      <c r="AB134" s="30"/>
      <c r="AC134" s="30"/>
      <c r="AD134" s="30"/>
      <c r="AE134" s="30"/>
      <c r="AF134" s="30"/>
      <c r="AG134" s="30"/>
      <c r="AH134" s="30" t="s">
        <v>69</v>
      </c>
      <c r="AI134" s="30"/>
      <c r="AJ134" s="30"/>
      <c r="AK134" s="30" t="s">
        <v>157</v>
      </c>
      <c r="AL134" s="30"/>
      <c r="AM134" s="30"/>
      <c r="AN134" s="30"/>
      <c r="AO134" s="30"/>
      <c r="AP134" s="30"/>
      <c r="AQ134" s="30"/>
      <c r="AR134" s="36"/>
      <c r="AS134" s="36"/>
      <c r="AT134" s="36"/>
      <c r="AU134" s="36"/>
      <c r="AV134" s="36"/>
      <c r="AW134" s="36"/>
      <c r="AX134" s="36"/>
      <c r="AY134" s="36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27"/>
      <c r="BL134" s="27"/>
    </row>
    <row r="135" spans="1:64">
      <c r="A135" s="25" t="s">
        <v>54</v>
      </c>
      <c r="B135" s="26">
        <v>46210</v>
      </c>
      <c r="C135" s="27">
        <v>30274</v>
      </c>
      <c r="D135" s="27"/>
      <c r="E135" s="27" t="s">
        <v>212</v>
      </c>
      <c r="F135" s="27" t="s">
        <v>59</v>
      </c>
      <c r="G135" s="27" t="s">
        <v>104</v>
      </c>
      <c r="H135" s="30" t="s">
        <v>28</v>
      </c>
      <c r="I135" s="31" t="s">
        <v>459</v>
      </c>
      <c r="J135" s="30" t="s">
        <v>28</v>
      </c>
      <c r="K135" s="27">
        <v>1</v>
      </c>
      <c r="L135" s="27" t="s">
        <v>205</v>
      </c>
      <c r="M135" s="27"/>
      <c r="N135" s="31" t="s">
        <v>258</v>
      </c>
      <c r="O135" s="27"/>
      <c r="P135" s="30"/>
      <c r="Q135" s="30" t="s">
        <v>648</v>
      </c>
      <c r="R135" s="26">
        <v>46211</v>
      </c>
      <c r="S135" s="26">
        <v>46211</v>
      </c>
      <c r="T135" s="31"/>
      <c r="U135" s="30" t="s">
        <v>68</v>
      </c>
      <c r="V135" s="34" t="s">
        <v>70</v>
      </c>
      <c r="W135" s="27" t="s">
        <v>208</v>
      </c>
      <c r="X135" s="30">
        <v>1</v>
      </c>
      <c r="Y135" s="30">
        <v>1</v>
      </c>
      <c r="Z135" s="30">
        <v>1</v>
      </c>
      <c r="AA135" s="30">
        <v>1</v>
      </c>
      <c r="AB135" s="30"/>
      <c r="AC135" s="30"/>
      <c r="AD135" s="30"/>
      <c r="AE135" s="30"/>
      <c r="AF135" s="30"/>
      <c r="AG135" s="30"/>
      <c r="AH135" s="30" t="s">
        <v>69</v>
      </c>
      <c r="AI135" s="30" t="s">
        <v>260</v>
      </c>
      <c r="AJ135" s="30"/>
      <c r="AK135" s="30"/>
      <c r="AL135" s="30"/>
      <c r="AM135" s="30"/>
      <c r="AN135" s="30"/>
      <c r="AO135" s="30"/>
      <c r="AP135" s="30"/>
      <c r="AQ135" s="30"/>
      <c r="AR135" s="36"/>
      <c r="AS135" s="36"/>
      <c r="AT135" s="36"/>
      <c r="AU135" s="36"/>
      <c r="AV135" s="36"/>
      <c r="AW135" s="36"/>
      <c r="AX135" s="36"/>
      <c r="AY135" s="36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27"/>
      <c r="BL135" s="27"/>
    </row>
    <row r="136" spans="1:64">
      <c r="A136" s="25" t="s">
        <v>54</v>
      </c>
      <c r="B136" s="26">
        <v>46210</v>
      </c>
      <c r="C136" s="27">
        <v>29727</v>
      </c>
      <c r="D136" s="27"/>
      <c r="E136" s="27" t="s">
        <v>212</v>
      </c>
      <c r="F136" s="27" t="s">
        <v>59</v>
      </c>
      <c r="G136" s="27" t="s">
        <v>104</v>
      </c>
      <c r="H136" s="30" t="s">
        <v>60</v>
      </c>
      <c r="I136" s="31" t="s">
        <v>649</v>
      </c>
      <c r="J136" s="30" t="s">
        <v>60</v>
      </c>
      <c r="K136" s="27">
        <v>1</v>
      </c>
      <c r="L136" s="27" t="s">
        <v>214</v>
      </c>
      <c r="M136" s="27"/>
      <c r="N136" s="31" t="s">
        <v>154</v>
      </c>
      <c r="O136" s="27"/>
      <c r="P136" s="30"/>
      <c r="Q136" s="30" t="s">
        <v>650</v>
      </c>
      <c r="R136" s="26">
        <v>46212</v>
      </c>
      <c r="S136" s="26">
        <v>46216</v>
      </c>
      <c r="T136" s="31"/>
      <c r="U136" s="30" t="s">
        <v>68</v>
      </c>
      <c r="V136" s="34" t="s">
        <v>70</v>
      </c>
      <c r="W136" s="27" t="s">
        <v>208</v>
      </c>
      <c r="X136" s="30">
        <v>1</v>
      </c>
      <c r="Y136" s="30">
        <v>1</v>
      </c>
      <c r="Z136" s="30">
        <v>1</v>
      </c>
      <c r="AA136" s="30">
        <v>1</v>
      </c>
      <c r="AB136" s="30"/>
      <c r="AC136" s="30"/>
      <c r="AD136" s="30"/>
      <c r="AE136" s="30"/>
      <c r="AF136" s="30"/>
      <c r="AG136" s="30"/>
      <c r="AH136" s="30" t="s">
        <v>69</v>
      </c>
      <c r="AI136" s="30"/>
      <c r="AJ136" s="30" t="s">
        <v>546</v>
      </c>
      <c r="AK136" s="30"/>
      <c r="AL136" s="30"/>
      <c r="AM136" s="30"/>
      <c r="AN136" s="30"/>
      <c r="AO136" s="30"/>
      <c r="AP136" s="30"/>
      <c r="AQ136" s="30"/>
      <c r="AR136" s="36"/>
      <c r="AS136" s="36"/>
      <c r="AT136" s="36"/>
      <c r="AU136" s="36"/>
      <c r="AV136" s="36"/>
      <c r="AW136" s="36"/>
      <c r="AX136" s="36"/>
      <c r="AY136" s="36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27"/>
      <c r="BL136" s="27"/>
    </row>
    <row r="137" spans="1:64">
      <c r="A137" s="25" t="s">
        <v>54</v>
      </c>
      <c r="B137" s="26">
        <v>46210</v>
      </c>
      <c r="C137" s="27">
        <v>29735</v>
      </c>
      <c r="D137" s="27"/>
      <c r="E137" s="27" t="s">
        <v>212</v>
      </c>
      <c r="F137" s="27" t="s">
        <v>59</v>
      </c>
      <c r="G137" s="27" t="s">
        <v>104</v>
      </c>
      <c r="H137" s="30" t="s">
        <v>28</v>
      </c>
      <c r="I137" s="31" t="s">
        <v>651</v>
      </c>
      <c r="J137" s="30" t="s">
        <v>28</v>
      </c>
      <c r="K137" s="27">
        <v>1</v>
      </c>
      <c r="L137" s="27" t="s">
        <v>205</v>
      </c>
      <c r="M137" s="27"/>
      <c r="N137" s="31" t="s">
        <v>258</v>
      </c>
      <c r="O137" s="27"/>
      <c r="P137" s="30"/>
      <c r="Q137" s="30" t="s">
        <v>652</v>
      </c>
      <c r="R137" s="26">
        <v>46211</v>
      </c>
      <c r="S137" s="26">
        <v>46211</v>
      </c>
      <c r="T137" s="31"/>
      <c r="U137" s="30" t="s">
        <v>68</v>
      </c>
      <c r="V137" s="34" t="s">
        <v>70</v>
      </c>
      <c r="W137" s="27" t="s">
        <v>208</v>
      </c>
      <c r="X137" s="30">
        <v>1</v>
      </c>
      <c r="Y137" s="30">
        <v>1</v>
      </c>
      <c r="Z137" s="30">
        <v>1</v>
      </c>
      <c r="AA137" s="30">
        <v>1</v>
      </c>
      <c r="AB137" s="30"/>
      <c r="AC137" s="30"/>
      <c r="AD137" s="30"/>
      <c r="AE137" s="30"/>
      <c r="AF137" s="30"/>
      <c r="AG137" s="30"/>
      <c r="AH137" s="30" t="s">
        <v>69</v>
      </c>
      <c r="AI137" s="30" t="s">
        <v>260</v>
      </c>
      <c r="AJ137" s="30"/>
      <c r="AK137" s="30"/>
      <c r="AL137" s="30"/>
      <c r="AM137" s="30"/>
      <c r="AN137" s="30"/>
      <c r="AO137" s="30"/>
      <c r="AP137" s="30"/>
      <c r="AQ137" s="30"/>
      <c r="AR137" s="36"/>
      <c r="AS137" s="36"/>
      <c r="AT137" s="36"/>
      <c r="AU137" s="36"/>
      <c r="AV137" s="36"/>
      <c r="AW137" s="36"/>
      <c r="AX137" s="36"/>
      <c r="AY137" s="36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27"/>
      <c r="BL137" s="27"/>
    </row>
    <row r="138" spans="1:64">
      <c r="A138" s="25" t="s">
        <v>54</v>
      </c>
      <c r="B138" s="26">
        <v>46210</v>
      </c>
      <c r="C138" s="27">
        <v>29726</v>
      </c>
      <c r="D138" s="27"/>
      <c r="E138" s="27" t="s">
        <v>212</v>
      </c>
      <c r="F138" s="27" t="s">
        <v>59</v>
      </c>
      <c r="G138" s="27" t="s">
        <v>104</v>
      </c>
      <c r="H138" s="30" t="s">
        <v>28</v>
      </c>
      <c r="I138" s="31" t="s">
        <v>653</v>
      </c>
      <c r="J138" s="30" t="s">
        <v>28</v>
      </c>
      <c r="K138" s="27">
        <v>1</v>
      </c>
      <c r="L138" s="27" t="s">
        <v>214</v>
      </c>
      <c r="M138" s="27"/>
      <c r="N138" s="31" t="s">
        <v>258</v>
      </c>
      <c r="O138" s="27"/>
      <c r="P138" s="30"/>
      <c r="Q138" s="30" t="s">
        <v>654</v>
      </c>
      <c r="R138" s="26">
        <v>46211</v>
      </c>
      <c r="S138" s="26">
        <v>46211</v>
      </c>
      <c r="T138" s="31"/>
      <c r="U138" s="30" t="s">
        <v>68</v>
      </c>
      <c r="V138" s="34" t="s">
        <v>70</v>
      </c>
      <c r="W138" s="27" t="s">
        <v>208</v>
      </c>
      <c r="X138" s="30">
        <v>1</v>
      </c>
      <c r="Y138" s="30">
        <v>1</v>
      </c>
      <c r="Z138" s="30">
        <v>1</v>
      </c>
      <c r="AA138" s="30">
        <v>1</v>
      </c>
      <c r="AB138" s="30"/>
      <c r="AC138" s="30"/>
      <c r="AD138" s="30"/>
      <c r="AE138" s="30"/>
      <c r="AF138" s="30"/>
      <c r="AG138" s="30"/>
      <c r="AH138" s="30" t="s">
        <v>69</v>
      </c>
      <c r="AI138" s="30" t="s">
        <v>260</v>
      </c>
      <c r="AJ138" s="30"/>
      <c r="AK138" s="30"/>
      <c r="AL138" s="30"/>
      <c r="AM138" s="30"/>
      <c r="AN138" s="30"/>
      <c r="AO138" s="30"/>
      <c r="AP138" s="30"/>
      <c r="AQ138" s="30"/>
      <c r="AR138" s="36"/>
      <c r="AS138" s="36"/>
      <c r="AT138" s="36"/>
      <c r="AU138" s="36"/>
      <c r="AV138" s="36"/>
      <c r="AW138" s="36"/>
      <c r="AX138" s="36"/>
      <c r="AY138" s="36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27"/>
      <c r="BL138" s="27"/>
    </row>
    <row r="139" spans="1:64">
      <c r="A139" s="25" t="s">
        <v>54</v>
      </c>
      <c r="B139" s="26">
        <v>46210</v>
      </c>
      <c r="C139" s="27">
        <v>29731</v>
      </c>
      <c r="D139" s="27"/>
      <c r="E139" s="27" t="s">
        <v>212</v>
      </c>
      <c r="F139" s="27" t="s">
        <v>59</v>
      </c>
      <c r="G139" s="27" t="s">
        <v>104</v>
      </c>
      <c r="H139" s="30" t="s">
        <v>234</v>
      </c>
      <c r="I139" s="31" t="s">
        <v>655</v>
      </c>
      <c r="J139" s="30" t="s">
        <v>656</v>
      </c>
      <c r="K139" s="27">
        <v>1</v>
      </c>
      <c r="L139" s="27" t="s">
        <v>205</v>
      </c>
      <c r="M139" s="27"/>
      <c r="N139" s="31" t="s">
        <v>94</v>
      </c>
      <c r="O139" s="27"/>
      <c r="P139" s="30"/>
      <c r="Q139" s="30" t="s">
        <v>657</v>
      </c>
      <c r="R139" s="26">
        <v>46213</v>
      </c>
      <c r="S139" s="26">
        <v>46213</v>
      </c>
      <c r="T139" s="31"/>
      <c r="U139" s="30" t="s">
        <v>68</v>
      </c>
      <c r="V139" s="34" t="s">
        <v>70</v>
      </c>
      <c r="W139" s="27" t="s">
        <v>208</v>
      </c>
      <c r="X139" s="30">
        <v>1</v>
      </c>
      <c r="Y139" s="30">
        <v>1</v>
      </c>
      <c r="Z139" s="30">
        <v>1</v>
      </c>
      <c r="AA139" s="30">
        <v>1</v>
      </c>
      <c r="AB139" s="30"/>
      <c r="AC139" s="30"/>
      <c r="AD139" s="30"/>
      <c r="AE139" s="30"/>
      <c r="AF139" s="30"/>
      <c r="AG139" s="30"/>
      <c r="AH139" s="30" t="s">
        <v>69</v>
      </c>
      <c r="AI139" s="30"/>
      <c r="AJ139" s="30" t="s">
        <v>94</v>
      </c>
      <c r="AK139" s="30" t="s">
        <v>41</v>
      </c>
      <c r="AL139" s="30"/>
      <c r="AM139" s="30"/>
      <c r="AN139" s="30"/>
      <c r="AO139" s="30"/>
      <c r="AP139" s="30"/>
      <c r="AQ139" s="30"/>
      <c r="AR139" s="36"/>
      <c r="AS139" s="36"/>
      <c r="AT139" s="36"/>
      <c r="AU139" s="36"/>
      <c r="AV139" s="36"/>
      <c r="AW139" s="36"/>
      <c r="AX139" s="36"/>
      <c r="AY139" s="36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27"/>
      <c r="BL139" s="27"/>
    </row>
    <row r="140" spans="1:64">
      <c r="A140" s="25" t="s">
        <v>54</v>
      </c>
      <c r="B140" s="26">
        <v>46210</v>
      </c>
      <c r="C140" s="27">
        <v>30272</v>
      </c>
      <c r="D140" s="27"/>
      <c r="E140" s="27" t="s">
        <v>212</v>
      </c>
      <c r="F140" s="27" t="s">
        <v>59</v>
      </c>
      <c r="G140" s="27" t="s">
        <v>104</v>
      </c>
      <c r="H140" s="30" t="s">
        <v>234</v>
      </c>
      <c r="I140" s="31" t="s">
        <v>658</v>
      </c>
      <c r="J140" s="30" t="s">
        <v>659</v>
      </c>
      <c r="K140" s="27">
        <v>1</v>
      </c>
      <c r="L140" s="27" t="s">
        <v>205</v>
      </c>
      <c r="M140" s="27"/>
      <c r="N140" s="31" t="s">
        <v>94</v>
      </c>
      <c r="O140" s="27"/>
      <c r="P140" s="30"/>
      <c r="Q140" s="30" t="s">
        <v>660</v>
      </c>
      <c r="R140" s="26">
        <v>46212</v>
      </c>
      <c r="S140" s="26">
        <v>46213</v>
      </c>
      <c r="T140" s="31"/>
      <c r="U140" s="30" t="s">
        <v>68</v>
      </c>
      <c r="V140" s="34" t="s">
        <v>70</v>
      </c>
      <c r="W140" s="27" t="s">
        <v>208</v>
      </c>
      <c r="X140" s="30">
        <v>1</v>
      </c>
      <c r="Y140" s="30">
        <v>1</v>
      </c>
      <c r="Z140" s="30">
        <v>1</v>
      </c>
      <c r="AA140" s="30">
        <v>1</v>
      </c>
      <c r="AB140" s="30"/>
      <c r="AC140" s="30"/>
      <c r="AD140" s="30"/>
      <c r="AE140" s="30"/>
      <c r="AF140" s="30"/>
      <c r="AG140" s="30"/>
      <c r="AH140" s="30" t="s">
        <v>69</v>
      </c>
      <c r="AI140" s="30"/>
      <c r="AJ140" s="30" t="s">
        <v>105</v>
      </c>
      <c r="AK140" s="30"/>
      <c r="AL140" s="30"/>
      <c r="AM140" s="30"/>
      <c r="AN140" s="30"/>
      <c r="AO140" s="30"/>
      <c r="AP140" s="30"/>
      <c r="AQ140" s="30"/>
      <c r="AR140" s="36"/>
      <c r="AS140" s="36"/>
      <c r="AT140" s="36"/>
      <c r="AU140" s="36"/>
      <c r="AV140" s="36"/>
      <c r="AW140" s="36"/>
      <c r="AX140" s="36"/>
      <c r="AY140" s="36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27"/>
      <c r="BL140" s="27"/>
    </row>
    <row r="141" spans="1:64">
      <c r="A141" s="25" t="s">
        <v>54</v>
      </c>
      <c r="B141" s="26">
        <v>46210</v>
      </c>
      <c r="C141" s="27">
        <v>29741</v>
      </c>
      <c r="D141" s="27"/>
      <c r="E141" s="27" t="s">
        <v>212</v>
      </c>
      <c r="F141" s="27" t="s">
        <v>59</v>
      </c>
      <c r="G141" s="27" t="s">
        <v>104</v>
      </c>
      <c r="H141" s="30" t="s">
        <v>234</v>
      </c>
      <c r="I141" s="31" t="s">
        <v>662</v>
      </c>
      <c r="J141" s="30" t="s">
        <v>656</v>
      </c>
      <c r="K141" s="27">
        <v>1</v>
      </c>
      <c r="L141" s="27" t="s">
        <v>205</v>
      </c>
      <c r="M141" s="27"/>
      <c r="N141" s="31" t="s">
        <v>94</v>
      </c>
      <c r="O141" s="27"/>
      <c r="P141" s="30"/>
      <c r="Q141" s="30" t="s">
        <v>663</v>
      </c>
      <c r="R141" s="26">
        <v>46213</v>
      </c>
      <c r="S141" s="26">
        <v>46213</v>
      </c>
      <c r="T141" s="31"/>
      <c r="U141" s="30" t="s">
        <v>68</v>
      </c>
      <c r="V141" s="34" t="s">
        <v>70</v>
      </c>
      <c r="W141" s="27" t="s">
        <v>208</v>
      </c>
      <c r="X141" s="30">
        <v>1</v>
      </c>
      <c r="Y141" s="30">
        <v>1</v>
      </c>
      <c r="Z141" s="30">
        <v>1</v>
      </c>
      <c r="AA141" s="30">
        <v>1</v>
      </c>
      <c r="AB141" s="30"/>
      <c r="AC141" s="30"/>
      <c r="AD141" s="30"/>
      <c r="AE141" s="30"/>
      <c r="AF141" s="30"/>
      <c r="AG141" s="30"/>
      <c r="AH141" s="30" t="s">
        <v>69</v>
      </c>
      <c r="AI141" s="30"/>
      <c r="AJ141" s="30" t="s">
        <v>94</v>
      </c>
      <c r="AK141" s="30" t="s">
        <v>41</v>
      </c>
      <c r="AL141" s="30"/>
      <c r="AM141" s="30"/>
      <c r="AN141" s="30"/>
      <c r="AO141" s="30"/>
      <c r="AP141" s="30"/>
      <c r="AQ141" s="30"/>
      <c r="AR141" s="36"/>
      <c r="AS141" s="36"/>
      <c r="AT141" s="36"/>
      <c r="AU141" s="36"/>
      <c r="AV141" s="36"/>
      <c r="AW141" s="36"/>
      <c r="AX141" s="36"/>
      <c r="AY141" s="36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27"/>
      <c r="BL141" s="27"/>
    </row>
    <row r="142" spans="1:64">
      <c r="A142" s="25" t="s">
        <v>54</v>
      </c>
      <c r="B142" s="26">
        <v>46210</v>
      </c>
      <c r="C142" s="27">
        <v>29740</v>
      </c>
      <c r="D142" s="27"/>
      <c r="E142" s="27" t="s">
        <v>212</v>
      </c>
      <c r="F142" s="27" t="s">
        <v>59</v>
      </c>
      <c r="G142" s="27" t="s">
        <v>104</v>
      </c>
      <c r="H142" s="30" t="s">
        <v>234</v>
      </c>
      <c r="I142" s="31" t="s">
        <v>664</v>
      </c>
      <c r="J142" s="30" t="s">
        <v>659</v>
      </c>
      <c r="K142" s="27">
        <v>1</v>
      </c>
      <c r="L142" s="27" t="s">
        <v>205</v>
      </c>
      <c r="M142" s="27"/>
      <c r="N142" s="31" t="s">
        <v>94</v>
      </c>
      <c r="O142" s="27"/>
      <c r="P142" s="30"/>
      <c r="Q142" s="30" t="s">
        <v>666</v>
      </c>
      <c r="R142" s="26">
        <v>46213</v>
      </c>
      <c r="S142" s="26">
        <v>46213</v>
      </c>
      <c r="T142" s="31"/>
      <c r="U142" s="30" t="s">
        <v>68</v>
      </c>
      <c r="V142" s="34" t="s">
        <v>70</v>
      </c>
      <c r="W142" s="27" t="s">
        <v>208</v>
      </c>
      <c r="X142" s="30">
        <v>1</v>
      </c>
      <c r="Y142" s="30">
        <v>1</v>
      </c>
      <c r="Z142" s="30">
        <v>1</v>
      </c>
      <c r="AA142" s="30">
        <v>1</v>
      </c>
      <c r="AB142" s="30"/>
      <c r="AC142" s="30"/>
      <c r="AD142" s="30"/>
      <c r="AE142" s="30"/>
      <c r="AF142" s="30"/>
      <c r="AG142" s="30"/>
      <c r="AH142" s="30" t="s">
        <v>69</v>
      </c>
      <c r="AI142" s="30"/>
      <c r="AJ142" s="30" t="s">
        <v>94</v>
      </c>
      <c r="AK142" s="30" t="s">
        <v>41</v>
      </c>
      <c r="AL142" s="30"/>
      <c r="AM142" s="30"/>
      <c r="AN142" s="30"/>
      <c r="AO142" s="30"/>
      <c r="AP142" s="30"/>
      <c r="AQ142" s="30"/>
      <c r="AR142" s="36"/>
      <c r="AS142" s="36"/>
      <c r="AT142" s="36"/>
      <c r="AU142" s="36"/>
      <c r="AV142" s="36"/>
      <c r="AW142" s="36"/>
      <c r="AX142" s="36"/>
      <c r="AY142" s="36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27"/>
      <c r="BL142" s="27"/>
    </row>
    <row r="143" spans="1:64">
      <c r="A143" s="25" t="s">
        <v>54</v>
      </c>
      <c r="B143" s="26">
        <v>46210</v>
      </c>
      <c r="C143" s="27"/>
      <c r="D143" s="27">
        <v>300918</v>
      </c>
      <c r="E143" s="27" t="s">
        <v>668</v>
      </c>
      <c r="F143" s="27" t="s">
        <v>59</v>
      </c>
      <c r="G143" s="27" t="s">
        <v>104</v>
      </c>
      <c r="H143" s="30" t="s">
        <v>110</v>
      </c>
      <c r="I143" s="31" t="s">
        <v>669</v>
      </c>
      <c r="J143" s="30" t="s">
        <v>670</v>
      </c>
      <c r="K143" s="27">
        <v>24</v>
      </c>
      <c r="L143" s="27">
        <v>144</v>
      </c>
      <c r="M143" s="27">
        <v>241</v>
      </c>
      <c r="N143" s="31" t="s">
        <v>124</v>
      </c>
      <c r="O143" s="27"/>
      <c r="P143" s="30"/>
      <c r="Q143" s="30" t="s">
        <v>66</v>
      </c>
      <c r="R143" s="26">
        <v>46213</v>
      </c>
      <c r="S143" s="26">
        <v>46218</v>
      </c>
      <c r="T143" s="31"/>
      <c r="U143" s="30" t="s">
        <v>68</v>
      </c>
      <c r="V143" s="34" t="s">
        <v>70</v>
      </c>
      <c r="W143" s="27"/>
      <c r="X143" s="30">
        <v>1</v>
      </c>
      <c r="Y143" s="30">
        <v>1</v>
      </c>
      <c r="Z143" s="30">
        <v>1</v>
      </c>
      <c r="AA143" s="30">
        <v>2</v>
      </c>
      <c r="AB143" s="30"/>
      <c r="AC143" s="30"/>
      <c r="AD143" s="30"/>
      <c r="AE143" s="30"/>
      <c r="AF143" s="30"/>
      <c r="AG143" s="30"/>
      <c r="AH143" s="30" t="s">
        <v>69</v>
      </c>
      <c r="AI143" s="30" t="s">
        <v>541</v>
      </c>
      <c r="AJ143" s="30"/>
      <c r="AK143" s="30" t="s">
        <v>671</v>
      </c>
      <c r="AL143" s="30"/>
      <c r="AM143" s="30"/>
      <c r="AN143" s="30"/>
      <c r="AO143" s="30"/>
      <c r="AP143" s="30"/>
      <c r="AQ143" s="30"/>
      <c r="AR143" s="36"/>
      <c r="AS143" s="36"/>
      <c r="AT143" s="36"/>
      <c r="AU143" s="36"/>
      <c r="AV143" s="36"/>
      <c r="AW143" s="36"/>
      <c r="AX143" s="36"/>
      <c r="AY143" s="36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27"/>
      <c r="BL143" s="27"/>
    </row>
    <row r="144" spans="1:64">
      <c r="A144" s="25" t="s">
        <v>54</v>
      </c>
      <c r="B144" s="26">
        <v>46210</v>
      </c>
      <c r="C144" s="27"/>
      <c r="D144" s="27">
        <v>43824</v>
      </c>
      <c r="E144" s="27" t="s">
        <v>284</v>
      </c>
      <c r="F144" s="27" t="s">
        <v>48</v>
      </c>
      <c r="G144" s="27" t="s">
        <v>110</v>
      </c>
      <c r="H144" s="30" t="s">
        <v>513</v>
      </c>
      <c r="I144" s="31" t="s">
        <v>672</v>
      </c>
      <c r="J144" s="30" t="s">
        <v>513</v>
      </c>
      <c r="K144" s="27">
        <v>3</v>
      </c>
      <c r="L144" s="27">
        <v>26</v>
      </c>
      <c r="M144" s="27"/>
      <c r="N144" s="31" t="s">
        <v>247</v>
      </c>
      <c r="O144" s="27"/>
      <c r="P144" s="30"/>
      <c r="Q144" s="30" t="s">
        <v>66</v>
      </c>
      <c r="R144" s="26">
        <v>46212</v>
      </c>
      <c r="S144" s="26">
        <v>46218</v>
      </c>
      <c r="T144" s="31"/>
      <c r="U144" s="30" t="s">
        <v>32</v>
      </c>
      <c r="V144" s="34" t="s">
        <v>33</v>
      </c>
      <c r="W144" s="27" t="s">
        <v>284</v>
      </c>
      <c r="X144" s="30">
        <v>1</v>
      </c>
      <c r="Y144" s="30">
        <v>1</v>
      </c>
      <c r="Z144" s="30">
        <v>1</v>
      </c>
      <c r="AA144" s="30">
        <v>2</v>
      </c>
      <c r="AB144" s="30"/>
      <c r="AC144" s="30"/>
      <c r="AD144" s="30"/>
      <c r="AE144" s="30"/>
      <c r="AF144" s="30"/>
      <c r="AG144" s="30"/>
      <c r="AH144" s="30" t="s">
        <v>508</v>
      </c>
      <c r="AI144" s="30" t="s">
        <v>576</v>
      </c>
      <c r="AJ144" s="30" t="s">
        <v>251</v>
      </c>
      <c r="AK144" s="30"/>
      <c r="AL144" s="30"/>
      <c r="AM144" s="30"/>
      <c r="AN144" s="30"/>
      <c r="AO144" s="30"/>
      <c r="AP144" s="30"/>
      <c r="AQ144" s="30"/>
      <c r="AR144" s="36"/>
      <c r="AS144" s="36"/>
      <c r="AT144" s="36"/>
      <c r="AU144" s="36"/>
      <c r="AV144" s="36"/>
      <c r="AW144" s="36"/>
      <c r="AX144" s="36"/>
      <c r="AY144" s="36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27"/>
      <c r="BL144" s="27"/>
    </row>
    <row r="145" spans="1:64">
      <c r="A145" s="25" t="s">
        <v>54</v>
      </c>
      <c r="B145" s="26">
        <v>46210</v>
      </c>
      <c r="C145" s="27"/>
      <c r="D145" s="27">
        <v>138566</v>
      </c>
      <c r="E145" s="27" t="s">
        <v>284</v>
      </c>
      <c r="F145" s="27" t="s">
        <v>48</v>
      </c>
      <c r="G145" s="27" t="s">
        <v>110</v>
      </c>
      <c r="H145" s="30" t="s">
        <v>674</v>
      </c>
      <c r="I145" s="31" t="s">
        <v>675</v>
      </c>
      <c r="J145" s="30" t="s">
        <v>676</v>
      </c>
      <c r="K145" s="27">
        <v>1</v>
      </c>
      <c r="L145" s="27">
        <v>250</v>
      </c>
      <c r="M145" s="27"/>
      <c r="N145" s="31" t="s">
        <v>247</v>
      </c>
      <c r="O145" s="27"/>
      <c r="P145" s="30"/>
      <c r="Q145" s="30" t="s">
        <v>66</v>
      </c>
      <c r="R145" s="26">
        <v>46213</v>
      </c>
      <c r="S145" s="26">
        <v>46218</v>
      </c>
      <c r="T145" s="31"/>
      <c r="U145" s="30" t="s">
        <v>32</v>
      </c>
      <c r="V145" s="34" t="s">
        <v>33</v>
      </c>
      <c r="W145" s="27" t="s">
        <v>284</v>
      </c>
      <c r="X145" s="30">
        <v>1</v>
      </c>
      <c r="Y145" s="30">
        <v>1</v>
      </c>
      <c r="Z145" s="30">
        <v>1</v>
      </c>
      <c r="AA145" s="30">
        <v>2</v>
      </c>
      <c r="AB145" s="30"/>
      <c r="AC145" s="30"/>
      <c r="AD145" s="30"/>
      <c r="AE145" s="30"/>
      <c r="AF145" s="30"/>
      <c r="AG145" s="30"/>
      <c r="AH145" s="30" t="s">
        <v>508</v>
      </c>
      <c r="AI145" s="30" t="s">
        <v>576</v>
      </c>
      <c r="AJ145" s="30" t="s">
        <v>247</v>
      </c>
      <c r="AK145" s="30" t="s">
        <v>41</v>
      </c>
      <c r="AL145" s="30"/>
      <c r="AM145" s="30"/>
      <c r="AN145" s="30"/>
      <c r="AO145" s="30"/>
      <c r="AP145" s="30"/>
      <c r="AQ145" s="30"/>
      <c r="AR145" s="36"/>
      <c r="AS145" s="36"/>
      <c r="AT145" s="36"/>
      <c r="AU145" s="36"/>
      <c r="AV145" s="36"/>
      <c r="AW145" s="36"/>
      <c r="AX145" s="36"/>
      <c r="AY145" s="36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27"/>
      <c r="BL145" s="27"/>
    </row>
    <row r="146" spans="1:64">
      <c r="A146" s="25" t="s">
        <v>54</v>
      </c>
      <c r="B146" s="26">
        <v>46210</v>
      </c>
      <c r="C146" s="27">
        <v>25271</v>
      </c>
      <c r="D146" s="27"/>
      <c r="E146" s="27" t="s">
        <v>677</v>
      </c>
      <c r="F146" s="27" t="s">
        <v>48</v>
      </c>
      <c r="G146" s="27" t="s">
        <v>678</v>
      </c>
      <c r="H146" s="30" t="s">
        <v>294</v>
      </c>
      <c r="I146" s="31" t="s">
        <v>425</v>
      </c>
      <c r="J146" s="30" t="s">
        <v>294</v>
      </c>
      <c r="K146" s="27">
        <v>111</v>
      </c>
      <c r="L146" s="27">
        <v>1200</v>
      </c>
      <c r="M146" s="27"/>
      <c r="N146" s="31" t="s">
        <v>297</v>
      </c>
      <c r="O146" s="27"/>
      <c r="P146" s="30"/>
      <c r="Q146" s="30" t="s">
        <v>426</v>
      </c>
      <c r="R146" s="26">
        <v>46214</v>
      </c>
      <c r="S146" s="26">
        <v>46216</v>
      </c>
      <c r="T146" s="31"/>
      <c r="U146" s="30" t="s">
        <v>68</v>
      </c>
      <c r="V146" s="34" t="s">
        <v>70</v>
      </c>
      <c r="W146" s="27" t="s">
        <v>236</v>
      </c>
      <c r="X146" s="30">
        <v>1</v>
      </c>
      <c r="Y146" s="30">
        <v>1</v>
      </c>
      <c r="Z146" s="30">
        <v>1</v>
      </c>
      <c r="AA146" s="30">
        <v>1</v>
      </c>
      <c r="AB146" s="30"/>
      <c r="AC146" s="30"/>
      <c r="AD146" s="30"/>
      <c r="AE146" s="30"/>
      <c r="AF146" s="30"/>
      <c r="AG146" s="30"/>
      <c r="AH146" s="30" t="s">
        <v>680</v>
      </c>
      <c r="AI146" s="30"/>
      <c r="AJ146" s="30"/>
      <c r="AK146" s="30"/>
      <c r="AL146" s="30"/>
      <c r="AM146" s="30"/>
      <c r="AN146" s="30"/>
      <c r="AO146" s="30"/>
      <c r="AP146" s="30"/>
      <c r="AQ146" s="30"/>
      <c r="AR146" s="36"/>
      <c r="AS146" s="36"/>
      <c r="AT146" s="36"/>
      <c r="AU146" s="36"/>
      <c r="AV146" s="36"/>
      <c r="AW146" s="36"/>
      <c r="AX146" s="36"/>
      <c r="AY146" s="36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27"/>
      <c r="BL146" s="27"/>
    </row>
    <row r="147" spans="1:64">
      <c r="A147" s="25" t="s">
        <v>54</v>
      </c>
      <c r="B147" s="26">
        <v>46211</v>
      </c>
      <c r="C147" s="27">
        <v>30306</v>
      </c>
      <c r="D147" s="27"/>
      <c r="E147" s="27" t="s">
        <v>230</v>
      </c>
      <c r="F147" s="27" t="s">
        <v>59</v>
      </c>
      <c r="G147" s="27" t="s">
        <v>104</v>
      </c>
      <c r="H147" s="30" t="s">
        <v>412</v>
      </c>
      <c r="I147" s="31" t="s">
        <v>681</v>
      </c>
      <c r="J147" s="30" t="s">
        <v>682</v>
      </c>
      <c r="K147" s="27">
        <v>32</v>
      </c>
      <c r="L147" s="27">
        <v>634</v>
      </c>
      <c r="M147" s="27"/>
      <c r="N147" s="31" t="s">
        <v>507</v>
      </c>
      <c r="O147" s="27"/>
      <c r="P147" s="30"/>
      <c r="Q147" s="30" t="s">
        <v>66</v>
      </c>
      <c r="R147" s="26">
        <v>46213</v>
      </c>
      <c r="S147" s="26">
        <v>46216</v>
      </c>
      <c r="T147" s="31"/>
      <c r="U147" s="30" t="s">
        <v>68</v>
      </c>
      <c r="V147" s="34" t="s">
        <v>70</v>
      </c>
      <c r="W147" s="27" t="s">
        <v>230</v>
      </c>
      <c r="X147" s="30">
        <v>1</v>
      </c>
      <c r="Y147" s="30">
        <v>1</v>
      </c>
      <c r="Z147" s="30">
        <v>1</v>
      </c>
      <c r="AA147" s="30">
        <v>1</v>
      </c>
      <c r="AB147" s="30"/>
      <c r="AC147" s="30"/>
      <c r="AD147" s="30"/>
      <c r="AE147" s="30"/>
      <c r="AF147" s="30"/>
      <c r="AG147" s="30"/>
      <c r="AH147" s="30"/>
      <c r="AI147" s="30" t="s">
        <v>69</v>
      </c>
      <c r="AJ147" s="30" t="s">
        <v>507</v>
      </c>
      <c r="AK147" s="30" t="s">
        <v>41</v>
      </c>
      <c r="AL147" s="30"/>
      <c r="AM147" s="30"/>
      <c r="AN147" s="30"/>
      <c r="AO147" s="30"/>
      <c r="AP147" s="30"/>
      <c r="AQ147" s="30"/>
      <c r="AR147" s="36"/>
      <c r="AS147" s="36"/>
      <c r="AT147" s="36"/>
      <c r="AU147" s="36"/>
      <c r="AV147" s="36"/>
      <c r="AW147" s="36"/>
      <c r="AX147" s="36"/>
      <c r="AY147" s="36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27"/>
      <c r="BL147" s="27"/>
    </row>
    <row r="148" spans="1:64">
      <c r="A148" s="25" t="s">
        <v>187</v>
      </c>
      <c r="B148" s="26">
        <v>46211</v>
      </c>
      <c r="C148" s="27">
        <v>30310</v>
      </c>
      <c r="D148" s="27"/>
      <c r="E148" s="27" t="s">
        <v>590</v>
      </c>
      <c r="F148" s="27" t="s">
        <v>59</v>
      </c>
      <c r="G148" s="27" t="s">
        <v>60</v>
      </c>
      <c r="H148" s="30" t="s">
        <v>270</v>
      </c>
      <c r="I148" s="31" t="s">
        <v>597</v>
      </c>
      <c r="J148" s="30" t="s">
        <v>684</v>
      </c>
      <c r="K148" s="27">
        <v>9</v>
      </c>
      <c r="L148" s="27">
        <v>198</v>
      </c>
      <c r="M148" s="27"/>
      <c r="N148" s="31"/>
      <c r="O148" s="27" t="s">
        <v>272</v>
      </c>
      <c r="P148" s="30"/>
      <c r="Q148" s="30" t="s">
        <v>599</v>
      </c>
      <c r="R148" s="26">
        <v>46234</v>
      </c>
      <c r="S148" s="27"/>
      <c r="T148" s="31"/>
      <c r="U148" s="30" t="s">
        <v>419</v>
      </c>
      <c r="V148" s="34" t="s">
        <v>90</v>
      </c>
      <c r="W148" s="27" t="s">
        <v>273</v>
      </c>
      <c r="X148" s="30">
        <v>1</v>
      </c>
      <c r="Y148" s="30">
        <v>1</v>
      </c>
      <c r="Z148" s="30">
        <v>1</v>
      </c>
      <c r="AA148" s="30"/>
      <c r="AB148" s="30"/>
      <c r="AC148" s="30"/>
      <c r="AD148" s="30"/>
      <c r="AE148" s="30"/>
      <c r="AF148" s="30"/>
      <c r="AG148" s="30"/>
      <c r="AH148" s="30"/>
      <c r="AI148" s="30" t="s">
        <v>69</v>
      </c>
      <c r="AJ148" s="30"/>
      <c r="AK148" s="30" t="s">
        <v>686</v>
      </c>
      <c r="AL148" s="30"/>
      <c r="AM148" s="30"/>
      <c r="AN148" s="30" t="s">
        <v>600</v>
      </c>
      <c r="AO148" s="30"/>
      <c r="AP148" s="30"/>
      <c r="AQ148" s="30"/>
      <c r="AR148" s="36"/>
      <c r="AS148" s="36" t="s">
        <v>272</v>
      </c>
      <c r="AT148" s="36"/>
      <c r="AU148" s="36"/>
      <c r="AV148" s="36"/>
      <c r="AW148" s="36"/>
      <c r="AX148" s="36"/>
      <c r="AY148" s="36"/>
      <c r="AZ148" s="30"/>
      <c r="BA148" s="30"/>
      <c r="BB148" s="30"/>
      <c r="BC148" s="30"/>
      <c r="BD148" s="30"/>
      <c r="BE148" s="30"/>
      <c r="BF148" s="30" t="s">
        <v>90</v>
      </c>
      <c r="BG148" s="30"/>
      <c r="BH148" s="30"/>
      <c r="BI148" s="30"/>
      <c r="BJ148" s="30"/>
      <c r="BK148" s="27"/>
      <c r="BL148" s="27"/>
    </row>
    <row r="149" spans="1:64">
      <c r="A149" s="25" t="s">
        <v>54</v>
      </c>
      <c r="B149" s="26">
        <v>46211</v>
      </c>
      <c r="C149" s="27">
        <v>30309</v>
      </c>
      <c r="D149" s="27"/>
      <c r="E149" s="27" t="s">
        <v>367</v>
      </c>
      <c r="F149" s="27" t="s">
        <v>59</v>
      </c>
      <c r="G149" s="27" t="s">
        <v>104</v>
      </c>
      <c r="H149" s="30" t="s">
        <v>403</v>
      </c>
      <c r="I149" s="31" t="s">
        <v>688</v>
      </c>
      <c r="J149" s="30" t="s">
        <v>689</v>
      </c>
      <c r="K149" s="27">
        <v>10</v>
      </c>
      <c r="L149" s="27">
        <v>350</v>
      </c>
      <c r="M149" s="27"/>
      <c r="N149" s="31" t="s">
        <v>504</v>
      </c>
      <c r="O149" s="27"/>
      <c r="P149" s="30"/>
      <c r="Q149" s="30" t="s">
        <v>66</v>
      </c>
      <c r="R149" s="26">
        <v>46214</v>
      </c>
      <c r="S149" s="26">
        <v>46218</v>
      </c>
      <c r="T149" s="31"/>
      <c r="U149" s="30" t="s">
        <v>68</v>
      </c>
      <c r="V149" s="34" t="s">
        <v>70</v>
      </c>
      <c r="W149" s="27" t="s">
        <v>320</v>
      </c>
      <c r="X149" s="30">
        <v>1</v>
      </c>
      <c r="Y149" s="30">
        <v>1</v>
      </c>
      <c r="Z149" s="30">
        <v>1</v>
      </c>
      <c r="AA149" s="30">
        <v>2</v>
      </c>
      <c r="AB149" s="30"/>
      <c r="AC149" s="30"/>
      <c r="AD149" s="30"/>
      <c r="AE149" s="30"/>
      <c r="AF149" s="30"/>
      <c r="AG149" s="30"/>
      <c r="AH149" s="30"/>
      <c r="AI149" s="30" t="s">
        <v>69</v>
      </c>
      <c r="AJ149" s="30"/>
      <c r="AK149" s="30" t="s">
        <v>504</v>
      </c>
      <c r="AL149" s="30" t="s">
        <v>41</v>
      </c>
      <c r="AM149" s="30"/>
      <c r="AN149" s="30"/>
      <c r="AO149" s="30"/>
      <c r="AP149" s="30"/>
      <c r="AQ149" s="30"/>
      <c r="AR149" s="36"/>
      <c r="AS149" s="36"/>
      <c r="AT149" s="36"/>
      <c r="AU149" s="36"/>
      <c r="AV149" s="36"/>
      <c r="AW149" s="36"/>
      <c r="AX149" s="36"/>
      <c r="AY149" s="36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27"/>
      <c r="BL149" s="27"/>
    </row>
    <row r="150" spans="1:64">
      <c r="A150" s="25" t="s">
        <v>54</v>
      </c>
      <c r="B150" s="26">
        <v>46211</v>
      </c>
      <c r="C150" s="27">
        <v>5335</v>
      </c>
      <c r="D150" s="27"/>
      <c r="E150" s="27" t="s">
        <v>337</v>
      </c>
      <c r="F150" s="27" t="s">
        <v>185</v>
      </c>
      <c r="G150" s="27" t="s">
        <v>28</v>
      </c>
      <c r="H150" s="30" t="s">
        <v>691</v>
      </c>
      <c r="I150" s="31" t="s">
        <v>692</v>
      </c>
      <c r="J150" s="30" t="s">
        <v>693</v>
      </c>
      <c r="K150" s="27">
        <v>3</v>
      </c>
      <c r="L150" s="27"/>
      <c r="M150" s="27"/>
      <c r="N150" s="31" t="s">
        <v>81</v>
      </c>
      <c r="O150" s="27"/>
      <c r="P150" s="30"/>
      <c r="Q150" s="30" t="s">
        <v>694</v>
      </c>
      <c r="R150" s="26">
        <v>46214</v>
      </c>
      <c r="S150" s="26">
        <v>46216</v>
      </c>
      <c r="T150" s="31"/>
      <c r="U150" s="30" t="s">
        <v>68</v>
      </c>
      <c r="V150" s="34" t="s">
        <v>70</v>
      </c>
      <c r="W150" s="27" t="s">
        <v>341</v>
      </c>
      <c r="X150" s="30">
        <v>1</v>
      </c>
      <c r="Y150" s="30">
        <v>1</v>
      </c>
      <c r="Z150" s="30">
        <v>1</v>
      </c>
      <c r="AA150" s="30">
        <v>1</v>
      </c>
      <c r="AB150" s="30"/>
      <c r="AC150" s="30"/>
      <c r="AD150" s="30"/>
      <c r="AE150" s="30"/>
      <c r="AF150" s="30"/>
      <c r="AG150" s="30"/>
      <c r="AH150" s="30"/>
      <c r="AI150" s="30" t="s">
        <v>69</v>
      </c>
      <c r="AJ150" s="30"/>
      <c r="AK150" s="30" t="s">
        <v>81</v>
      </c>
      <c r="AL150" s="30" t="s">
        <v>41</v>
      </c>
      <c r="AM150" s="30"/>
      <c r="AN150" s="30"/>
      <c r="AO150" s="30"/>
      <c r="AP150" s="30"/>
      <c r="AQ150" s="30"/>
      <c r="AR150" s="36"/>
      <c r="AS150" s="36"/>
      <c r="AT150" s="36"/>
      <c r="AU150" s="36"/>
      <c r="AV150" s="36"/>
      <c r="AW150" s="36"/>
      <c r="AX150" s="36"/>
      <c r="AY150" s="36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27"/>
      <c r="BL150" s="27"/>
    </row>
    <row r="151" spans="1:64">
      <c r="A151" s="25" t="s">
        <v>54</v>
      </c>
      <c r="B151" s="26">
        <v>46211</v>
      </c>
      <c r="C151" s="27">
        <v>30097</v>
      </c>
      <c r="D151" s="27"/>
      <c r="E151" s="27" t="s">
        <v>76</v>
      </c>
      <c r="F151" s="27" t="s">
        <v>59</v>
      </c>
      <c r="G151" s="27" t="s">
        <v>104</v>
      </c>
      <c r="H151" s="30" t="s">
        <v>144</v>
      </c>
      <c r="I151" s="31" t="s">
        <v>696</v>
      </c>
      <c r="J151" s="30" t="s">
        <v>697</v>
      </c>
      <c r="K151" s="27">
        <v>6</v>
      </c>
      <c r="L151" s="27"/>
      <c r="M151" s="27"/>
      <c r="N151" s="31" t="s">
        <v>81</v>
      </c>
      <c r="O151" s="27"/>
      <c r="P151" s="30"/>
      <c r="Q151" s="30" t="s">
        <v>66</v>
      </c>
      <c r="R151" s="26">
        <v>46213</v>
      </c>
      <c r="S151" s="26">
        <v>46216</v>
      </c>
      <c r="T151" s="31"/>
      <c r="U151" s="30" t="s">
        <v>68</v>
      </c>
      <c r="V151" s="34" t="s">
        <v>70</v>
      </c>
      <c r="W151" s="27" t="s">
        <v>85</v>
      </c>
      <c r="X151" s="30">
        <v>1</v>
      </c>
      <c r="Y151" s="30">
        <v>1</v>
      </c>
      <c r="Z151" s="30">
        <v>1</v>
      </c>
      <c r="AA151" s="30">
        <v>1</v>
      </c>
      <c r="AB151" s="30"/>
      <c r="AC151" s="30"/>
      <c r="AD151" s="30"/>
      <c r="AE151" s="30"/>
      <c r="AF151" s="30"/>
      <c r="AG151" s="30"/>
      <c r="AH151" s="30"/>
      <c r="AI151" s="30" t="s">
        <v>69</v>
      </c>
      <c r="AJ151" s="30"/>
      <c r="AK151" s="30" t="s">
        <v>88</v>
      </c>
      <c r="AL151" s="30"/>
      <c r="AM151" s="30"/>
      <c r="AN151" s="30"/>
      <c r="AO151" s="30"/>
      <c r="AP151" s="30"/>
      <c r="AQ151" s="30"/>
      <c r="AR151" s="36"/>
      <c r="AS151" s="36"/>
      <c r="AT151" s="36"/>
      <c r="AU151" s="36"/>
      <c r="AV151" s="36"/>
      <c r="AW151" s="36"/>
      <c r="AX151" s="36"/>
      <c r="AY151" s="36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27"/>
      <c r="BL151" s="27"/>
    </row>
    <row r="152" spans="1:64">
      <c r="A152" s="25" t="s">
        <v>54</v>
      </c>
      <c r="B152" s="26">
        <v>46211</v>
      </c>
      <c r="C152" s="27">
        <v>30098</v>
      </c>
      <c r="D152" s="27"/>
      <c r="E152" s="27" t="s">
        <v>76</v>
      </c>
      <c r="F152" s="27" t="s">
        <v>59</v>
      </c>
      <c r="G152" s="27" t="s">
        <v>104</v>
      </c>
      <c r="H152" s="30" t="s">
        <v>144</v>
      </c>
      <c r="I152" s="31" t="s">
        <v>700</v>
      </c>
      <c r="J152" s="30" t="s">
        <v>701</v>
      </c>
      <c r="K152" s="27">
        <v>1</v>
      </c>
      <c r="L152" s="27"/>
      <c r="M152" s="27"/>
      <c r="N152" s="31" t="s">
        <v>81</v>
      </c>
      <c r="O152" s="27"/>
      <c r="P152" s="30"/>
      <c r="Q152" s="30" t="s">
        <v>66</v>
      </c>
      <c r="R152" s="26">
        <v>46213</v>
      </c>
      <c r="S152" s="26">
        <v>46216</v>
      </c>
      <c r="T152" s="31"/>
      <c r="U152" s="30" t="s">
        <v>68</v>
      </c>
      <c r="V152" s="34" t="s">
        <v>70</v>
      </c>
      <c r="W152" s="27" t="s">
        <v>85</v>
      </c>
      <c r="X152" s="30">
        <v>1</v>
      </c>
      <c r="Y152" s="30">
        <v>1</v>
      </c>
      <c r="Z152" s="30">
        <v>1</v>
      </c>
      <c r="AA152" s="30">
        <v>1</v>
      </c>
      <c r="AB152" s="30"/>
      <c r="AC152" s="30"/>
      <c r="AD152" s="30"/>
      <c r="AE152" s="30"/>
      <c r="AF152" s="30"/>
      <c r="AG152" s="30"/>
      <c r="AH152" s="30"/>
      <c r="AI152" s="30" t="s">
        <v>69</v>
      </c>
      <c r="AJ152" s="30"/>
      <c r="AK152" s="30" t="s">
        <v>88</v>
      </c>
      <c r="AL152" s="30"/>
      <c r="AM152" s="30"/>
      <c r="AN152" s="30"/>
      <c r="AO152" s="30"/>
      <c r="AP152" s="30"/>
      <c r="AQ152" s="30"/>
      <c r="AR152" s="36"/>
      <c r="AS152" s="36"/>
      <c r="AT152" s="36"/>
      <c r="AU152" s="36"/>
      <c r="AV152" s="36"/>
      <c r="AW152" s="36"/>
      <c r="AX152" s="36"/>
      <c r="AY152" s="36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27"/>
      <c r="BL152" s="27"/>
    </row>
    <row r="153" spans="1:64">
      <c r="A153" s="25" t="s">
        <v>54</v>
      </c>
      <c r="B153" s="26">
        <v>46211</v>
      </c>
      <c r="C153" s="27">
        <v>30094</v>
      </c>
      <c r="D153" s="27"/>
      <c r="E153" s="27" t="s">
        <v>76</v>
      </c>
      <c r="F153" s="27" t="s">
        <v>59</v>
      </c>
      <c r="G153" s="27" t="s">
        <v>104</v>
      </c>
      <c r="H153" s="30" t="s">
        <v>60</v>
      </c>
      <c r="I153" s="31" t="s">
        <v>704</v>
      </c>
      <c r="J153" s="30" t="s">
        <v>705</v>
      </c>
      <c r="K153" s="27">
        <v>2</v>
      </c>
      <c r="L153" s="27">
        <v>100</v>
      </c>
      <c r="M153" s="27"/>
      <c r="N153" s="31" t="s">
        <v>154</v>
      </c>
      <c r="O153" s="27"/>
      <c r="P153" s="30"/>
      <c r="Q153" s="30" t="s">
        <v>66</v>
      </c>
      <c r="R153" s="26">
        <v>46213</v>
      </c>
      <c r="S153" s="26">
        <v>46216</v>
      </c>
      <c r="T153" s="31"/>
      <c r="U153" s="30" t="s">
        <v>68</v>
      </c>
      <c r="V153" s="34" t="s">
        <v>70</v>
      </c>
      <c r="W153" s="27" t="s">
        <v>85</v>
      </c>
      <c r="X153" s="30">
        <v>1</v>
      </c>
      <c r="Y153" s="30">
        <v>1</v>
      </c>
      <c r="Z153" s="30">
        <v>1</v>
      </c>
      <c r="AA153" s="30">
        <v>1</v>
      </c>
      <c r="AB153" s="30"/>
      <c r="AC153" s="30"/>
      <c r="AD153" s="30"/>
      <c r="AE153" s="30"/>
      <c r="AF153" s="30"/>
      <c r="AG153" s="30"/>
      <c r="AH153" s="30"/>
      <c r="AI153" s="30" t="s">
        <v>69</v>
      </c>
      <c r="AJ153" s="30"/>
      <c r="AK153" s="30" t="s">
        <v>157</v>
      </c>
      <c r="AL153" s="30"/>
      <c r="AM153" s="30"/>
      <c r="AN153" s="30"/>
      <c r="AO153" s="30"/>
      <c r="AP153" s="30"/>
      <c r="AQ153" s="30"/>
      <c r="AR153" s="36"/>
      <c r="AS153" s="36"/>
      <c r="AT153" s="36"/>
      <c r="AU153" s="36"/>
      <c r="AV153" s="36"/>
      <c r="AW153" s="36"/>
      <c r="AX153" s="36"/>
      <c r="AY153" s="36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27"/>
      <c r="BL153" s="27"/>
    </row>
    <row r="154" spans="1:64">
      <c r="A154" s="25" t="s">
        <v>54</v>
      </c>
      <c r="B154" s="26">
        <v>46211</v>
      </c>
      <c r="C154" s="27">
        <v>30103</v>
      </c>
      <c r="D154" s="27"/>
      <c r="E154" s="27" t="s">
        <v>76</v>
      </c>
      <c r="F154" s="27" t="s">
        <v>59</v>
      </c>
      <c r="G154" s="27" t="s">
        <v>104</v>
      </c>
      <c r="H154" s="30" t="s">
        <v>412</v>
      </c>
      <c r="I154" s="31" t="s">
        <v>706</v>
      </c>
      <c r="J154" s="30"/>
      <c r="K154" s="27">
        <v>3</v>
      </c>
      <c r="L154" s="27">
        <v>110</v>
      </c>
      <c r="M154" s="27"/>
      <c r="N154" s="31" t="s">
        <v>507</v>
      </c>
      <c r="O154" s="27"/>
      <c r="P154" s="30"/>
      <c r="Q154" s="30" t="s">
        <v>707</v>
      </c>
      <c r="R154" s="26">
        <v>46213</v>
      </c>
      <c r="S154" s="26">
        <v>46216</v>
      </c>
      <c r="T154" s="31"/>
      <c r="U154" s="30" t="s">
        <v>68</v>
      </c>
      <c r="V154" s="34" t="s">
        <v>70</v>
      </c>
      <c r="W154" s="27" t="s">
        <v>85</v>
      </c>
      <c r="X154" s="30">
        <v>1</v>
      </c>
      <c r="Y154" s="30">
        <v>1</v>
      </c>
      <c r="Z154" s="30">
        <v>1</v>
      </c>
      <c r="AA154" s="30">
        <v>1</v>
      </c>
      <c r="AB154" s="30"/>
      <c r="AC154" s="30"/>
      <c r="AD154" s="30"/>
      <c r="AE154" s="30"/>
      <c r="AF154" s="30"/>
      <c r="AG154" s="30"/>
      <c r="AH154" s="30"/>
      <c r="AI154" s="30" t="s">
        <v>69</v>
      </c>
      <c r="AJ154" s="30" t="s">
        <v>602</v>
      </c>
      <c r="AK154" s="30" t="s">
        <v>41</v>
      </c>
      <c r="AL154" s="30"/>
      <c r="AM154" s="30"/>
      <c r="AN154" s="30"/>
      <c r="AO154" s="30"/>
      <c r="AP154" s="30"/>
      <c r="AQ154" s="30"/>
      <c r="AR154" s="36"/>
      <c r="AS154" s="36"/>
      <c r="AT154" s="36"/>
      <c r="AU154" s="36"/>
      <c r="AV154" s="36"/>
      <c r="AW154" s="36"/>
      <c r="AX154" s="36"/>
      <c r="AY154" s="36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27"/>
      <c r="BL154" s="27"/>
    </row>
    <row r="155" spans="1:64">
      <c r="A155" s="25" t="s">
        <v>54</v>
      </c>
      <c r="B155" s="26">
        <v>46211</v>
      </c>
      <c r="C155" s="27">
        <v>30099</v>
      </c>
      <c r="D155" s="27"/>
      <c r="E155" s="27" t="s">
        <v>76</v>
      </c>
      <c r="F155" s="27" t="s">
        <v>59</v>
      </c>
      <c r="G155" s="27" t="s">
        <v>104</v>
      </c>
      <c r="H155" s="30" t="s">
        <v>170</v>
      </c>
      <c r="I155" s="31" t="s">
        <v>709</v>
      </c>
      <c r="J155" s="30"/>
      <c r="K155" s="27">
        <v>4</v>
      </c>
      <c r="L155" s="27">
        <v>100</v>
      </c>
      <c r="M155" s="27"/>
      <c r="N155" s="31" t="s">
        <v>507</v>
      </c>
      <c r="O155" s="27"/>
      <c r="P155" s="30"/>
      <c r="Q155" s="30" t="s">
        <v>66</v>
      </c>
      <c r="R155" s="26">
        <v>46212</v>
      </c>
      <c r="S155" s="26">
        <v>46216</v>
      </c>
      <c r="T155" s="31"/>
      <c r="U155" s="30" t="s">
        <v>68</v>
      </c>
      <c r="V155" s="34" t="s">
        <v>70</v>
      </c>
      <c r="W155" s="27" t="s">
        <v>85</v>
      </c>
      <c r="X155" s="30">
        <v>1</v>
      </c>
      <c r="Y155" s="30">
        <v>1</v>
      </c>
      <c r="Z155" s="30">
        <v>1</v>
      </c>
      <c r="AA155" s="30">
        <v>1</v>
      </c>
      <c r="AB155" s="30"/>
      <c r="AC155" s="30"/>
      <c r="AD155" s="30"/>
      <c r="AE155" s="30"/>
      <c r="AF155" s="30"/>
      <c r="AG155" s="30"/>
      <c r="AH155" s="30"/>
      <c r="AI155" s="30" t="s">
        <v>69</v>
      </c>
      <c r="AJ155" s="30" t="s">
        <v>631</v>
      </c>
      <c r="AK155" s="30"/>
      <c r="AL155" s="30"/>
      <c r="AM155" s="30"/>
      <c r="AN155" s="30"/>
      <c r="AO155" s="30"/>
      <c r="AP155" s="30"/>
      <c r="AQ155" s="30"/>
      <c r="AR155" s="36"/>
      <c r="AS155" s="36"/>
      <c r="AT155" s="36"/>
      <c r="AU155" s="36"/>
      <c r="AV155" s="36"/>
      <c r="AW155" s="36"/>
      <c r="AX155" s="36"/>
      <c r="AY155" s="36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27"/>
      <c r="BL155" s="27"/>
    </row>
    <row r="156" spans="1:64">
      <c r="A156" s="25" t="s">
        <v>54</v>
      </c>
      <c r="B156" s="26">
        <v>46211</v>
      </c>
      <c r="C156" s="27">
        <v>30104</v>
      </c>
      <c r="D156" s="27"/>
      <c r="E156" s="27" t="s">
        <v>76</v>
      </c>
      <c r="F156" s="27" t="s">
        <v>59</v>
      </c>
      <c r="G156" s="27" t="s">
        <v>104</v>
      </c>
      <c r="H156" s="30" t="s">
        <v>679</v>
      </c>
      <c r="I156" s="31" t="s">
        <v>710</v>
      </c>
      <c r="J156" s="30"/>
      <c r="K156" s="27">
        <v>11</v>
      </c>
      <c r="L156" s="27">
        <v>229</v>
      </c>
      <c r="M156" s="27"/>
      <c r="N156" s="31" t="s">
        <v>507</v>
      </c>
      <c r="O156" s="27"/>
      <c r="P156" s="30"/>
      <c r="Q156" s="30" t="s">
        <v>66</v>
      </c>
      <c r="R156" s="26">
        <v>46213</v>
      </c>
      <c r="S156" s="26">
        <v>46216</v>
      </c>
      <c r="T156" s="31"/>
      <c r="U156" s="30" t="s">
        <v>68</v>
      </c>
      <c r="V156" s="34" t="s">
        <v>70</v>
      </c>
      <c r="W156" s="27" t="s">
        <v>85</v>
      </c>
      <c r="X156" s="30">
        <v>1</v>
      </c>
      <c r="Y156" s="30">
        <v>1</v>
      </c>
      <c r="Z156" s="30">
        <v>1</v>
      </c>
      <c r="AA156" s="30">
        <v>1</v>
      </c>
      <c r="AB156" s="30"/>
      <c r="AC156" s="30"/>
      <c r="AD156" s="30"/>
      <c r="AE156" s="30"/>
      <c r="AF156" s="30"/>
      <c r="AG156" s="30"/>
      <c r="AH156" s="30"/>
      <c r="AI156" s="30" t="s">
        <v>69</v>
      </c>
      <c r="AJ156" s="30" t="s">
        <v>602</v>
      </c>
      <c r="AK156" s="30" t="s">
        <v>41</v>
      </c>
      <c r="AL156" s="30"/>
      <c r="AM156" s="30"/>
      <c r="AN156" s="30"/>
      <c r="AO156" s="30"/>
      <c r="AP156" s="30"/>
      <c r="AQ156" s="30"/>
      <c r="AR156" s="36"/>
      <c r="AS156" s="36"/>
      <c r="AT156" s="36"/>
      <c r="AU156" s="36"/>
      <c r="AV156" s="36"/>
      <c r="AW156" s="36"/>
      <c r="AX156" s="36"/>
      <c r="AY156" s="36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27"/>
      <c r="BL156" s="27"/>
    </row>
    <row r="157" spans="1:64">
      <c r="A157" s="25" t="s">
        <v>54</v>
      </c>
      <c r="B157" s="26">
        <v>46211</v>
      </c>
      <c r="C157" s="27">
        <v>30096</v>
      </c>
      <c r="D157" s="27"/>
      <c r="E157" s="27" t="s">
        <v>76</v>
      </c>
      <c r="F157" s="27" t="s">
        <v>59</v>
      </c>
      <c r="G157" s="27" t="s">
        <v>104</v>
      </c>
      <c r="H157" s="30" t="s">
        <v>134</v>
      </c>
      <c r="I157" s="31" t="s">
        <v>711</v>
      </c>
      <c r="J157" s="30"/>
      <c r="K157" s="27">
        <v>6</v>
      </c>
      <c r="L157" s="27">
        <v>114</v>
      </c>
      <c r="M157" s="27"/>
      <c r="N157" s="31" t="s">
        <v>81</v>
      </c>
      <c r="O157" s="27"/>
      <c r="P157" s="30"/>
      <c r="Q157" s="30" t="s">
        <v>66</v>
      </c>
      <c r="R157" s="26">
        <v>46212</v>
      </c>
      <c r="S157" s="26">
        <v>46213</v>
      </c>
      <c r="T157" s="31"/>
      <c r="U157" s="30" t="s">
        <v>68</v>
      </c>
      <c r="V157" s="34" t="s">
        <v>70</v>
      </c>
      <c r="W157" s="27" t="s">
        <v>85</v>
      </c>
      <c r="X157" s="30">
        <v>1</v>
      </c>
      <c r="Y157" s="30">
        <v>1</v>
      </c>
      <c r="Z157" s="30">
        <v>1</v>
      </c>
      <c r="AA157" s="30">
        <v>1</v>
      </c>
      <c r="AB157" s="30"/>
      <c r="AC157" s="30"/>
      <c r="AD157" s="30"/>
      <c r="AE157" s="30"/>
      <c r="AF157" s="30"/>
      <c r="AG157" s="30"/>
      <c r="AH157" s="30"/>
      <c r="AI157" s="30" t="s">
        <v>69</v>
      </c>
      <c r="AJ157" s="30" t="s">
        <v>88</v>
      </c>
      <c r="AK157" s="30"/>
      <c r="AL157" s="30"/>
      <c r="AM157" s="30"/>
      <c r="AN157" s="30"/>
      <c r="AO157" s="30"/>
      <c r="AP157" s="30"/>
      <c r="AQ157" s="30"/>
      <c r="AR157" s="36"/>
      <c r="AS157" s="36"/>
      <c r="AT157" s="36"/>
      <c r="AU157" s="36"/>
      <c r="AV157" s="36"/>
      <c r="AW157" s="36"/>
      <c r="AX157" s="36"/>
      <c r="AY157" s="36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27"/>
      <c r="BL157" s="27"/>
    </row>
    <row r="158" spans="1:64">
      <c r="A158" s="25" t="s">
        <v>54</v>
      </c>
      <c r="B158" s="26">
        <v>46211</v>
      </c>
      <c r="C158" s="27">
        <v>30100</v>
      </c>
      <c r="D158" s="27"/>
      <c r="E158" s="27" t="s">
        <v>76</v>
      </c>
      <c r="F158" s="27" t="s">
        <v>59</v>
      </c>
      <c r="G158" s="27" t="s">
        <v>104</v>
      </c>
      <c r="H158" s="30" t="s">
        <v>714</v>
      </c>
      <c r="I158" s="31" t="s">
        <v>715</v>
      </c>
      <c r="J158" s="30"/>
      <c r="K158" s="27">
        <v>4</v>
      </c>
      <c r="L158" s="27">
        <v>100</v>
      </c>
      <c r="M158" s="27"/>
      <c r="N158" s="31" t="s">
        <v>154</v>
      </c>
      <c r="O158" s="27"/>
      <c r="P158" s="30"/>
      <c r="Q158" s="30" t="s">
        <v>66</v>
      </c>
      <c r="R158" s="26">
        <v>46212</v>
      </c>
      <c r="S158" s="26">
        <v>46213</v>
      </c>
      <c r="T158" s="31"/>
      <c r="U158" s="30" t="s">
        <v>68</v>
      </c>
      <c r="V158" s="34" t="s">
        <v>70</v>
      </c>
      <c r="W158" s="27" t="s">
        <v>85</v>
      </c>
      <c r="X158" s="30">
        <v>1</v>
      </c>
      <c r="Y158" s="30">
        <v>1</v>
      </c>
      <c r="Z158" s="30">
        <v>1</v>
      </c>
      <c r="AA158" s="30">
        <v>1</v>
      </c>
      <c r="AB158" s="30"/>
      <c r="AC158" s="30"/>
      <c r="AD158" s="30"/>
      <c r="AE158" s="30"/>
      <c r="AF158" s="30"/>
      <c r="AG158" s="30"/>
      <c r="AH158" s="30"/>
      <c r="AI158" s="30" t="s">
        <v>69</v>
      </c>
      <c r="AJ158" s="30" t="s">
        <v>157</v>
      </c>
      <c r="AK158" s="30"/>
      <c r="AL158" s="30"/>
      <c r="AM158" s="30"/>
      <c r="AN158" s="30"/>
      <c r="AO158" s="30"/>
      <c r="AP158" s="30"/>
      <c r="AQ158" s="30"/>
      <c r="AR158" s="36"/>
      <c r="AS158" s="36"/>
      <c r="AT158" s="36"/>
      <c r="AU158" s="36"/>
      <c r="AV158" s="36"/>
      <c r="AW158" s="36"/>
      <c r="AX158" s="36"/>
      <c r="AY158" s="36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27"/>
      <c r="BL158" s="27"/>
    </row>
    <row r="159" spans="1:64">
      <c r="A159" s="25" t="s">
        <v>54</v>
      </c>
      <c r="B159" s="26">
        <v>46211</v>
      </c>
      <c r="C159" s="27">
        <v>30101</v>
      </c>
      <c r="D159" s="27"/>
      <c r="E159" s="27" t="s">
        <v>76</v>
      </c>
      <c r="F159" s="27" t="s">
        <v>59</v>
      </c>
      <c r="G159" s="27" t="s">
        <v>104</v>
      </c>
      <c r="H159" s="30" t="s">
        <v>606</v>
      </c>
      <c r="I159" s="31" t="s">
        <v>719</v>
      </c>
      <c r="J159" s="30"/>
      <c r="K159" s="27">
        <v>2</v>
      </c>
      <c r="L159" s="27">
        <v>100</v>
      </c>
      <c r="M159" s="27"/>
      <c r="N159" s="31" t="s">
        <v>154</v>
      </c>
      <c r="O159" s="27"/>
      <c r="P159" s="30"/>
      <c r="Q159" s="30" t="s">
        <v>66</v>
      </c>
      <c r="R159" s="26">
        <v>46212</v>
      </c>
      <c r="S159" s="26">
        <v>46213</v>
      </c>
      <c r="T159" s="31"/>
      <c r="U159" s="30" t="s">
        <v>68</v>
      </c>
      <c r="V159" s="34" t="s">
        <v>70</v>
      </c>
      <c r="W159" s="27" t="s">
        <v>85</v>
      </c>
      <c r="X159" s="30">
        <v>1</v>
      </c>
      <c r="Y159" s="30">
        <v>1</v>
      </c>
      <c r="Z159" s="30">
        <v>1</v>
      </c>
      <c r="AA159" s="30">
        <v>1</v>
      </c>
      <c r="AB159" s="30"/>
      <c r="AC159" s="30"/>
      <c r="AD159" s="30"/>
      <c r="AE159" s="30"/>
      <c r="AF159" s="30"/>
      <c r="AG159" s="30"/>
      <c r="AH159" s="30"/>
      <c r="AI159" s="30" t="s">
        <v>69</v>
      </c>
      <c r="AJ159" s="30" t="s">
        <v>157</v>
      </c>
      <c r="AK159" s="30"/>
      <c r="AL159" s="30"/>
      <c r="AM159" s="30"/>
      <c r="AN159" s="30"/>
      <c r="AO159" s="30"/>
      <c r="AP159" s="30"/>
      <c r="AQ159" s="30"/>
      <c r="AR159" s="36"/>
      <c r="AS159" s="36"/>
      <c r="AT159" s="36"/>
      <c r="AU159" s="36"/>
      <c r="AV159" s="36"/>
      <c r="AW159" s="36"/>
      <c r="AX159" s="36"/>
      <c r="AY159" s="36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27"/>
      <c r="BL159" s="27"/>
    </row>
    <row r="160" spans="1:64">
      <c r="A160" s="25" t="s">
        <v>54</v>
      </c>
      <c r="B160" s="26">
        <v>46211</v>
      </c>
      <c r="C160" s="27">
        <v>30102</v>
      </c>
      <c r="D160" s="27"/>
      <c r="E160" s="27" t="s">
        <v>76</v>
      </c>
      <c r="F160" s="27" t="s">
        <v>59</v>
      </c>
      <c r="G160" s="27" t="s">
        <v>104</v>
      </c>
      <c r="H160" s="30" t="s">
        <v>151</v>
      </c>
      <c r="I160" s="31" t="s">
        <v>720</v>
      </c>
      <c r="J160" s="30"/>
      <c r="K160" s="27">
        <v>2</v>
      </c>
      <c r="L160" s="27">
        <v>100</v>
      </c>
      <c r="M160" s="27"/>
      <c r="N160" s="31" t="s">
        <v>455</v>
      </c>
      <c r="O160" s="27"/>
      <c r="P160" s="30"/>
      <c r="Q160" s="30" t="s">
        <v>66</v>
      </c>
      <c r="R160" s="26">
        <v>46212</v>
      </c>
      <c r="S160" s="26">
        <v>46213</v>
      </c>
      <c r="T160" s="31"/>
      <c r="U160" s="30" t="s">
        <v>68</v>
      </c>
      <c r="V160" s="34" t="s">
        <v>70</v>
      </c>
      <c r="W160" s="27" t="s">
        <v>85</v>
      </c>
      <c r="X160" s="30">
        <v>1</v>
      </c>
      <c r="Y160" s="30">
        <v>1</v>
      </c>
      <c r="Z160" s="30">
        <v>1</v>
      </c>
      <c r="AA160" s="30">
        <v>1</v>
      </c>
      <c r="AB160" s="30"/>
      <c r="AC160" s="30"/>
      <c r="AD160" s="30"/>
      <c r="AE160" s="30"/>
      <c r="AF160" s="30"/>
      <c r="AG160" s="30"/>
      <c r="AH160" s="30"/>
      <c r="AI160" s="30" t="s">
        <v>69</v>
      </c>
      <c r="AJ160" s="30" t="s">
        <v>583</v>
      </c>
      <c r="AK160" s="30"/>
      <c r="AL160" s="30"/>
      <c r="AM160" s="30"/>
      <c r="AN160" s="30"/>
      <c r="AO160" s="30"/>
      <c r="AP160" s="30"/>
      <c r="AQ160" s="30"/>
      <c r="AR160" s="36"/>
      <c r="AS160" s="36"/>
      <c r="AT160" s="36"/>
      <c r="AU160" s="36"/>
      <c r="AV160" s="36"/>
      <c r="AW160" s="36"/>
      <c r="AX160" s="36"/>
      <c r="AY160" s="36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27"/>
      <c r="BL160" s="27"/>
    </row>
    <row r="161" spans="1:64">
      <c r="A161" s="25" t="s">
        <v>54</v>
      </c>
      <c r="B161" s="26">
        <v>46211</v>
      </c>
      <c r="C161" s="27">
        <v>30093</v>
      </c>
      <c r="D161" s="27"/>
      <c r="E161" s="27" t="s">
        <v>76</v>
      </c>
      <c r="F161" s="27" t="s">
        <v>59</v>
      </c>
      <c r="G161" s="27" t="s">
        <v>104</v>
      </c>
      <c r="H161" s="30" t="s">
        <v>151</v>
      </c>
      <c r="I161" s="31" t="s">
        <v>722</v>
      </c>
      <c r="J161" s="30"/>
      <c r="K161" s="27">
        <v>9</v>
      </c>
      <c r="L161" s="27">
        <v>228</v>
      </c>
      <c r="M161" s="27"/>
      <c r="N161" s="31" t="s">
        <v>455</v>
      </c>
      <c r="O161" s="27"/>
      <c r="P161" s="30"/>
      <c r="Q161" s="30" t="s">
        <v>66</v>
      </c>
      <c r="R161" s="26">
        <v>46212</v>
      </c>
      <c r="S161" s="26">
        <v>46213</v>
      </c>
      <c r="T161" s="31"/>
      <c r="U161" s="30" t="s">
        <v>68</v>
      </c>
      <c r="V161" s="34" t="s">
        <v>70</v>
      </c>
      <c r="W161" s="27" t="s">
        <v>85</v>
      </c>
      <c r="X161" s="30">
        <v>1</v>
      </c>
      <c r="Y161" s="30">
        <v>1</v>
      </c>
      <c r="Z161" s="30">
        <v>1</v>
      </c>
      <c r="AA161" s="30">
        <v>1</v>
      </c>
      <c r="AB161" s="30"/>
      <c r="AC161" s="30"/>
      <c r="AD161" s="30"/>
      <c r="AE161" s="30"/>
      <c r="AF161" s="30"/>
      <c r="AG161" s="30"/>
      <c r="AH161" s="30"/>
      <c r="AI161" s="30" t="s">
        <v>69</v>
      </c>
      <c r="AJ161" s="30" t="s">
        <v>583</v>
      </c>
      <c r="AK161" s="30"/>
      <c r="AL161" s="30"/>
      <c r="AM161" s="30"/>
      <c r="AN161" s="30"/>
      <c r="AO161" s="30"/>
      <c r="AP161" s="30"/>
      <c r="AQ161" s="30"/>
      <c r="AR161" s="36"/>
      <c r="AS161" s="36"/>
      <c r="AT161" s="36"/>
      <c r="AU161" s="36"/>
      <c r="AV161" s="36"/>
      <c r="AW161" s="36"/>
      <c r="AX161" s="36"/>
      <c r="AY161" s="36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27"/>
      <c r="BL161" s="27"/>
    </row>
    <row r="162" spans="1:64">
      <c r="A162" s="25" t="s">
        <v>54</v>
      </c>
      <c r="B162" s="26">
        <v>46211</v>
      </c>
      <c r="C162" s="27"/>
      <c r="D162" s="27">
        <v>732468</v>
      </c>
      <c r="E162" s="27" t="s">
        <v>410</v>
      </c>
      <c r="F162" s="27" t="s">
        <v>59</v>
      </c>
      <c r="G162" s="27" t="s">
        <v>104</v>
      </c>
      <c r="H162" s="30" t="s">
        <v>409</v>
      </c>
      <c r="I162" s="31" t="s">
        <v>724</v>
      </c>
      <c r="J162" s="30" t="s">
        <v>725</v>
      </c>
      <c r="K162" s="27">
        <v>1</v>
      </c>
      <c r="L162" s="27">
        <v>16</v>
      </c>
      <c r="M162" s="27">
        <v>30</v>
      </c>
      <c r="N162" s="31" t="s">
        <v>81</v>
      </c>
      <c r="O162" s="27"/>
      <c r="P162" s="30"/>
      <c r="Q162" s="30" t="s">
        <v>726</v>
      </c>
      <c r="R162" s="26">
        <v>46214</v>
      </c>
      <c r="S162" s="26">
        <v>46216</v>
      </c>
      <c r="T162" s="31"/>
      <c r="U162" s="30" t="s">
        <v>68</v>
      </c>
      <c r="V162" s="34" t="s">
        <v>70</v>
      </c>
      <c r="W162" s="27" t="s">
        <v>410</v>
      </c>
      <c r="X162" s="30">
        <v>1</v>
      </c>
      <c r="Y162" s="30">
        <v>1</v>
      </c>
      <c r="Z162" s="30">
        <v>1</v>
      </c>
      <c r="AA162" s="30">
        <v>1</v>
      </c>
      <c r="AB162" s="30"/>
      <c r="AC162" s="30"/>
      <c r="AD162" s="30"/>
      <c r="AE162" s="30"/>
      <c r="AF162" s="30"/>
      <c r="AG162" s="30"/>
      <c r="AH162" s="30"/>
      <c r="AI162" s="30" t="s">
        <v>69</v>
      </c>
      <c r="AJ162" s="30"/>
      <c r="AK162" s="30" t="s">
        <v>81</v>
      </c>
      <c r="AL162" s="30" t="s">
        <v>90</v>
      </c>
      <c r="AM162" s="30"/>
      <c r="AN162" s="30"/>
      <c r="AO162" s="30"/>
      <c r="AP162" s="30"/>
      <c r="AQ162" s="30"/>
      <c r="AR162" s="36"/>
      <c r="AS162" s="36"/>
      <c r="AT162" s="36"/>
      <c r="AU162" s="36"/>
      <c r="AV162" s="36"/>
      <c r="AW162" s="36"/>
      <c r="AX162" s="36"/>
      <c r="AY162" s="36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27"/>
      <c r="BL162" s="27"/>
    </row>
    <row r="163" spans="1:64">
      <c r="A163" s="25" t="s">
        <v>54</v>
      </c>
      <c r="B163" s="26">
        <v>46211</v>
      </c>
      <c r="C163" s="27"/>
      <c r="D163" s="27">
        <v>10221259258</v>
      </c>
      <c r="E163" s="27" t="s">
        <v>333</v>
      </c>
      <c r="F163" s="27" t="s">
        <v>471</v>
      </c>
      <c r="G163" s="27" t="s">
        <v>28</v>
      </c>
      <c r="H163" s="30" t="s">
        <v>412</v>
      </c>
      <c r="I163" s="31" t="s">
        <v>727</v>
      </c>
      <c r="J163" s="30" t="s">
        <v>728</v>
      </c>
      <c r="K163" s="27">
        <v>1</v>
      </c>
      <c r="L163" s="27">
        <v>1</v>
      </c>
      <c r="M163" s="27"/>
      <c r="N163" s="31" t="s">
        <v>507</v>
      </c>
      <c r="O163" s="27"/>
      <c r="P163" s="30"/>
      <c r="Q163" s="30" t="s">
        <v>66</v>
      </c>
      <c r="R163" s="26">
        <v>46212</v>
      </c>
      <c r="S163" s="26">
        <v>46216</v>
      </c>
      <c r="T163" s="31"/>
      <c r="U163" s="30" t="s">
        <v>68</v>
      </c>
      <c r="V163" s="34" t="s">
        <v>70</v>
      </c>
      <c r="W163" s="27" t="s">
        <v>336</v>
      </c>
      <c r="X163" s="30">
        <v>1</v>
      </c>
      <c r="Y163" s="30">
        <v>1</v>
      </c>
      <c r="Z163" s="30">
        <v>1</v>
      </c>
      <c r="AA163" s="30">
        <v>1</v>
      </c>
      <c r="AB163" s="30"/>
      <c r="AC163" s="30"/>
      <c r="AD163" s="30"/>
      <c r="AE163" s="30"/>
      <c r="AF163" s="30"/>
      <c r="AG163" s="30"/>
      <c r="AH163" s="30"/>
      <c r="AI163" s="30" t="s">
        <v>69</v>
      </c>
      <c r="AJ163" s="30" t="s">
        <v>509</v>
      </c>
      <c r="AK163" s="30"/>
      <c r="AL163" s="30"/>
      <c r="AM163" s="30"/>
      <c r="AN163" s="30"/>
      <c r="AO163" s="30"/>
      <c r="AP163" s="30"/>
      <c r="AQ163" s="30"/>
      <c r="AR163" s="36"/>
      <c r="AS163" s="36"/>
      <c r="AT163" s="36"/>
      <c r="AU163" s="36"/>
      <c r="AV163" s="36"/>
      <c r="AW163" s="36"/>
      <c r="AX163" s="36"/>
      <c r="AY163" s="36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27"/>
      <c r="BL163" s="27"/>
    </row>
    <row r="164" spans="1:64">
      <c r="A164" s="25" t="s">
        <v>54</v>
      </c>
      <c r="B164" s="26">
        <v>46211</v>
      </c>
      <c r="C164" s="27"/>
      <c r="D164" s="27">
        <v>50013276</v>
      </c>
      <c r="E164" s="27" t="s">
        <v>333</v>
      </c>
      <c r="F164" s="27" t="s">
        <v>471</v>
      </c>
      <c r="G164" s="27" t="s">
        <v>28</v>
      </c>
      <c r="H164" s="30" t="s">
        <v>207</v>
      </c>
      <c r="I164" s="31" t="s">
        <v>729</v>
      </c>
      <c r="J164" s="30" t="s">
        <v>730</v>
      </c>
      <c r="K164" s="27">
        <v>3</v>
      </c>
      <c r="L164" s="27">
        <v>63</v>
      </c>
      <c r="M164" s="27"/>
      <c r="N164" s="31" t="s">
        <v>154</v>
      </c>
      <c r="O164" s="27"/>
      <c r="P164" s="30"/>
      <c r="Q164" s="30" t="s">
        <v>66</v>
      </c>
      <c r="R164" s="26">
        <v>46212</v>
      </c>
      <c r="S164" s="26">
        <v>46213</v>
      </c>
      <c r="T164" s="31"/>
      <c r="U164" s="30" t="s">
        <v>68</v>
      </c>
      <c r="V164" s="34" t="s">
        <v>70</v>
      </c>
      <c r="W164" s="27" t="s">
        <v>336</v>
      </c>
      <c r="X164" s="30">
        <v>1</v>
      </c>
      <c r="Y164" s="30">
        <v>1</v>
      </c>
      <c r="Z164" s="30">
        <v>1</v>
      </c>
      <c r="AA164" s="30">
        <v>1</v>
      </c>
      <c r="AB164" s="30"/>
      <c r="AC164" s="30"/>
      <c r="AD164" s="30"/>
      <c r="AE164" s="30"/>
      <c r="AF164" s="30"/>
      <c r="AG164" s="30"/>
      <c r="AH164" s="30"/>
      <c r="AI164" s="30" t="s">
        <v>69</v>
      </c>
      <c r="AJ164" s="30" t="s">
        <v>157</v>
      </c>
      <c r="AK164" s="30"/>
      <c r="AL164" s="30"/>
      <c r="AM164" s="30"/>
      <c r="AN164" s="30"/>
      <c r="AO164" s="30"/>
      <c r="AP164" s="30"/>
      <c r="AQ164" s="30"/>
      <c r="AR164" s="36"/>
      <c r="AS164" s="36"/>
      <c r="AT164" s="36"/>
      <c r="AU164" s="36"/>
      <c r="AV164" s="36"/>
      <c r="AW164" s="36"/>
      <c r="AX164" s="36"/>
      <c r="AY164" s="36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27"/>
      <c r="BL164" s="27"/>
    </row>
    <row r="165" spans="1:64">
      <c r="A165" s="25" t="s">
        <v>54</v>
      </c>
      <c r="B165" s="26">
        <v>46211</v>
      </c>
      <c r="C165" s="27"/>
      <c r="D165" s="27">
        <v>50013269</v>
      </c>
      <c r="E165" s="27" t="s">
        <v>333</v>
      </c>
      <c r="F165" s="27" t="s">
        <v>471</v>
      </c>
      <c r="G165" s="27" t="s">
        <v>28</v>
      </c>
      <c r="H165" s="30" t="s">
        <v>412</v>
      </c>
      <c r="I165" s="31" t="s">
        <v>731</v>
      </c>
      <c r="J165" s="30" t="s">
        <v>732</v>
      </c>
      <c r="K165" s="27">
        <v>1</v>
      </c>
      <c r="L165" s="27">
        <v>33</v>
      </c>
      <c r="M165" s="27"/>
      <c r="N165" s="31" t="s">
        <v>507</v>
      </c>
      <c r="O165" s="27"/>
      <c r="P165" s="30"/>
      <c r="Q165" s="30" t="s">
        <v>66</v>
      </c>
      <c r="R165" s="26">
        <v>46212</v>
      </c>
      <c r="S165" s="26">
        <v>46216</v>
      </c>
      <c r="T165" s="31"/>
      <c r="U165" s="30" t="s">
        <v>68</v>
      </c>
      <c r="V165" s="34" t="s">
        <v>70</v>
      </c>
      <c r="W165" s="27" t="s">
        <v>336</v>
      </c>
      <c r="X165" s="30">
        <v>1</v>
      </c>
      <c r="Y165" s="30">
        <v>1</v>
      </c>
      <c r="Z165" s="30">
        <v>1</v>
      </c>
      <c r="AA165" s="30">
        <v>1</v>
      </c>
      <c r="AB165" s="30"/>
      <c r="AC165" s="30"/>
      <c r="AD165" s="30"/>
      <c r="AE165" s="30"/>
      <c r="AF165" s="30"/>
      <c r="AG165" s="30"/>
      <c r="AH165" s="30"/>
      <c r="AI165" s="30" t="s">
        <v>69</v>
      </c>
      <c r="AJ165" s="30" t="s">
        <v>509</v>
      </c>
      <c r="AK165" s="30"/>
      <c r="AL165" s="30"/>
      <c r="AM165" s="30"/>
      <c r="AN165" s="30"/>
      <c r="AO165" s="30"/>
      <c r="AP165" s="30"/>
      <c r="AQ165" s="30"/>
      <c r="AR165" s="36"/>
      <c r="AS165" s="36"/>
      <c r="AT165" s="36"/>
      <c r="AU165" s="36"/>
      <c r="AV165" s="36"/>
      <c r="AW165" s="36"/>
      <c r="AX165" s="36"/>
      <c r="AY165" s="36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27"/>
      <c r="BL165" s="27"/>
    </row>
    <row r="166" spans="1:64">
      <c r="A166" s="25" t="s">
        <v>54</v>
      </c>
      <c r="B166" s="26">
        <v>46211</v>
      </c>
      <c r="C166" s="27"/>
      <c r="D166" s="27">
        <v>50013232</v>
      </c>
      <c r="E166" s="27" t="s">
        <v>333</v>
      </c>
      <c r="F166" s="27" t="s">
        <v>471</v>
      </c>
      <c r="G166" s="27" t="s">
        <v>28</v>
      </c>
      <c r="H166" s="30" t="s">
        <v>679</v>
      </c>
      <c r="I166" s="31" t="s">
        <v>734</v>
      </c>
      <c r="J166" s="30" t="s">
        <v>735</v>
      </c>
      <c r="K166" s="27">
        <v>1</v>
      </c>
      <c r="L166" s="27">
        <v>20</v>
      </c>
      <c r="M166" s="27"/>
      <c r="N166" s="31" t="s">
        <v>507</v>
      </c>
      <c r="O166" s="27"/>
      <c r="P166" s="30"/>
      <c r="Q166" s="30" t="s">
        <v>66</v>
      </c>
      <c r="R166" s="26">
        <v>46213</v>
      </c>
      <c r="S166" s="26">
        <v>46216</v>
      </c>
      <c r="T166" s="31"/>
      <c r="U166" s="30" t="s">
        <v>68</v>
      </c>
      <c r="V166" s="34" t="s">
        <v>70</v>
      </c>
      <c r="W166" s="27" t="s">
        <v>336</v>
      </c>
      <c r="X166" s="30">
        <v>1</v>
      </c>
      <c r="Y166" s="30">
        <v>1</v>
      </c>
      <c r="Z166" s="30">
        <v>1</v>
      </c>
      <c r="AA166" s="30">
        <v>1</v>
      </c>
      <c r="AB166" s="30"/>
      <c r="AC166" s="30"/>
      <c r="AD166" s="30"/>
      <c r="AE166" s="30"/>
      <c r="AF166" s="30"/>
      <c r="AG166" s="30"/>
      <c r="AH166" s="30"/>
      <c r="AI166" s="30" t="s">
        <v>69</v>
      </c>
      <c r="AJ166" s="30" t="s">
        <v>507</v>
      </c>
      <c r="AK166" s="30" t="s">
        <v>41</v>
      </c>
      <c r="AL166" s="30"/>
      <c r="AM166" s="30"/>
      <c r="AN166" s="30"/>
      <c r="AO166" s="30"/>
      <c r="AP166" s="30"/>
      <c r="AQ166" s="30"/>
      <c r="AR166" s="36"/>
      <c r="AS166" s="36"/>
      <c r="AT166" s="36"/>
      <c r="AU166" s="36"/>
      <c r="AV166" s="36"/>
      <c r="AW166" s="36"/>
      <c r="AX166" s="36"/>
      <c r="AY166" s="36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27"/>
      <c r="BL166" s="27"/>
    </row>
    <row r="167" spans="1:64">
      <c r="A167" s="25" t="s">
        <v>54</v>
      </c>
      <c r="B167" s="26">
        <v>46211</v>
      </c>
      <c r="C167" s="27">
        <v>29444</v>
      </c>
      <c r="D167" s="27" t="s">
        <v>236</v>
      </c>
      <c r="E167" s="27" t="s">
        <v>736</v>
      </c>
      <c r="F167" s="27" t="s">
        <v>48</v>
      </c>
      <c r="G167" s="27" t="s">
        <v>110</v>
      </c>
      <c r="H167" s="30" t="s">
        <v>134</v>
      </c>
      <c r="I167" s="31" t="s">
        <v>737</v>
      </c>
      <c r="J167" s="30" t="s">
        <v>738</v>
      </c>
      <c r="K167" s="27">
        <v>8</v>
      </c>
      <c r="L167" s="27">
        <v>120</v>
      </c>
      <c r="M167" s="27"/>
      <c r="N167" s="31" t="s">
        <v>94</v>
      </c>
      <c r="O167" s="27"/>
      <c r="P167" s="30"/>
      <c r="Q167" s="30" t="s">
        <v>739</v>
      </c>
      <c r="R167" s="26">
        <v>46214</v>
      </c>
      <c r="S167" s="26">
        <v>46216</v>
      </c>
      <c r="T167" s="31"/>
      <c r="U167" s="30" t="s">
        <v>68</v>
      </c>
      <c r="V167" s="34" t="s">
        <v>70</v>
      </c>
      <c r="W167" s="27" t="s">
        <v>741</v>
      </c>
      <c r="X167" s="30">
        <v>1</v>
      </c>
      <c r="Y167" s="30">
        <v>1</v>
      </c>
      <c r="Z167" s="30">
        <v>1</v>
      </c>
      <c r="AA167" s="30">
        <v>1</v>
      </c>
      <c r="AB167" s="30"/>
      <c r="AC167" s="30"/>
      <c r="AD167" s="30"/>
      <c r="AE167" s="30"/>
      <c r="AF167" s="30"/>
      <c r="AG167" s="30"/>
      <c r="AH167" s="30"/>
      <c r="AI167" s="30" t="s">
        <v>742</v>
      </c>
      <c r="AJ167" s="30"/>
      <c r="AK167" s="30" t="s">
        <v>743</v>
      </c>
      <c r="AL167" s="30"/>
      <c r="AM167" s="30"/>
      <c r="AN167" s="30"/>
      <c r="AO167" s="30"/>
      <c r="AP167" s="30"/>
      <c r="AQ167" s="30"/>
      <c r="AR167" s="36"/>
      <c r="AS167" s="36"/>
      <c r="AT167" s="36"/>
      <c r="AU167" s="36"/>
      <c r="AV167" s="36"/>
      <c r="AW167" s="36"/>
      <c r="AX167" s="36"/>
      <c r="AY167" s="36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27"/>
      <c r="BL167" s="27">
        <v>624000</v>
      </c>
    </row>
    <row r="168" spans="1:64">
      <c r="A168" s="25" t="s">
        <v>54</v>
      </c>
      <c r="B168" s="26">
        <v>46211</v>
      </c>
      <c r="C168" s="27">
        <v>30162</v>
      </c>
      <c r="D168" s="27" t="s">
        <v>744</v>
      </c>
      <c r="E168" s="27" t="s">
        <v>101</v>
      </c>
      <c r="F168" s="27" t="s">
        <v>59</v>
      </c>
      <c r="G168" s="27" t="s">
        <v>104</v>
      </c>
      <c r="H168" s="30" t="s">
        <v>293</v>
      </c>
      <c r="I168" s="31" t="s">
        <v>745</v>
      </c>
      <c r="J168" s="30" t="s">
        <v>746</v>
      </c>
      <c r="K168" s="27">
        <v>117</v>
      </c>
      <c r="L168" s="27">
        <v>228</v>
      </c>
      <c r="M168" s="27"/>
      <c r="N168" s="31" t="s">
        <v>81</v>
      </c>
      <c r="O168" s="27"/>
      <c r="P168" s="30"/>
      <c r="Q168" s="30" t="s">
        <v>66</v>
      </c>
      <c r="R168" s="26">
        <v>46213</v>
      </c>
      <c r="S168" s="26">
        <v>46216</v>
      </c>
      <c r="T168" s="31"/>
      <c r="U168" s="30" t="s">
        <v>68</v>
      </c>
      <c r="V168" s="34" t="s">
        <v>70</v>
      </c>
      <c r="W168" s="27" t="s">
        <v>101</v>
      </c>
      <c r="X168" s="30">
        <v>1</v>
      </c>
      <c r="Y168" s="30">
        <v>1</v>
      </c>
      <c r="Z168" s="61">
        <v>1</v>
      </c>
      <c r="AA168" s="61">
        <v>1</v>
      </c>
      <c r="AB168" s="30"/>
      <c r="AC168" s="30"/>
      <c r="AD168" s="30"/>
      <c r="AE168" s="30"/>
      <c r="AF168" s="30"/>
      <c r="AG168" s="30"/>
      <c r="AH168" s="30"/>
      <c r="AI168" s="30" t="s">
        <v>69</v>
      </c>
      <c r="AJ168" s="30"/>
      <c r="AK168" s="30" t="s">
        <v>748</v>
      </c>
      <c r="AL168" s="30"/>
      <c r="AM168" s="30"/>
      <c r="AN168" s="30"/>
      <c r="AO168" s="30"/>
      <c r="AP168" s="30"/>
      <c r="AQ168" s="30"/>
      <c r="AR168" s="36"/>
      <c r="AS168" s="36"/>
      <c r="AT168" s="36"/>
      <c r="AU168" s="36"/>
      <c r="AV168" s="36"/>
      <c r="AW168" s="36"/>
      <c r="AX168" s="36"/>
      <c r="AY168" s="36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27"/>
      <c r="BL168" s="27"/>
    </row>
    <row r="169" spans="1:64">
      <c r="A169" s="25" t="s">
        <v>54</v>
      </c>
      <c r="B169" s="26">
        <v>46211</v>
      </c>
      <c r="C169" s="27">
        <v>29763</v>
      </c>
      <c r="D169" s="27"/>
      <c r="E169" s="27" t="s">
        <v>203</v>
      </c>
      <c r="F169" s="27" t="s">
        <v>59</v>
      </c>
      <c r="G169" s="27" t="s">
        <v>104</v>
      </c>
      <c r="H169" s="30" t="s">
        <v>60</v>
      </c>
      <c r="I169" s="31" t="s">
        <v>749</v>
      </c>
      <c r="J169" s="30" t="s">
        <v>60</v>
      </c>
      <c r="K169" s="27">
        <v>1</v>
      </c>
      <c r="L169" s="27" t="s">
        <v>205</v>
      </c>
      <c r="M169" s="27"/>
      <c r="N169" s="31" t="s">
        <v>595</v>
      </c>
      <c r="O169" s="27"/>
      <c r="P169" s="30"/>
      <c r="Q169" s="30" t="s">
        <v>66</v>
      </c>
      <c r="R169" s="26">
        <v>46213</v>
      </c>
      <c r="S169" s="26">
        <v>46216</v>
      </c>
      <c r="T169" s="31"/>
      <c r="U169" s="30" t="s">
        <v>68</v>
      </c>
      <c r="V169" s="34" t="s">
        <v>70</v>
      </c>
      <c r="W169" s="27" t="s">
        <v>208</v>
      </c>
      <c r="X169" s="30">
        <v>1</v>
      </c>
      <c r="Y169" s="30">
        <v>1</v>
      </c>
      <c r="Z169" s="30">
        <v>1</v>
      </c>
      <c r="AA169" s="30">
        <v>1</v>
      </c>
      <c r="AB169" s="30"/>
      <c r="AC169" s="30"/>
      <c r="AD169" s="30"/>
      <c r="AE169" s="30"/>
      <c r="AF169" s="30"/>
      <c r="AG169" s="30"/>
      <c r="AH169" s="30"/>
      <c r="AI169" s="30" t="s">
        <v>69</v>
      </c>
      <c r="AJ169" s="30"/>
      <c r="AK169" s="30" t="s">
        <v>750</v>
      </c>
      <c r="AL169" s="30"/>
      <c r="AM169" s="30"/>
      <c r="AN169" s="30"/>
      <c r="AO169" s="30"/>
      <c r="AP169" s="30"/>
      <c r="AQ169" s="30"/>
      <c r="AR169" s="36"/>
      <c r="AS169" s="36"/>
      <c r="AT169" s="36"/>
      <c r="AU169" s="36"/>
      <c r="AV169" s="36"/>
      <c r="AW169" s="36"/>
      <c r="AX169" s="36"/>
      <c r="AY169" s="36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27"/>
      <c r="BL169" s="27"/>
    </row>
    <row r="170" spans="1:64">
      <c r="A170" s="25" t="s">
        <v>54</v>
      </c>
      <c r="B170" s="26">
        <v>46211</v>
      </c>
      <c r="C170" s="27">
        <v>29757</v>
      </c>
      <c r="D170" s="27"/>
      <c r="E170" s="27" t="s">
        <v>212</v>
      </c>
      <c r="F170" s="27" t="s">
        <v>59</v>
      </c>
      <c r="G170" s="27" t="s">
        <v>104</v>
      </c>
      <c r="H170" s="30" t="s">
        <v>60</v>
      </c>
      <c r="I170" s="31" t="s">
        <v>487</v>
      </c>
      <c r="J170" s="30" t="s">
        <v>60</v>
      </c>
      <c r="K170" s="27">
        <v>1</v>
      </c>
      <c r="L170" s="27" t="s">
        <v>205</v>
      </c>
      <c r="M170" s="27"/>
      <c r="N170" s="31" t="s">
        <v>595</v>
      </c>
      <c r="O170" s="27"/>
      <c r="P170" s="30"/>
      <c r="Q170" s="30" t="s">
        <v>66</v>
      </c>
      <c r="R170" s="26">
        <v>46213</v>
      </c>
      <c r="S170" s="26">
        <v>46216</v>
      </c>
      <c r="T170" s="31"/>
      <c r="U170" s="30" t="s">
        <v>68</v>
      </c>
      <c r="V170" s="34" t="s">
        <v>70</v>
      </c>
      <c r="W170" s="27" t="s">
        <v>208</v>
      </c>
      <c r="X170" s="30">
        <v>1</v>
      </c>
      <c r="Y170" s="30">
        <v>1</v>
      </c>
      <c r="Z170" s="30">
        <v>1</v>
      </c>
      <c r="AA170" s="30">
        <v>1</v>
      </c>
      <c r="AB170" s="30"/>
      <c r="AC170" s="30"/>
      <c r="AD170" s="30"/>
      <c r="AE170" s="30"/>
      <c r="AF170" s="30"/>
      <c r="AG170" s="30"/>
      <c r="AH170" s="30"/>
      <c r="AI170" s="30" t="s">
        <v>69</v>
      </c>
      <c r="AJ170" s="30"/>
      <c r="AK170" s="30" t="s">
        <v>157</v>
      </c>
      <c r="AL170" s="30"/>
      <c r="AM170" s="30"/>
      <c r="AN170" s="30"/>
      <c r="AO170" s="30"/>
      <c r="AP170" s="30"/>
      <c r="AQ170" s="30"/>
      <c r="AR170" s="36"/>
      <c r="AS170" s="36"/>
      <c r="AT170" s="36"/>
      <c r="AU170" s="36"/>
      <c r="AV170" s="36"/>
      <c r="AW170" s="36"/>
      <c r="AX170" s="36"/>
      <c r="AY170" s="36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27"/>
      <c r="BL170" s="27"/>
    </row>
    <row r="171" spans="1:64">
      <c r="A171" s="25" t="s">
        <v>54</v>
      </c>
      <c r="B171" s="26">
        <v>46211</v>
      </c>
      <c r="C171" s="27">
        <v>29748</v>
      </c>
      <c r="D171" s="27"/>
      <c r="E171" s="27" t="s">
        <v>233</v>
      </c>
      <c r="F171" s="27" t="s">
        <v>59</v>
      </c>
      <c r="G171" s="27" t="s">
        <v>104</v>
      </c>
      <c r="H171" s="30" t="s">
        <v>60</v>
      </c>
      <c r="I171" s="31" t="s">
        <v>647</v>
      </c>
      <c r="J171" s="30" t="s">
        <v>60</v>
      </c>
      <c r="K171" s="27">
        <v>1</v>
      </c>
      <c r="L171" s="27" t="s">
        <v>205</v>
      </c>
      <c r="M171" s="27"/>
      <c r="N171" s="31" t="s">
        <v>595</v>
      </c>
      <c r="O171" s="27"/>
      <c r="P171" s="30"/>
      <c r="Q171" s="30" t="s">
        <v>66</v>
      </c>
      <c r="R171" s="26">
        <v>46213</v>
      </c>
      <c r="S171" s="26">
        <v>46216</v>
      </c>
      <c r="T171" s="31"/>
      <c r="U171" s="30" t="s">
        <v>68</v>
      </c>
      <c r="V171" s="34" t="s">
        <v>70</v>
      </c>
      <c r="W171" s="27" t="s">
        <v>208</v>
      </c>
      <c r="X171" s="30">
        <v>1</v>
      </c>
      <c r="Y171" s="30">
        <v>1</v>
      </c>
      <c r="Z171" s="30">
        <v>1</v>
      </c>
      <c r="AA171" s="30">
        <v>1</v>
      </c>
      <c r="AB171" s="30"/>
      <c r="AC171" s="30"/>
      <c r="AD171" s="30"/>
      <c r="AE171" s="30"/>
      <c r="AF171" s="30"/>
      <c r="AG171" s="30"/>
      <c r="AH171" s="30"/>
      <c r="AI171" s="30" t="s">
        <v>69</v>
      </c>
      <c r="AJ171" s="30"/>
      <c r="AK171" s="30" t="s">
        <v>157</v>
      </c>
      <c r="AL171" s="30"/>
      <c r="AM171" s="30"/>
      <c r="AN171" s="30"/>
      <c r="AO171" s="30"/>
      <c r="AP171" s="30"/>
      <c r="AQ171" s="30"/>
      <c r="AR171" s="36"/>
      <c r="AS171" s="36"/>
      <c r="AT171" s="36"/>
      <c r="AU171" s="36"/>
      <c r="AV171" s="36"/>
      <c r="AW171" s="36"/>
      <c r="AX171" s="36"/>
      <c r="AY171" s="36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27"/>
      <c r="BL171" s="27"/>
    </row>
    <row r="172" spans="1:64">
      <c r="A172" s="25" t="s">
        <v>54</v>
      </c>
      <c r="B172" s="26">
        <v>46211</v>
      </c>
      <c r="C172" s="27">
        <v>29756</v>
      </c>
      <c r="D172" s="27"/>
      <c r="E172" s="27" t="s">
        <v>212</v>
      </c>
      <c r="F172" s="27" t="s">
        <v>59</v>
      </c>
      <c r="G172" s="27" t="s">
        <v>104</v>
      </c>
      <c r="H172" s="30" t="s">
        <v>60</v>
      </c>
      <c r="I172" s="31" t="s">
        <v>649</v>
      </c>
      <c r="J172" s="30" t="s">
        <v>60</v>
      </c>
      <c r="K172" s="27">
        <v>1</v>
      </c>
      <c r="L172" s="27" t="s">
        <v>205</v>
      </c>
      <c r="M172" s="27"/>
      <c r="N172" s="31" t="s">
        <v>595</v>
      </c>
      <c r="O172" s="27"/>
      <c r="P172" s="30"/>
      <c r="Q172" s="30" t="s">
        <v>66</v>
      </c>
      <c r="R172" s="26">
        <v>46213</v>
      </c>
      <c r="S172" s="26">
        <v>46216</v>
      </c>
      <c r="T172" s="31"/>
      <c r="U172" s="30" t="s">
        <v>68</v>
      </c>
      <c r="V172" s="34" t="s">
        <v>70</v>
      </c>
      <c r="W172" s="27" t="s">
        <v>208</v>
      </c>
      <c r="X172" s="30">
        <v>1</v>
      </c>
      <c r="Y172" s="30">
        <v>1</v>
      </c>
      <c r="Z172" s="30">
        <v>1</v>
      </c>
      <c r="AA172" s="30">
        <v>1</v>
      </c>
      <c r="AB172" s="30"/>
      <c r="AC172" s="30"/>
      <c r="AD172" s="30"/>
      <c r="AE172" s="30"/>
      <c r="AF172" s="30"/>
      <c r="AG172" s="30"/>
      <c r="AH172" s="30"/>
      <c r="AI172" s="30" t="s">
        <v>69</v>
      </c>
      <c r="AJ172" s="30"/>
      <c r="AK172" s="30" t="s">
        <v>449</v>
      </c>
      <c r="AL172" s="30"/>
      <c r="AM172" s="30"/>
      <c r="AN172" s="30"/>
      <c r="AO172" s="30"/>
      <c r="AP172" s="30"/>
      <c r="AQ172" s="30"/>
      <c r="AR172" s="36"/>
      <c r="AS172" s="36"/>
      <c r="AT172" s="36"/>
      <c r="AU172" s="36"/>
      <c r="AV172" s="36"/>
      <c r="AW172" s="36"/>
      <c r="AX172" s="36"/>
      <c r="AY172" s="36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27"/>
      <c r="BL172" s="27"/>
    </row>
    <row r="173" spans="1:64">
      <c r="A173" s="25" t="s">
        <v>54</v>
      </c>
      <c r="B173" s="26">
        <v>46211</v>
      </c>
      <c r="C173" s="27">
        <v>29761</v>
      </c>
      <c r="D173" s="27"/>
      <c r="E173" s="27" t="s">
        <v>212</v>
      </c>
      <c r="F173" s="27" t="s">
        <v>59</v>
      </c>
      <c r="G173" s="27" t="s">
        <v>104</v>
      </c>
      <c r="H173" s="30" t="s">
        <v>60</v>
      </c>
      <c r="I173" s="31" t="s">
        <v>751</v>
      </c>
      <c r="J173" s="30" t="s">
        <v>60</v>
      </c>
      <c r="K173" s="27">
        <v>1</v>
      </c>
      <c r="L173" s="27" t="s">
        <v>205</v>
      </c>
      <c r="M173" s="27"/>
      <c r="N173" s="31" t="s">
        <v>595</v>
      </c>
      <c r="O173" s="27"/>
      <c r="P173" s="30"/>
      <c r="Q173" s="30" t="s">
        <v>66</v>
      </c>
      <c r="R173" s="26">
        <v>46213</v>
      </c>
      <c r="S173" s="26">
        <v>46216</v>
      </c>
      <c r="T173" s="31"/>
      <c r="U173" s="30" t="s">
        <v>68</v>
      </c>
      <c r="V173" s="34" t="s">
        <v>70</v>
      </c>
      <c r="W173" s="27" t="s">
        <v>208</v>
      </c>
      <c r="X173" s="30">
        <v>1</v>
      </c>
      <c r="Y173" s="30">
        <v>1</v>
      </c>
      <c r="Z173" s="30">
        <v>1</v>
      </c>
      <c r="AA173" s="30">
        <v>1</v>
      </c>
      <c r="AB173" s="30"/>
      <c r="AC173" s="30"/>
      <c r="AD173" s="30"/>
      <c r="AE173" s="30"/>
      <c r="AF173" s="30"/>
      <c r="AG173" s="30"/>
      <c r="AH173" s="30"/>
      <c r="AI173" s="30" t="s">
        <v>69</v>
      </c>
      <c r="AJ173" s="30"/>
      <c r="AK173" s="30" t="s">
        <v>157</v>
      </c>
      <c r="AL173" s="30"/>
      <c r="AM173" s="30"/>
      <c r="AN173" s="30"/>
      <c r="AO173" s="30"/>
      <c r="AP173" s="30"/>
      <c r="AQ173" s="30"/>
      <c r="AR173" s="36"/>
      <c r="AS173" s="36"/>
      <c r="AT173" s="36"/>
      <c r="AU173" s="36"/>
      <c r="AV173" s="36"/>
      <c r="AW173" s="36"/>
      <c r="AX173" s="36"/>
      <c r="AY173" s="36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27"/>
      <c r="BL173" s="27"/>
    </row>
    <row r="174" spans="1:64">
      <c r="A174" s="25" t="s">
        <v>54</v>
      </c>
      <c r="B174" s="26">
        <v>46211</v>
      </c>
      <c r="C174" s="27">
        <v>29760</v>
      </c>
      <c r="D174" s="27"/>
      <c r="E174" s="27" t="s">
        <v>212</v>
      </c>
      <c r="F174" s="27" t="s">
        <v>59</v>
      </c>
      <c r="G174" s="27" t="s">
        <v>104</v>
      </c>
      <c r="H174" s="30" t="s">
        <v>60</v>
      </c>
      <c r="I174" s="31" t="s">
        <v>752</v>
      </c>
      <c r="J174" s="30" t="s">
        <v>60</v>
      </c>
      <c r="K174" s="27">
        <v>1</v>
      </c>
      <c r="L174" s="27" t="s">
        <v>205</v>
      </c>
      <c r="M174" s="27"/>
      <c r="N174" s="31" t="s">
        <v>595</v>
      </c>
      <c r="O174" s="27"/>
      <c r="P174" s="30"/>
      <c r="Q174" s="30" t="s">
        <v>66</v>
      </c>
      <c r="R174" s="26">
        <v>46213</v>
      </c>
      <c r="S174" s="26">
        <v>46216</v>
      </c>
      <c r="T174" s="31"/>
      <c r="U174" s="30" t="s">
        <v>68</v>
      </c>
      <c r="V174" s="34" t="s">
        <v>70</v>
      </c>
      <c r="W174" s="27" t="s">
        <v>208</v>
      </c>
      <c r="X174" s="30">
        <v>1</v>
      </c>
      <c r="Y174" s="30">
        <v>1</v>
      </c>
      <c r="Z174" s="30">
        <v>1</v>
      </c>
      <c r="AA174" s="30">
        <v>1</v>
      </c>
      <c r="AB174" s="30"/>
      <c r="AC174" s="30"/>
      <c r="AD174" s="30"/>
      <c r="AE174" s="30"/>
      <c r="AF174" s="30"/>
      <c r="AG174" s="30"/>
      <c r="AH174" s="30"/>
      <c r="AI174" s="30" t="s">
        <v>69</v>
      </c>
      <c r="AJ174" s="30"/>
      <c r="AK174" s="30" t="s">
        <v>157</v>
      </c>
      <c r="AL174" s="30"/>
      <c r="AM174" s="30"/>
      <c r="AN174" s="30"/>
      <c r="AO174" s="30"/>
      <c r="AP174" s="30"/>
      <c r="AQ174" s="30"/>
      <c r="AR174" s="36"/>
      <c r="AS174" s="36"/>
      <c r="AT174" s="36"/>
      <c r="AU174" s="36"/>
      <c r="AV174" s="36"/>
      <c r="AW174" s="36"/>
      <c r="AX174" s="36"/>
      <c r="AY174" s="36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27"/>
      <c r="BL174" s="27"/>
    </row>
    <row r="175" spans="1:64">
      <c r="A175" s="25" t="s">
        <v>54</v>
      </c>
      <c r="B175" s="26">
        <v>46211</v>
      </c>
      <c r="C175" s="27">
        <v>29758</v>
      </c>
      <c r="D175" s="27"/>
      <c r="E175" s="27" t="s">
        <v>212</v>
      </c>
      <c r="F175" s="27" t="s">
        <v>59</v>
      </c>
      <c r="G175" s="27" t="s">
        <v>104</v>
      </c>
      <c r="H175" s="30" t="s">
        <v>60</v>
      </c>
      <c r="I175" s="31" t="s">
        <v>753</v>
      </c>
      <c r="J175" s="30" t="s">
        <v>60</v>
      </c>
      <c r="K175" s="27">
        <v>1</v>
      </c>
      <c r="L175" s="27" t="s">
        <v>205</v>
      </c>
      <c r="M175" s="27"/>
      <c r="N175" s="31" t="s">
        <v>595</v>
      </c>
      <c r="O175" s="27"/>
      <c r="P175" s="30"/>
      <c r="Q175" s="30" t="s">
        <v>66</v>
      </c>
      <c r="R175" s="26">
        <v>46213</v>
      </c>
      <c r="S175" s="26">
        <v>46216</v>
      </c>
      <c r="T175" s="31"/>
      <c r="U175" s="30" t="s">
        <v>68</v>
      </c>
      <c r="V175" s="34" t="s">
        <v>70</v>
      </c>
      <c r="W175" s="27" t="s">
        <v>208</v>
      </c>
      <c r="X175" s="30">
        <v>1</v>
      </c>
      <c r="Y175" s="30">
        <v>1</v>
      </c>
      <c r="Z175" s="30">
        <v>1</v>
      </c>
      <c r="AA175" s="30">
        <v>1</v>
      </c>
      <c r="AB175" s="30"/>
      <c r="AC175" s="30"/>
      <c r="AD175" s="30"/>
      <c r="AE175" s="30"/>
      <c r="AF175" s="30"/>
      <c r="AG175" s="30"/>
      <c r="AH175" s="30"/>
      <c r="AI175" s="30" t="s">
        <v>69</v>
      </c>
      <c r="AJ175" s="30"/>
      <c r="AK175" s="30" t="s">
        <v>157</v>
      </c>
      <c r="AL175" s="30"/>
      <c r="AM175" s="30"/>
      <c r="AN175" s="30"/>
      <c r="AO175" s="30"/>
      <c r="AP175" s="30"/>
      <c r="AQ175" s="30"/>
      <c r="AR175" s="36"/>
      <c r="AS175" s="36"/>
      <c r="AT175" s="36"/>
      <c r="AU175" s="36"/>
      <c r="AV175" s="36"/>
      <c r="AW175" s="36"/>
      <c r="AX175" s="36"/>
      <c r="AY175" s="36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27"/>
      <c r="BL175" s="27"/>
    </row>
    <row r="176" spans="1:64">
      <c r="A176" s="25" t="s">
        <v>54</v>
      </c>
      <c r="B176" s="26">
        <v>46211</v>
      </c>
      <c r="C176" s="27">
        <v>29742</v>
      </c>
      <c r="D176" s="27"/>
      <c r="E176" s="27" t="s">
        <v>233</v>
      </c>
      <c r="F176" s="27" t="s">
        <v>59</v>
      </c>
      <c r="G176" s="27" t="s">
        <v>104</v>
      </c>
      <c r="H176" s="30" t="s">
        <v>60</v>
      </c>
      <c r="I176" s="31" t="s">
        <v>754</v>
      </c>
      <c r="J176" s="30" t="s">
        <v>60</v>
      </c>
      <c r="K176" s="27">
        <v>1</v>
      </c>
      <c r="L176" s="27" t="s">
        <v>205</v>
      </c>
      <c r="M176" s="27"/>
      <c r="N176" s="31" t="s">
        <v>595</v>
      </c>
      <c r="O176" s="27"/>
      <c r="P176" s="30"/>
      <c r="Q176" s="30" t="s">
        <v>66</v>
      </c>
      <c r="R176" s="26">
        <v>46213</v>
      </c>
      <c r="S176" s="26">
        <v>46216</v>
      </c>
      <c r="T176" s="31"/>
      <c r="U176" s="30" t="s">
        <v>68</v>
      </c>
      <c r="V176" s="34" t="s">
        <v>70</v>
      </c>
      <c r="W176" s="27" t="s">
        <v>208</v>
      </c>
      <c r="X176" s="30">
        <v>1</v>
      </c>
      <c r="Y176" s="30">
        <v>1</v>
      </c>
      <c r="Z176" s="30">
        <v>1</v>
      </c>
      <c r="AA176" s="30">
        <v>1</v>
      </c>
      <c r="AB176" s="30"/>
      <c r="AC176" s="30"/>
      <c r="AD176" s="30"/>
      <c r="AE176" s="30"/>
      <c r="AF176" s="30"/>
      <c r="AG176" s="30"/>
      <c r="AH176" s="30"/>
      <c r="AI176" s="30" t="s">
        <v>69</v>
      </c>
      <c r="AJ176" s="30"/>
      <c r="AK176" s="30" t="s">
        <v>157</v>
      </c>
      <c r="AL176" s="30"/>
      <c r="AM176" s="30"/>
      <c r="AN176" s="30"/>
      <c r="AO176" s="30"/>
      <c r="AP176" s="30"/>
      <c r="AQ176" s="30"/>
      <c r="AR176" s="36"/>
      <c r="AS176" s="36"/>
      <c r="AT176" s="36"/>
      <c r="AU176" s="36"/>
      <c r="AV176" s="36"/>
      <c r="AW176" s="36"/>
      <c r="AX176" s="36"/>
      <c r="AY176" s="36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27"/>
      <c r="BL176" s="27"/>
    </row>
    <row r="177" spans="1:64">
      <c r="A177" s="25" t="s">
        <v>54</v>
      </c>
      <c r="B177" s="26">
        <v>46211</v>
      </c>
      <c r="C177" s="27">
        <v>29762</v>
      </c>
      <c r="D177" s="27"/>
      <c r="E177" s="27" t="s">
        <v>212</v>
      </c>
      <c r="F177" s="27" t="s">
        <v>59</v>
      </c>
      <c r="G177" s="27" t="s">
        <v>104</v>
      </c>
      <c r="H177" s="30" t="s">
        <v>60</v>
      </c>
      <c r="I177" s="31" t="s">
        <v>646</v>
      </c>
      <c r="J177" s="30" t="s">
        <v>60</v>
      </c>
      <c r="K177" s="27">
        <v>1</v>
      </c>
      <c r="L177" s="27" t="s">
        <v>205</v>
      </c>
      <c r="M177" s="27"/>
      <c r="N177" s="31" t="s">
        <v>595</v>
      </c>
      <c r="O177" s="27"/>
      <c r="P177" s="30"/>
      <c r="Q177" s="30" t="s">
        <v>66</v>
      </c>
      <c r="R177" s="26">
        <v>46213</v>
      </c>
      <c r="S177" s="26">
        <v>46216</v>
      </c>
      <c r="T177" s="31"/>
      <c r="U177" s="30" t="s">
        <v>68</v>
      </c>
      <c r="V177" s="34" t="s">
        <v>70</v>
      </c>
      <c r="W177" s="27" t="s">
        <v>208</v>
      </c>
      <c r="X177" s="30">
        <v>1</v>
      </c>
      <c r="Y177" s="30">
        <v>1</v>
      </c>
      <c r="Z177" s="30">
        <v>1</v>
      </c>
      <c r="AA177" s="30">
        <v>1</v>
      </c>
      <c r="AB177" s="30"/>
      <c r="AC177" s="30"/>
      <c r="AD177" s="30"/>
      <c r="AE177" s="30"/>
      <c r="AF177" s="30"/>
      <c r="AG177" s="30"/>
      <c r="AH177" s="30"/>
      <c r="AI177" s="30" t="s">
        <v>69</v>
      </c>
      <c r="AJ177" s="30"/>
      <c r="AK177" s="30" t="s">
        <v>157</v>
      </c>
      <c r="AL177" s="30"/>
      <c r="AM177" s="30"/>
      <c r="AN177" s="30"/>
      <c r="AO177" s="30"/>
      <c r="AP177" s="30"/>
      <c r="AQ177" s="30"/>
      <c r="AR177" s="36"/>
      <c r="AS177" s="36"/>
      <c r="AT177" s="36"/>
      <c r="AU177" s="36"/>
      <c r="AV177" s="36"/>
      <c r="AW177" s="36"/>
      <c r="AX177" s="36"/>
      <c r="AY177" s="36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27"/>
      <c r="BL177" s="27"/>
    </row>
    <row r="178" spans="1:64">
      <c r="A178" s="25" t="s">
        <v>54</v>
      </c>
      <c r="B178" s="26">
        <v>46211</v>
      </c>
      <c r="C178" s="27">
        <v>29755</v>
      </c>
      <c r="D178" s="27"/>
      <c r="E178" s="27" t="s">
        <v>212</v>
      </c>
      <c r="F178" s="27" t="s">
        <v>59</v>
      </c>
      <c r="G178" s="27" t="s">
        <v>104</v>
      </c>
      <c r="H178" s="30" t="s">
        <v>755</v>
      </c>
      <c r="I178" s="31" t="s">
        <v>756</v>
      </c>
      <c r="J178" s="30" t="s">
        <v>656</v>
      </c>
      <c r="K178" s="27">
        <v>1</v>
      </c>
      <c r="L178" s="27" t="s">
        <v>205</v>
      </c>
      <c r="M178" s="27"/>
      <c r="N178" s="31" t="s">
        <v>94</v>
      </c>
      <c r="O178" s="27"/>
      <c r="P178" s="30"/>
      <c r="Q178" s="30" t="s">
        <v>541</v>
      </c>
      <c r="R178" s="26">
        <v>46213</v>
      </c>
      <c r="S178" s="26">
        <v>46213</v>
      </c>
      <c r="T178" s="31"/>
      <c r="U178" s="30" t="s">
        <v>68</v>
      </c>
      <c r="V178" s="34" t="s">
        <v>70</v>
      </c>
      <c r="W178" s="27" t="s">
        <v>208</v>
      </c>
      <c r="X178" s="30">
        <v>1</v>
      </c>
      <c r="Y178" s="30">
        <v>1</v>
      </c>
      <c r="Z178" s="30">
        <v>1</v>
      </c>
      <c r="AA178" s="30">
        <v>1</v>
      </c>
      <c r="AB178" s="30"/>
      <c r="AC178" s="30"/>
      <c r="AD178" s="30"/>
      <c r="AE178" s="30"/>
      <c r="AF178" s="30"/>
      <c r="AG178" s="30"/>
      <c r="AH178" s="30"/>
      <c r="AI178" s="30" t="s">
        <v>69</v>
      </c>
      <c r="AJ178" s="30" t="s">
        <v>94</v>
      </c>
      <c r="AK178" s="30" t="s">
        <v>41</v>
      </c>
      <c r="AL178" s="30"/>
      <c r="AM178" s="30"/>
      <c r="AN178" s="30"/>
      <c r="AO178" s="30"/>
      <c r="AP178" s="30"/>
      <c r="AQ178" s="30"/>
      <c r="AR178" s="36"/>
      <c r="AS178" s="36"/>
      <c r="AT178" s="36"/>
      <c r="AU178" s="36"/>
      <c r="AV178" s="36"/>
      <c r="AW178" s="36"/>
      <c r="AX178" s="36"/>
      <c r="AY178" s="36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27"/>
      <c r="BL178" s="27"/>
    </row>
    <row r="179" spans="1:64">
      <c r="A179" s="25" t="s">
        <v>54</v>
      </c>
      <c r="B179" s="26">
        <v>46211</v>
      </c>
      <c r="C179" s="27">
        <v>29759</v>
      </c>
      <c r="D179" s="27"/>
      <c r="E179" s="27" t="s">
        <v>212</v>
      </c>
      <c r="F179" s="27" t="s">
        <v>59</v>
      </c>
      <c r="G179" s="27" t="s">
        <v>104</v>
      </c>
      <c r="H179" s="30" t="s">
        <v>755</v>
      </c>
      <c r="I179" s="31" t="s">
        <v>758</v>
      </c>
      <c r="J179" s="30" t="s">
        <v>656</v>
      </c>
      <c r="K179" s="27">
        <v>1</v>
      </c>
      <c r="L179" s="27" t="s">
        <v>205</v>
      </c>
      <c r="M179" s="27"/>
      <c r="N179" s="31" t="s">
        <v>94</v>
      </c>
      <c r="O179" s="27"/>
      <c r="P179" s="30"/>
      <c r="Q179" s="30" t="s">
        <v>663</v>
      </c>
      <c r="R179" s="26">
        <v>46213</v>
      </c>
      <c r="S179" s="26">
        <v>46213</v>
      </c>
      <c r="T179" s="31"/>
      <c r="U179" s="30" t="s">
        <v>68</v>
      </c>
      <c r="V179" s="34" t="s">
        <v>70</v>
      </c>
      <c r="W179" s="27" t="s">
        <v>208</v>
      </c>
      <c r="X179" s="30">
        <v>1</v>
      </c>
      <c r="Y179" s="30">
        <v>1</v>
      </c>
      <c r="Z179" s="30">
        <v>1</v>
      </c>
      <c r="AA179" s="30">
        <v>1</v>
      </c>
      <c r="AB179" s="30"/>
      <c r="AC179" s="30"/>
      <c r="AD179" s="30"/>
      <c r="AE179" s="30"/>
      <c r="AF179" s="30"/>
      <c r="AG179" s="30"/>
      <c r="AH179" s="30"/>
      <c r="AI179" s="30" t="s">
        <v>69</v>
      </c>
      <c r="AJ179" s="30" t="s">
        <v>94</v>
      </c>
      <c r="AK179" s="30" t="s">
        <v>41</v>
      </c>
      <c r="AL179" s="30"/>
      <c r="AM179" s="30"/>
      <c r="AN179" s="30"/>
      <c r="AO179" s="30"/>
      <c r="AP179" s="30"/>
      <c r="AQ179" s="30"/>
      <c r="AR179" s="36"/>
      <c r="AS179" s="36"/>
      <c r="AT179" s="36"/>
      <c r="AU179" s="36"/>
      <c r="AV179" s="36"/>
      <c r="AW179" s="36"/>
      <c r="AX179" s="36"/>
      <c r="AY179" s="36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27"/>
      <c r="BL179" s="27"/>
    </row>
    <row r="180" spans="1:64">
      <c r="A180" s="25" t="s">
        <v>54</v>
      </c>
      <c r="B180" s="26">
        <v>46211</v>
      </c>
      <c r="C180" s="27">
        <v>29765</v>
      </c>
      <c r="D180" s="27"/>
      <c r="E180" s="27" t="s">
        <v>212</v>
      </c>
      <c r="F180" s="27" t="s">
        <v>59</v>
      </c>
      <c r="G180" s="27" t="s">
        <v>104</v>
      </c>
      <c r="H180" s="30" t="s">
        <v>755</v>
      </c>
      <c r="I180" s="31" t="s">
        <v>759</v>
      </c>
      <c r="J180" s="30" t="s">
        <v>760</v>
      </c>
      <c r="K180" s="27">
        <v>1</v>
      </c>
      <c r="L180" s="27" t="s">
        <v>205</v>
      </c>
      <c r="M180" s="27"/>
      <c r="N180" s="31" t="s">
        <v>94</v>
      </c>
      <c r="O180" s="27"/>
      <c r="P180" s="30"/>
      <c r="Q180" s="30" t="s">
        <v>761</v>
      </c>
      <c r="R180" s="26">
        <v>46213</v>
      </c>
      <c r="S180" s="26">
        <v>46213</v>
      </c>
      <c r="T180" s="31"/>
      <c r="U180" s="30" t="s">
        <v>68</v>
      </c>
      <c r="V180" s="34" t="s">
        <v>70</v>
      </c>
      <c r="W180" s="27" t="s">
        <v>208</v>
      </c>
      <c r="X180" s="30">
        <v>1</v>
      </c>
      <c r="Y180" s="30">
        <v>1</v>
      </c>
      <c r="Z180" s="30">
        <v>1</v>
      </c>
      <c r="AA180" s="30">
        <v>1</v>
      </c>
      <c r="AB180" s="30"/>
      <c r="AC180" s="30"/>
      <c r="AD180" s="30"/>
      <c r="AE180" s="30"/>
      <c r="AF180" s="30"/>
      <c r="AG180" s="30"/>
      <c r="AH180" s="30"/>
      <c r="AI180" s="30" t="s">
        <v>69</v>
      </c>
      <c r="AJ180" s="30" t="s">
        <v>94</v>
      </c>
      <c r="AK180" s="30" t="s">
        <v>41</v>
      </c>
      <c r="AL180" s="30"/>
      <c r="AM180" s="30"/>
      <c r="AN180" s="30"/>
      <c r="AO180" s="30"/>
      <c r="AP180" s="30"/>
      <c r="AQ180" s="30"/>
      <c r="AR180" s="36"/>
      <c r="AS180" s="36"/>
      <c r="AT180" s="36"/>
      <c r="AU180" s="36"/>
      <c r="AV180" s="36"/>
      <c r="AW180" s="36"/>
      <c r="AX180" s="36"/>
      <c r="AY180" s="36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27"/>
      <c r="BL180" s="27"/>
    </row>
    <row r="181" spans="1:64">
      <c r="A181" s="25" t="s">
        <v>54</v>
      </c>
      <c r="B181" s="26">
        <v>46211</v>
      </c>
      <c r="C181" s="27">
        <v>29764</v>
      </c>
      <c r="D181" s="27"/>
      <c r="E181" s="27" t="s">
        <v>212</v>
      </c>
      <c r="F181" s="27" t="s">
        <v>59</v>
      </c>
      <c r="G181" s="27" t="s">
        <v>104</v>
      </c>
      <c r="H181" s="30" t="s">
        <v>755</v>
      </c>
      <c r="I181" s="31" t="s">
        <v>763</v>
      </c>
      <c r="J181" s="30" t="s">
        <v>760</v>
      </c>
      <c r="K181" s="27">
        <v>1</v>
      </c>
      <c r="L181" s="27" t="s">
        <v>205</v>
      </c>
      <c r="M181" s="27"/>
      <c r="N181" s="31" t="s">
        <v>94</v>
      </c>
      <c r="O181" s="27"/>
      <c r="P181" s="30"/>
      <c r="Q181" s="30" t="s">
        <v>764</v>
      </c>
      <c r="R181" s="26">
        <v>46213</v>
      </c>
      <c r="S181" s="26">
        <v>46213</v>
      </c>
      <c r="T181" s="31"/>
      <c r="U181" s="30" t="s">
        <v>68</v>
      </c>
      <c r="V181" s="34" t="s">
        <v>70</v>
      </c>
      <c r="W181" s="27" t="s">
        <v>208</v>
      </c>
      <c r="X181" s="30">
        <v>1</v>
      </c>
      <c r="Y181" s="30">
        <v>1</v>
      </c>
      <c r="Z181" s="30">
        <v>1</v>
      </c>
      <c r="AA181" s="30">
        <v>1</v>
      </c>
      <c r="AB181" s="30"/>
      <c r="AC181" s="30"/>
      <c r="AD181" s="30"/>
      <c r="AE181" s="30"/>
      <c r="AF181" s="30"/>
      <c r="AG181" s="30"/>
      <c r="AH181" s="30"/>
      <c r="AI181" s="30" t="s">
        <v>69</v>
      </c>
      <c r="AJ181" s="30" t="s">
        <v>94</v>
      </c>
      <c r="AK181" s="30" t="s">
        <v>41</v>
      </c>
      <c r="AL181" s="30"/>
      <c r="AM181" s="30"/>
      <c r="AN181" s="30"/>
      <c r="AO181" s="30"/>
      <c r="AP181" s="30"/>
      <c r="AQ181" s="30"/>
      <c r="AR181" s="36"/>
      <c r="AS181" s="36"/>
      <c r="AT181" s="36"/>
      <c r="AU181" s="36"/>
      <c r="AV181" s="36"/>
      <c r="AW181" s="36"/>
      <c r="AX181" s="36"/>
      <c r="AY181" s="36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27"/>
      <c r="BL181" s="27"/>
    </row>
    <row r="182" spans="1:64">
      <c r="A182" s="25" t="s">
        <v>54</v>
      </c>
      <c r="B182" s="26">
        <v>46211</v>
      </c>
      <c r="C182" s="27">
        <v>29745</v>
      </c>
      <c r="D182" s="27"/>
      <c r="E182" s="27" t="s">
        <v>203</v>
      </c>
      <c r="F182" s="27" t="s">
        <v>59</v>
      </c>
      <c r="G182" s="27" t="s">
        <v>104</v>
      </c>
      <c r="H182" s="30" t="s">
        <v>175</v>
      </c>
      <c r="I182" s="31" t="s">
        <v>765</v>
      </c>
      <c r="J182" s="30" t="s">
        <v>175</v>
      </c>
      <c r="K182" s="27">
        <v>1</v>
      </c>
      <c r="L182" s="27" t="s">
        <v>214</v>
      </c>
      <c r="M182" s="27"/>
      <c r="N182" s="31" t="s">
        <v>595</v>
      </c>
      <c r="O182" s="27"/>
      <c r="P182" s="30"/>
      <c r="Q182" s="30" t="s">
        <v>66</v>
      </c>
      <c r="R182" s="26">
        <v>46212</v>
      </c>
      <c r="S182" s="26">
        <v>46213</v>
      </c>
      <c r="T182" s="31"/>
      <c r="U182" s="30" t="s">
        <v>68</v>
      </c>
      <c r="V182" s="34" t="s">
        <v>70</v>
      </c>
      <c r="W182" s="27" t="s">
        <v>208</v>
      </c>
      <c r="X182" s="30">
        <v>1</v>
      </c>
      <c r="Y182" s="30">
        <v>1</v>
      </c>
      <c r="Z182" s="30">
        <v>1</v>
      </c>
      <c r="AA182" s="30">
        <v>1</v>
      </c>
      <c r="AB182" s="30"/>
      <c r="AC182" s="30"/>
      <c r="AD182" s="30"/>
      <c r="AE182" s="30"/>
      <c r="AF182" s="30"/>
      <c r="AG182" s="30"/>
      <c r="AH182" s="30"/>
      <c r="AI182" s="30" t="s">
        <v>69</v>
      </c>
      <c r="AJ182" s="30" t="s">
        <v>157</v>
      </c>
      <c r="AK182" s="30"/>
      <c r="AL182" s="30"/>
      <c r="AM182" s="30"/>
      <c r="AN182" s="30"/>
      <c r="AO182" s="30"/>
      <c r="AP182" s="30"/>
      <c r="AQ182" s="30"/>
      <c r="AR182" s="36"/>
      <c r="AS182" s="36"/>
      <c r="AT182" s="36"/>
      <c r="AU182" s="36"/>
      <c r="AV182" s="36"/>
      <c r="AW182" s="36"/>
      <c r="AX182" s="36"/>
      <c r="AY182" s="36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27"/>
      <c r="BL182" s="27"/>
    </row>
    <row r="183" spans="1:64">
      <c r="A183" s="25" t="s">
        <v>54</v>
      </c>
      <c r="B183" s="26">
        <v>46211</v>
      </c>
      <c r="C183" s="27">
        <v>29752</v>
      </c>
      <c r="D183" s="27"/>
      <c r="E183" s="27" t="s">
        <v>212</v>
      </c>
      <c r="F183" s="27" t="s">
        <v>59</v>
      </c>
      <c r="G183" s="27" t="s">
        <v>104</v>
      </c>
      <c r="H183" s="30" t="s">
        <v>538</v>
      </c>
      <c r="I183" s="31" t="s">
        <v>766</v>
      </c>
      <c r="J183" s="30" t="s">
        <v>538</v>
      </c>
      <c r="K183" s="27">
        <v>1</v>
      </c>
      <c r="L183" s="27" t="s">
        <v>205</v>
      </c>
      <c r="M183" s="27"/>
      <c r="N183" s="31" t="s">
        <v>81</v>
      </c>
      <c r="O183" s="27"/>
      <c r="P183" s="30"/>
      <c r="Q183" s="30" t="s">
        <v>645</v>
      </c>
      <c r="R183" s="26">
        <v>46212</v>
      </c>
      <c r="S183" s="26">
        <v>46213</v>
      </c>
      <c r="T183" s="31"/>
      <c r="U183" s="30" t="s">
        <v>68</v>
      </c>
      <c r="V183" s="34" t="s">
        <v>70</v>
      </c>
      <c r="W183" s="27" t="s">
        <v>208</v>
      </c>
      <c r="X183" s="30">
        <v>1</v>
      </c>
      <c r="Y183" s="30">
        <v>1</v>
      </c>
      <c r="Z183" s="30">
        <v>1</v>
      </c>
      <c r="AA183" s="30">
        <v>1</v>
      </c>
      <c r="AB183" s="30"/>
      <c r="AC183" s="30"/>
      <c r="AD183" s="30"/>
      <c r="AE183" s="30"/>
      <c r="AF183" s="30"/>
      <c r="AG183" s="30"/>
      <c r="AH183" s="30"/>
      <c r="AI183" s="30" t="s">
        <v>69</v>
      </c>
      <c r="AJ183" s="30" t="s">
        <v>88</v>
      </c>
      <c r="AK183" s="30"/>
      <c r="AL183" s="30"/>
      <c r="AM183" s="30"/>
      <c r="AN183" s="30"/>
      <c r="AO183" s="30"/>
      <c r="AP183" s="30"/>
      <c r="AQ183" s="30"/>
      <c r="AR183" s="36"/>
      <c r="AS183" s="36"/>
      <c r="AT183" s="36"/>
      <c r="AU183" s="36"/>
      <c r="AV183" s="36"/>
      <c r="AW183" s="36"/>
      <c r="AX183" s="36"/>
      <c r="AY183" s="36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27"/>
      <c r="BL183" s="27"/>
    </row>
    <row r="184" spans="1:64">
      <c r="A184" s="25" t="s">
        <v>54</v>
      </c>
      <c r="B184" s="26">
        <v>46211</v>
      </c>
      <c r="C184" s="27">
        <v>29750</v>
      </c>
      <c r="D184" s="27"/>
      <c r="E184" s="27" t="s">
        <v>212</v>
      </c>
      <c r="F184" s="27" t="s">
        <v>59</v>
      </c>
      <c r="G184" s="27" t="s">
        <v>104</v>
      </c>
      <c r="H184" s="30" t="s">
        <v>280</v>
      </c>
      <c r="I184" s="31" t="s">
        <v>768</v>
      </c>
      <c r="J184" s="30" t="s">
        <v>151</v>
      </c>
      <c r="K184" s="27">
        <v>1</v>
      </c>
      <c r="L184" s="27" t="s">
        <v>205</v>
      </c>
      <c r="M184" s="27"/>
      <c r="N184" s="31" t="s">
        <v>455</v>
      </c>
      <c r="O184" s="27"/>
      <c r="P184" s="30"/>
      <c r="Q184" s="30" t="s">
        <v>637</v>
      </c>
      <c r="R184" s="26">
        <v>46212</v>
      </c>
      <c r="S184" s="26">
        <v>46213</v>
      </c>
      <c r="T184" s="31"/>
      <c r="U184" s="30" t="s">
        <v>68</v>
      </c>
      <c r="V184" s="34" t="s">
        <v>70</v>
      </c>
      <c r="W184" s="27" t="s">
        <v>208</v>
      </c>
      <c r="X184" s="30">
        <v>1</v>
      </c>
      <c r="Y184" s="30">
        <v>1</v>
      </c>
      <c r="Z184" s="30">
        <v>1</v>
      </c>
      <c r="AA184" s="30">
        <v>1</v>
      </c>
      <c r="AB184" s="30"/>
      <c r="AC184" s="30"/>
      <c r="AD184" s="30"/>
      <c r="AE184" s="30"/>
      <c r="AF184" s="30"/>
      <c r="AG184" s="30"/>
      <c r="AH184" s="30"/>
      <c r="AI184" s="30" t="s">
        <v>69</v>
      </c>
      <c r="AJ184" s="30" t="s">
        <v>583</v>
      </c>
      <c r="AK184" s="30"/>
      <c r="AL184" s="30"/>
      <c r="AM184" s="30"/>
      <c r="AN184" s="30"/>
      <c r="AO184" s="30"/>
      <c r="AP184" s="30"/>
      <c r="AQ184" s="30"/>
      <c r="AR184" s="36"/>
      <c r="AS184" s="36"/>
      <c r="AT184" s="36"/>
      <c r="AU184" s="36"/>
      <c r="AV184" s="36"/>
      <c r="AW184" s="36"/>
      <c r="AX184" s="36"/>
      <c r="AY184" s="36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27"/>
      <c r="BL184" s="27"/>
    </row>
    <row r="185" spans="1:64">
      <c r="A185" s="25" t="s">
        <v>54</v>
      </c>
      <c r="B185" s="26">
        <v>46211</v>
      </c>
      <c r="C185" s="27">
        <v>29746</v>
      </c>
      <c r="D185" s="27"/>
      <c r="E185" s="27" t="s">
        <v>203</v>
      </c>
      <c r="F185" s="27" t="s">
        <v>59</v>
      </c>
      <c r="G185" s="27" t="s">
        <v>104</v>
      </c>
      <c r="H185" s="30" t="s">
        <v>151</v>
      </c>
      <c r="I185" s="31" t="s">
        <v>638</v>
      </c>
      <c r="J185" s="30" t="s">
        <v>151</v>
      </c>
      <c r="K185" s="27">
        <v>1</v>
      </c>
      <c r="L185" s="27" t="s">
        <v>205</v>
      </c>
      <c r="M185" s="27"/>
      <c r="N185" s="31" t="s">
        <v>455</v>
      </c>
      <c r="O185" s="27"/>
      <c r="P185" s="30"/>
      <c r="Q185" s="30" t="s">
        <v>66</v>
      </c>
      <c r="R185" s="26">
        <v>46212</v>
      </c>
      <c r="S185" s="26">
        <v>46213</v>
      </c>
      <c r="T185" s="31"/>
      <c r="U185" s="30" t="s">
        <v>68</v>
      </c>
      <c r="V185" s="34" t="s">
        <v>70</v>
      </c>
      <c r="W185" s="27" t="s">
        <v>208</v>
      </c>
      <c r="X185" s="30">
        <v>1</v>
      </c>
      <c r="Y185" s="30">
        <v>1</v>
      </c>
      <c r="Z185" s="30">
        <v>1</v>
      </c>
      <c r="AA185" s="30">
        <v>1</v>
      </c>
      <c r="AB185" s="30"/>
      <c r="AC185" s="30"/>
      <c r="AD185" s="30"/>
      <c r="AE185" s="30"/>
      <c r="AF185" s="30"/>
      <c r="AG185" s="30"/>
      <c r="AH185" s="30"/>
      <c r="AI185" s="30" t="s">
        <v>69</v>
      </c>
      <c r="AJ185" s="30" t="s">
        <v>583</v>
      </c>
      <c r="AK185" s="30"/>
      <c r="AL185" s="30"/>
      <c r="AM185" s="30"/>
      <c r="AN185" s="30"/>
      <c r="AO185" s="30"/>
      <c r="AP185" s="30"/>
      <c r="AQ185" s="30"/>
      <c r="AR185" s="36"/>
      <c r="AS185" s="36"/>
      <c r="AT185" s="36"/>
      <c r="AU185" s="36"/>
      <c r="AV185" s="36"/>
      <c r="AW185" s="36"/>
      <c r="AX185" s="36"/>
      <c r="AY185" s="36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27"/>
      <c r="BL185" s="27"/>
    </row>
    <row r="186" spans="1:64">
      <c r="A186" s="25" t="s">
        <v>54</v>
      </c>
      <c r="B186" s="26">
        <v>46211</v>
      </c>
      <c r="C186" s="27">
        <v>29751</v>
      </c>
      <c r="D186" s="27"/>
      <c r="E186" s="27" t="s">
        <v>203</v>
      </c>
      <c r="F186" s="27" t="s">
        <v>59</v>
      </c>
      <c r="G186" s="27" t="s">
        <v>104</v>
      </c>
      <c r="H186" s="30" t="s">
        <v>170</v>
      </c>
      <c r="I186" s="31" t="s">
        <v>769</v>
      </c>
      <c r="J186" s="30" t="s">
        <v>170</v>
      </c>
      <c r="K186" s="27">
        <v>1</v>
      </c>
      <c r="L186" s="27" t="s">
        <v>205</v>
      </c>
      <c r="M186" s="27"/>
      <c r="N186" s="31" t="s">
        <v>602</v>
      </c>
      <c r="O186" s="27"/>
      <c r="P186" s="30"/>
      <c r="Q186" s="30" t="s">
        <v>66</v>
      </c>
      <c r="R186" s="26">
        <v>46212</v>
      </c>
      <c r="S186" s="26">
        <v>46216</v>
      </c>
      <c r="T186" s="31"/>
      <c r="U186" s="30" t="s">
        <v>68</v>
      </c>
      <c r="V186" s="34" t="s">
        <v>70</v>
      </c>
      <c r="W186" s="27" t="s">
        <v>208</v>
      </c>
      <c r="X186" s="30">
        <v>1</v>
      </c>
      <c r="Y186" s="30">
        <v>1</v>
      </c>
      <c r="Z186" s="30">
        <v>1</v>
      </c>
      <c r="AA186" s="30">
        <v>1</v>
      </c>
      <c r="AB186" s="30"/>
      <c r="AC186" s="30"/>
      <c r="AD186" s="30"/>
      <c r="AE186" s="30"/>
      <c r="AF186" s="30"/>
      <c r="AG186" s="30"/>
      <c r="AH186" s="30"/>
      <c r="AI186" s="30" t="s">
        <v>69</v>
      </c>
      <c r="AJ186" s="30" t="s">
        <v>509</v>
      </c>
      <c r="AK186" s="30"/>
      <c r="AL186" s="30"/>
      <c r="AM186" s="30"/>
      <c r="AN186" s="30"/>
      <c r="AO186" s="30"/>
      <c r="AP186" s="30"/>
      <c r="AQ186" s="30"/>
      <c r="AR186" s="36"/>
      <c r="AS186" s="36"/>
      <c r="AT186" s="36"/>
      <c r="AU186" s="36"/>
      <c r="AV186" s="36"/>
      <c r="AW186" s="36"/>
      <c r="AX186" s="36"/>
      <c r="AY186" s="36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27"/>
      <c r="BL186" s="27"/>
    </row>
    <row r="187" spans="1:64">
      <c r="A187" s="25" t="s">
        <v>54</v>
      </c>
      <c r="B187" s="26">
        <v>46211</v>
      </c>
      <c r="C187" s="27">
        <v>29747</v>
      </c>
      <c r="D187" s="27"/>
      <c r="E187" s="27" t="s">
        <v>203</v>
      </c>
      <c r="F187" s="27" t="s">
        <v>59</v>
      </c>
      <c r="G187" s="27" t="s">
        <v>104</v>
      </c>
      <c r="H187" s="30" t="s">
        <v>170</v>
      </c>
      <c r="I187" s="31" t="s">
        <v>770</v>
      </c>
      <c r="J187" s="30" t="s">
        <v>170</v>
      </c>
      <c r="K187" s="27">
        <v>1</v>
      </c>
      <c r="L187" s="27" t="s">
        <v>205</v>
      </c>
      <c r="M187" s="27"/>
      <c r="N187" s="31" t="s">
        <v>602</v>
      </c>
      <c r="O187" s="27"/>
      <c r="P187" s="30"/>
      <c r="Q187" s="30" t="s">
        <v>66</v>
      </c>
      <c r="R187" s="26">
        <v>46212</v>
      </c>
      <c r="S187" s="26">
        <v>46216</v>
      </c>
      <c r="T187" s="31"/>
      <c r="U187" s="30" t="s">
        <v>68</v>
      </c>
      <c r="V187" s="34" t="s">
        <v>70</v>
      </c>
      <c r="W187" s="27" t="s">
        <v>208</v>
      </c>
      <c r="X187" s="30">
        <v>1</v>
      </c>
      <c r="Y187" s="30">
        <v>1</v>
      </c>
      <c r="Z187" s="30">
        <v>1</v>
      </c>
      <c r="AA187" s="30">
        <v>1</v>
      </c>
      <c r="AB187" s="30"/>
      <c r="AC187" s="30"/>
      <c r="AD187" s="30"/>
      <c r="AE187" s="30"/>
      <c r="AF187" s="30"/>
      <c r="AG187" s="30"/>
      <c r="AH187" s="30"/>
      <c r="AI187" s="30" t="s">
        <v>69</v>
      </c>
      <c r="AJ187" s="30" t="s">
        <v>509</v>
      </c>
      <c r="AK187" s="30"/>
      <c r="AL187" s="30"/>
      <c r="AM187" s="30"/>
      <c r="AN187" s="30"/>
      <c r="AO187" s="30"/>
      <c r="AP187" s="30"/>
      <c r="AQ187" s="30"/>
      <c r="AR187" s="36"/>
      <c r="AS187" s="36"/>
      <c r="AT187" s="36"/>
      <c r="AU187" s="36"/>
      <c r="AV187" s="36"/>
      <c r="AW187" s="36"/>
      <c r="AX187" s="36"/>
      <c r="AY187" s="36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27"/>
      <c r="BL187" s="27"/>
    </row>
    <row r="188" spans="1:64">
      <c r="A188" s="25" t="s">
        <v>54</v>
      </c>
      <c r="B188" s="26">
        <v>46211</v>
      </c>
      <c r="C188" s="27">
        <v>29753</v>
      </c>
      <c r="D188" s="27"/>
      <c r="E188" s="27" t="s">
        <v>212</v>
      </c>
      <c r="F188" s="27" t="s">
        <v>59</v>
      </c>
      <c r="G188" s="27" t="s">
        <v>104</v>
      </c>
      <c r="H188" s="30" t="s">
        <v>409</v>
      </c>
      <c r="I188" s="31" t="s">
        <v>771</v>
      </c>
      <c r="J188" s="30" t="s">
        <v>106</v>
      </c>
      <c r="K188" s="27">
        <v>1</v>
      </c>
      <c r="L188" s="27" t="s">
        <v>205</v>
      </c>
      <c r="M188" s="27"/>
      <c r="N188" s="31" t="s">
        <v>81</v>
      </c>
      <c r="O188" s="27"/>
      <c r="P188" s="30"/>
      <c r="Q188" s="30" t="s">
        <v>772</v>
      </c>
      <c r="R188" s="26">
        <v>46214</v>
      </c>
      <c r="S188" s="26">
        <v>46216</v>
      </c>
      <c r="T188" s="31"/>
      <c r="U188" s="30" t="s">
        <v>68</v>
      </c>
      <c r="V188" s="34" t="s">
        <v>70</v>
      </c>
      <c r="W188" s="27" t="s">
        <v>208</v>
      </c>
      <c r="X188" s="30">
        <v>1</v>
      </c>
      <c r="Y188" s="30">
        <v>1</v>
      </c>
      <c r="Z188" s="30">
        <v>1</v>
      </c>
      <c r="AA188" s="30">
        <v>1</v>
      </c>
      <c r="AB188" s="30"/>
      <c r="AC188" s="30"/>
      <c r="AD188" s="30"/>
      <c r="AE188" s="30"/>
      <c r="AF188" s="30"/>
      <c r="AG188" s="30"/>
      <c r="AH188" s="30"/>
      <c r="AI188" s="30" t="s">
        <v>69</v>
      </c>
      <c r="AJ188" s="30"/>
      <c r="AK188" s="30" t="s">
        <v>81</v>
      </c>
      <c r="AL188" s="30" t="s">
        <v>90</v>
      </c>
      <c r="AM188" s="30"/>
      <c r="AN188" s="30"/>
      <c r="AO188" s="30"/>
      <c r="AP188" s="30"/>
      <c r="AQ188" s="30"/>
      <c r="AR188" s="36"/>
      <c r="AS188" s="36"/>
      <c r="AT188" s="36"/>
      <c r="AU188" s="36"/>
      <c r="AV188" s="36"/>
      <c r="AW188" s="36"/>
      <c r="AX188" s="36"/>
      <c r="AY188" s="36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27"/>
      <c r="BL188" s="27"/>
    </row>
    <row r="189" spans="1:64">
      <c r="A189" s="25" t="s">
        <v>54</v>
      </c>
      <c r="B189" s="26">
        <v>46211</v>
      </c>
      <c r="C189" s="27">
        <v>29754</v>
      </c>
      <c r="D189" s="27"/>
      <c r="E189" s="27" t="s">
        <v>233</v>
      </c>
      <c r="F189" s="27" t="s">
        <v>59</v>
      </c>
      <c r="G189" s="27" t="s">
        <v>104</v>
      </c>
      <c r="H189" s="30" t="s">
        <v>409</v>
      </c>
      <c r="I189" s="31" t="s">
        <v>463</v>
      </c>
      <c r="J189" s="30" t="s">
        <v>106</v>
      </c>
      <c r="K189" s="27">
        <v>1</v>
      </c>
      <c r="L189" s="27" t="s">
        <v>205</v>
      </c>
      <c r="M189" s="27"/>
      <c r="N189" s="31" t="s">
        <v>81</v>
      </c>
      <c r="O189" s="27"/>
      <c r="P189" s="30"/>
      <c r="Q189" s="30" t="s">
        <v>773</v>
      </c>
      <c r="R189" s="26">
        <v>46214</v>
      </c>
      <c r="S189" s="26">
        <v>46216</v>
      </c>
      <c r="T189" s="31"/>
      <c r="U189" s="30" t="s">
        <v>68</v>
      </c>
      <c r="V189" s="34" t="s">
        <v>70</v>
      </c>
      <c r="W189" s="27" t="s">
        <v>208</v>
      </c>
      <c r="X189" s="30">
        <v>1</v>
      </c>
      <c r="Y189" s="30">
        <v>1</v>
      </c>
      <c r="Z189" s="30">
        <v>1</v>
      </c>
      <c r="AA189" s="30">
        <v>1</v>
      </c>
      <c r="AB189" s="30"/>
      <c r="AC189" s="30"/>
      <c r="AD189" s="30"/>
      <c r="AE189" s="30"/>
      <c r="AF189" s="30"/>
      <c r="AG189" s="30"/>
      <c r="AH189" s="30"/>
      <c r="AI189" s="30" t="s">
        <v>69</v>
      </c>
      <c r="AJ189" s="30"/>
      <c r="AK189" s="30" t="s">
        <v>81</v>
      </c>
      <c r="AL189" s="30" t="s">
        <v>90</v>
      </c>
      <c r="AM189" s="30"/>
      <c r="AN189" s="30"/>
      <c r="AO189" s="30"/>
      <c r="AP189" s="30"/>
      <c r="AQ189" s="30"/>
      <c r="AR189" s="36"/>
      <c r="AS189" s="36"/>
      <c r="AT189" s="36"/>
      <c r="AU189" s="36"/>
      <c r="AV189" s="36"/>
      <c r="AW189" s="36"/>
      <c r="AX189" s="36"/>
      <c r="AY189" s="36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27"/>
      <c r="BL189" s="27"/>
    </row>
    <row r="190" spans="1:64">
      <c r="A190" s="25" t="s">
        <v>54</v>
      </c>
      <c r="B190" s="26">
        <v>46211</v>
      </c>
      <c r="C190" s="27">
        <v>29749</v>
      </c>
      <c r="D190" s="27"/>
      <c r="E190" s="27" t="s">
        <v>203</v>
      </c>
      <c r="F190" s="27" t="s">
        <v>59</v>
      </c>
      <c r="G190" s="27" t="s">
        <v>104</v>
      </c>
      <c r="H190" s="30" t="s">
        <v>144</v>
      </c>
      <c r="I190" s="31" t="s">
        <v>775</v>
      </c>
      <c r="J190" s="30" t="s">
        <v>144</v>
      </c>
      <c r="K190" s="27">
        <v>1</v>
      </c>
      <c r="L190" s="27" t="s">
        <v>205</v>
      </c>
      <c r="M190" s="27"/>
      <c r="N190" s="31" t="s">
        <v>81</v>
      </c>
      <c r="O190" s="27"/>
      <c r="P190" s="30"/>
      <c r="Q190" s="30" t="s">
        <v>66</v>
      </c>
      <c r="R190" s="26">
        <v>46213</v>
      </c>
      <c r="S190" s="26">
        <v>46216</v>
      </c>
      <c r="T190" s="31"/>
      <c r="U190" s="30" t="s">
        <v>68</v>
      </c>
      <c r="V190" s="34" t="s">
        <v>70</v>
      </c>
      <c r="W190" s="27" t="s">
        <v>208</v>
      </c>
      <c r="X190" s="30">
        <v>1</v>
      </c>
      <c r="Y190" s="30">
        <v>1</v>
      </c>
      <c r="Z190" s="30">
        <v>1</v>
      </c>
      <c r="AA190" s="30">
        <v>1</v>
      </c>
      <c r="AB190" s="30"/>
      <c r="AC190" s="30"/>
      <c r="AD190" s="30"/>
      <c r="AE190" s="30"/>
      <c r="AF190" s="30"/>
      <c r="AG190" s="30"/>
      <c r="AH190" s="30"/>
      <c r="AI190" s="30" t="s">
        <v>69</v>
      </c>
      <c r="AJ190" s="30"/>
      <c r="AK190" s="30" t="s">
        <v>88</v>
      </c>
      <c r="AL190" s="30"/>
      <c r="AM190" s="30"/>
      <c r="AN190" s="30"/>
      <c r="AO190" s="30"/>
      <c r="AP190" s="30"/>
      <c r="AQ190" s="30"/>
      <c r="AR190" s="36"/>
      <c r="AS190" s="36"/>
      <c r="AT190" s="36"/>
      <c r="AU190" s="36"/>
      <c r="AV190" s="36"/>
      <c r="AW190" s="36"/>
      <c r="AX190" s="36"/>
      <c r="AY190" s="36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27"/>
      <c r="BL190" s="27"/>
    </row>
    <row r="191" spans="1:64">
      <c r="A191" s="25" t="s">
        <v>54</v>
      </c>
      <c r="B191" s="26">
        <v>46211</v>
      </c>
      <c r="C191" s="27">
        <v>29743</v>
      </c>
      <c r="D191" s="27"/>
      <c r="E191" s="27" t="s">
        <v>233</v>
      </c>
      <c r="F191" s="27" t="s">
        <v>59</v>
      </c>
      <c r="G191" s="27" t="s">
        <v>104</v>
      </c>
      <c r="H191" s="30" t="s">
        <v>28</v>
      </c>
      <c r="I191" s="31" t="s">
        <v>459</v>
      </c>
      <c r="J191" s="30" t="s">
        <v>28</v>
      </c>
      <c r="K191" s="27">
        <v>1</v>
      </c>
      <c r="L191" s="27" t="s">
        <v>205</v>
      </c>
      <c r="M191" s="27"/>
      <c r="N191" s="31" t="s">
        <v>258</v>
      </c>
      <c r="O191" s="27"/>
      <c r="P191" s="30"/>
      <c r="Q191" s="30" t="s">
        <v>778</v>
      </c>
      <c r="R191" s="26">
        <v>46212</v>
      </c>
      <c r="S191" s="26">
        <v>46212</v>
      </c>
      <c r="T191" s="31"/>
      <c r="U191" s="30" t="s">
        <v>68</v>
      </c>
      <c r="V191" s="34" t="s">
        <v>70</v>
      </c>
      <c r="W191" s="27" t="s">
        <v>208</v>
      </c>
      <c r="X191" s="30">
        <v>1</v>
      </c>
      <c r="Y191" s="30">
        <v>1</v>
      </c>
      <c r="Z191" s="30">
        <v>1</v>
      </c>
      <c r="AA191" s="30">
        <v>1</v>
      </c>
      <c r="AB191" s="30"/>
      <c r="AC191" s="30"/>
      <c r="AD191" s="30"/>
      <c r="AE191" s="30"/>
      <c r="AF191" s="30"/>
      <c r="AG191" s="30"/>
      <c r="AH191" s="30"/>
      <c r="AI191" s="30" t="s">
        <v>69</v>
      </c>
      <c r="AJ191" s="30" t="s">
        <v>260</v>
      </c>
      <c r="AK191" s="30"/>
      <c r="AL191" s="30"/>
      <c r="AM191" s="30"/>
      <c r="AN191" s="30"/>
      <c r="AO191" s="30"/>
      <c r="AP191" s="30"/>
      <c r="AQ191" s="30"/>
      <c r="AR191" s="36"/>
      <c r="AS191" s="36"/>
      <c r="AT191" s="36"/>
      <c r="AU191" s="36"/>
      <c r="AV191" s="36"/>
      <c r="AW191" s="36"/>
      <c r="AX191" s="36"/>
      <c r="AY191" s="36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27"/>
      <c r="BL191" s="27"/>
    </row>
    <row r="192" spans="1:64">
      <c r="A192" s="25" t="s">
        <v>54</v>
      </c>
      <c r="B192" s="26">
        <v>46211</v>
      </c>
      <c r="C192" s="27">
        <v>29744</v>
      </c>
      <c r="D192" s="27"/>
      <c r="E192" s="27" t="s">
        <v>233</v>
      </c>
      <c r="F192" s="27" t="s">
        <v>59</v>
      </c>
      <c r="G192" s="27" t="s">
        <v>104</v>
      </c>
      <c r="H192" s="30" t="s">
        <v>28</v>
      </c>
      <c r="I192" s="31" t="s">
        <v>653</v>
      </c>
      <c r="J192" s="30" t="s">
        <v>28</v>
      </c>
      <c r="K192" s="27">
        <v>1</v>
      </c>
      <c r="L192" s="27" t="s">
        <v>205</v>
      </c>
      <c r="M192" s="27"/>
      <c r="N192" s="31" t="s">
        <v>258</v>
      </c>
      <c r="O192" s="27"/>
      <c r="P192" s="30"/>
      <c r="Q192" s="30" t="s">
        <v>66</v>
      </c>
      <c r="R192" s="26">
        <v>46212</v>
      </c>
      <c r="S192" s="26">
        <v>46212</v>
      </c>
      <c r="T192" s="31"/>
      <c r="U192" s="30" t="s">
        <v>68</v>
      </c>
      <c r="V192" s="34" t="s">
        <v>70</v>
      </c>
      <c r="W192" s="27" t="s">
        <v>208</v>
      </c>
      <c r="X192" s="30">
        <v>1</v>
      </c>
      <c r="Y192" s="30">
        <v>1</v>
      </c>
      <c r="Z192" s="30">
        <v>1</v>
      </c>
      <c r="AA192" s="30">
        <v>1</v>
      </c>
      <c r="AB192" s="30"/>
      <c r="AC192" s="30"/>
      <c r="AD192" s="30"/>
      <c r="AE192" s="30"/>
      <c r="AF192" s="30"/>
      <c r="AG192" s="30"/>
      <c r="AH192" s="30"/>
      <c r="AI192" s="30" t="s">
        <v>69</v>
      </c>
      <c r="AJ192" s="30" t="s">
        <v>260</v>
      </c>
      <c r="AK192" s="30"/>
      <c r="AL192" s="30"/>
      <c r="AM192" s="30"/>
      <c r="AN192" s="30"/>
      <c r="AO192" s="30"/>
      <c r="AP192" s="30"/>
      <c r="AQ192" s="30"/>
      <c r="AR192" s="36"/>
      <c r="AS192" s="36"/>
      <c r="AT192" s="36"/>
      <c r="AU192" s="36"/>
      <c r="AV192" s="36"/>
      <c r="AW192" s="36"/>
      <c r="AX192" s="36"/>
      <c r="AY192" s="36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27"/>
      <c r="BL192" s="27"/>
    </row>
    <row r="193" spans="1:64">
      <c r="A193" s="25" t="s">
        <v>187</v>
      </c>
      <c r="B193" s="26">
        <v>46211</v>
      </c>
      <c r="C193" s="27"/>
      <c r="D193" s="27">
        <v>35813</v>
      </c>
      <c r="E193" s="27" t="s">
        <v>780</v>
      </c>
      <c r="F193" s="27" t="s">
        <v>48</v>
      </c>
      <c r="G193" s="27" t="s">
        <v>110</v>
      </c>
      <c r="H193" s="30" t="s">
        <v>130</v>
      </c>
      <c r="I193" s="31" t="s">
        <v>781</v>
      </c>
      <c r="J193" s="30" t="s">
        <v>782</v>
      </c>
      <c r="K193" s="27">
        <v>6</v>
      </c>
      <c r="L193" s="27">
        <v>20</v>
      </c>
      <c r="M193" s="27"/>
      <c r="N193" s="31" t="s">
        <v>455</v>
      </c>
      <c r="O193" s="27"/>
      <c r="P193" s="30"/>
      <c r="Q193" s="30" t="s">
        <v>783</v>
      </c>
      <c r="R193" s="26">
        <v>46216</v>
      </c>
      <c r="S193" s="26">
        <v>46218</v>
      </c>
      <c r="T193" s="31"/>
      <c r="U193" s="30" t="s">
        <v>68</v>
      </c>
      <c r="V193" s="34" t="s">
        <v>70</v>
      </c>
      <c r="W193" s="27" t="s">
        <v>747</v>
      </c>
      <c r="X193" s="30">
        <v>1</v>
      </c>
      <c r="Y193" s="30">
        <v>1</v>
      </c>
      <c r="Z193" s="30">
        <v>1</v>
      </c>
      <c r="AA193" s="30">
        <v>1</v>
      </c>
      <c r="AB193" s="30"/>
      <c r="AC193" s="30"/>
      <c r="AD193" s="30"/>
      <c r="AE193" s="30"/>
      <c r="AF193" s="30"/>
      <c r="AG193" s="30"/>
      <c r="AH193" s="30"/>
      <c r="AI193" s="30" t="s">
        <v>784</v>
      </c>
      <c r="AJ193" s="30"/>
      <c r="AK193" s="30" t="s">
        <v>455</v>
      </c>
      <c r="AL193" s="30" t="s">
        <v>90</v>
      </c>
      <c r="AM193" s="30"/>
      <c r="AN193" s="30"/>
      <c r="AO193" s="30"/>
      <c r="AP193" s="30"/>
      <c r="AQ193" s="30"/>
      <c r="AR193" s="36"/>
      <c r="AS193" s="36"/>
      <c r="AT193" s="36"/>
      <c r="AU193" s="36"/>
      <c r="AV193" s="36"/>
      <c r="AW193" s="36"/>
      <c r="AX193" s="36"/>
      <c r="AY193" s="36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27"/>
      <c r="BL193" s="27"/>
    </row>
    <row r="194" spans="1:64">
      <c r="A194" s="25" t="s">
        <v>187</v>
      </c>
      <c r="B194" s="26">
        <v>46211</v>
      </c>
      <c r="C194" s="27"/>
      <c r="D194" s="27">
        <v>54435</v>
      </c>
      <c r="E194" s="27" t="s">
        <v>780</v>
      </c>
      <c r="F194" s="27" t="s">
        <v>48</v>
      </c>
      <c r="G194" s="27" t="s">
        <v>110</v>
      </c>
      <c r="H194" s="30" t="s">
        <v>785</v>
      </c>
      <c r="I194" s="31" t="s">
        <v>786</v>
      </c>
      <c r="J194" s="30" t="s">
        <v>787</v>
      </c>
      <c r="K194" s="27">
        <v>13</v>
      </c>
      <c r="L194" s="27">
        <v>322</v>
      </c>
      <c r="M194" s="27">
        <v>293.82</v>
      </c>
      <c r="N194" s="31"/>
      <c r="O194" s="27" t="s">
        <v>410</v>
      </c>
      <c r="P194" s="30"/>
      <c r="Q194" s="30" t="s">
        <v>788</v>
      </c>
      <c r="R194" s="26">
        <v>46216</v>
      </c>
      <c r="S194" s="26">
        <v>46234</v>
      </c>
      <c r="T194" s="31"/>
      <c r="U194" s="30" t="s">
        <v>68</v>
      </c>
      <c r="V194" s="34" t="s">
        <v>70</v>
      </c>
      <c r="W194" s="27" t="s">
        <v>747</v>
      </c>
      <c r="X194" s="30">
        <v>1</v>
      </c>
      <c r="Y194" s="30">
        <v>1</v>
      </c>
      <c r="Z194" s="30">
        <v>1</v>
      </c>
      <c r="AA194" s="30">
        <v>2</v>
      </c>
      <c r="AB194" s="30"/>
      <c r="AC194" s="30"/>
      <c r="AD194" s="30"/>
      <c r="AE194" s="30"/>
      <c r="AF194" s="30"/>
      <c r="AG194" s="30"/>
      <c r="AH194" s="30"/>
      <c r="AI194" s="30" t="s">
        <v>784</v>
      </c>
      <c r="AJ194" s="30"/>
      <c r="AK194" s="30" t="s">
        <v>455</v>
      </c>
      <c r="AL194" s="30" t="s">
        <v>410</v>
      </c>
      <c r="AM194" s="30"/>
      <c r="AN194" s="30" t="s">
        <v>90</v>
      </c>
      <c r="AO194" s="30"/>
      <c r="AP194" s="30"/>
      <c r="AQ194" s="30"/>
      <c r="AR194" s="36"/>
      <c r="AS194" s="36"/>
      <c r="AT194" s="36"/>
      <c r="AU194" s="36"/>
      <c r="AV194" s="36"/>
      <c r="AW194" s="36"/>
      <c r="AX194" s="36"/>
      <c r="AY194" s="36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27"/>
      <c r="BL194" s="27"/>
    </row>
    <row r="195" spans="1:64">
      <c r="A195" s="25" t="s">
        <v>187</v>
      </c>
      <c r="B195" s="26">
        <v>46211</v>
      </c>
      <c r="C195" s="27">
        <v>28526</v>
      </c>
      <c r="D195" s="27"/>
      <c r="E195" s="27" t="s">
        <v>551</v>
      </c>
      <c r="F195" s="27" t="s">
        <v>552</v>
      </c>
      <c r="G195" s="27" t="s">
        <v>461</v>
      </c>
      <c r="H195" s="30" t="s">
        <v>486</v>
      </c>
      <c r="I195" s="31" t="s">
        <v>789</v>
      </c>
      <c r="J195" s="30" t="s">
        <v>790</v>
      </c>
      <c r="K195" s="27" t="s">
        <v>791</v>
      </c>
      <c r="L195" s="27">
        <v>487</v>
      </c>
      <c r="M195" s="27"/>
      <c r="N195" s="31"/>
      <c r="O195" s="27" t="s">
        <v>272</v>
      </c>
      <c r="P195" s="30"/>
      <c r="Q195" s="30" t="s">
        <v>792</v>
      </c>
      <c r="R195" s="26">
        <v>46217</v>
      </c>
      <c r="S195" s="62">
        <v>46238</v>
      </c>
      <c r="T195" s="31" t="s">
        <v>793</v>
      </c>
      <c r="U195" s="30" t="s">
        <v>68</v>
      </c>
      <c r="V195" s="34" t="s">
        <v>70</v>
      </c>
      <c r="W195" s="27" t="s">
        <v>497</v>
      </c>
      <c r="X195" s="30">
        <v>1</v>
      </c>
      <c r="Y195" s="30">
        <v>1</v>
      </c>
      <c r="Z195" s="30">
        <v>1</v>
      </c>
      <c r="AA195" s="30">
        <v>2</v>
      </c>
      <c r="AB195" s="30"/>
      <c r="AC195" s="30"/>
      <c r="AD195" s="30"/>
      <c r="AE195" s="30"/>
      <c r="AF195" s="30"/>
      <c r="AG195" s="30"/>
      <c r="AH195" s="30"/>
      <c r="AI195" s="30"/>
      <c r="AJ195" s="30" t="s">
        <v>794</v>
      </c>
      <c r="AK195" s="30" t="s">
        <v>795</v>
      </c>
      <c r="AL195" s="30"/>
      <c r="AM195" s="30"/>
      <c r="AN195" s="30"/>
      <c r="AO195" s="30" t="s">
        <v>90</v>
      </c>
      <c r="AP195" s="30"/>
      <c r="AQ195" s="30"/>
      <c r="AR195" s="36"/>
      <c r="AS195" s="36"/>
      <c r="AT195" s="36"/>
      <c r="AU195" s="36"/>
      <c r="AV195" s="36"/>
      <c r="AW195" s="36"/>
      <c r="AX195" s="36"/>
      <c r="AY195" s="36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27"/>
      <c r="BL195" s="27"/>
    </row>
    <row r="196" spans="1:64">
      <c r="A196" s="25" t="s">
        <v>54</v>
      </c>
      <c r="B196" s="26">
        <v>46212</v>
      </c>
      <c r="C196" s="27">
        <v>5336</v>
      </c>
      <c r="D196" s="27"/>
      <c r="E196" s="27" t="s">
        <v>796</v>
      </c>
      <c r="F196" s="27" t="s">
        <v>185</v>
      </c>
      <c r="G196" s="27" t="s">
        <v>28</v>
      </c>
      <c r="H196" s="30" t="s">
        <v>151</v>
      </c>
      <c r="I196" s="31" t="s">
        <v>797</v>
      </c>
      <c r="J196" s="30" t="s">
        <v>798</v>
      </c>
      <c r="K196" s="27">
        <v>2</v>
      </c>
      <c r="L196" s="27"/>
      <c r="M196" s="27"/>
      <c r="N196" s="31" t="s">
        <v>455</v>
      </c>
      <c r="O196" s="27"/>
      <c r="P196" s="30"/>
      <c r="Q196" s="30" t="s">
        <v>66</v>
      </c>
      <c r="R196" s="26">
        <v>46219</v>
      </c>
      <c r="S196" s="26">
        <v>46219</v>
      </c>
      <c r="T196" s="31" t="s">
        <v>799</v>
      </c>
      <c r="U196" s="30" t="s">
        <v>68</v>
      </c>
      <c r="V196" s="34" t="s">
        <v>70</v>
      </c>
      <c r="W196" s="27" t="s">
        <v>341</v>
      </c>
      <c r="X196" s="30">
        <v>2</v>
      </c>
      <c r="Y196" s="30">
        <v>1</v>
      </c>
      <c r="Z196" s="30">
        <v>1</v>
      </c>
      <c r="AA196" s="30">
        <v>1</v>
      </c>
      <c r="AB196" s="30"/>
      <c r="AC196" s="30"/>
      <c r="AD196" s="30"/>
      <c r="AE196" s="30"/>
      <c r="AF196" s="30"/>
      <c r="AG196" s="30"/>
      <c r="AH196" s="30"/>
      <c r="AI196" s="30"/>
      <c r="AJ196" s="30" t="s">
        <v>69</v>
      </c>
      <c r="AK196" s="30" t="s">
        <v>95</v>
      </c>
      <c r="AL196" s="30"/>
      <c r="AM196" s="30"/>
      <c r="AN196" s="30"/>
      <c r="AO196" s="30"/>
      <c r="AP196" s="30"/>
      <c r="AQ196" s="30"/>
      <c r="AR196" s="36"/>
      <c r="AS196" s="36"/>
      <c r="AT196" s="36"/>
      <c r="AU196" s="36"/>
      <c r="AV196" s="36"/>
      <c r="AW196" s="36"/>
      <c r="AX196" s="36"/>
      <c r="AY196" s="36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27"/>
      <c r="BL196" s="27"/>
    </row>
    <row r="197" spans="1:64">
      <c r="A197" s="25" t="s">
        <v>54</v>
      </c>
      <c r="B197" s="26">
        <v>46212</v>
      </c>
      <c r="C197" s="27"/>
      <c r="D197" s="27">
        <v>50013300</v>
      </c>
      <c r="E197" s="27" t="s">
        <v>333</v>
      </c>
      <c r="F197" s="27" t="s">
        <v>471</v>
      </c>
      <c r="G197" s="27" t="s">
        <v>28</v>
      </c>
      <c r="H197" s="30" t="s">
        <v>57</v>
      </c>
      <c r="I197" s="31" t="s">
        <v>800</v>
      </c>
      <c r="J197" s="30" t="s">
        <v>801</v>
      </c>
      <c r="K197" s="27">
        <v>2</v>
      </c>
      <c r="L197" s="27">
        <v>14</v>
      </c>
      <c r="M197" s="27"/>
      <c r="N197" s="31" t="s">
        <v>95</v>
      </c>
      <c r="O197" s="27"/>
      <c r="P197" s="30"/>
      <c r="Q197" s="30" t="s">
        <v>66</v>
      </c>
      <c r="R197" s="26">
        <v>46214</v>
      </c>
      <c r="S197" s="26">
        <v>46217</v>
      </c>
      <c r="T197" s="31"/>
      <c r="U197" s="30" t="s">
        <v>68</v>
      </c>
      <c r="V197" s="34" t="s">
        <v>70</v>
      </c>
      <c r="W197" s="27" t="s">
        <v>336</v>
      </c>
      <c r="X197" s="30">
        <v>1</v>
      </c>
      <c r="Y197" s="30">
        <v>1</v>
      </c>
      <c r="Z197" s="30">
        <v>1</v>
      </c>
      <c r="AA197" s="30">
        <v>1</v>
      </c>
      <c r="AB197" s="30"/>
      <c r="AC197" s="30"/>
      <c r="AD197" s="30"/>
      <c r="AE197" s="30"/>
      <c r="AF197" s="30"/>
      <c r="AG197" s="30"/>
      <c r="AH197" s="30"/>
      <c r="AI197" s="30"/>
      <c r="AJ197" s="30" t="s">
        <v>69</v>
      </c>
      <c r="AK197" s="30" t="s">
        <v>95</v>
      </c>
      <c r="AL197" s="30" t="s">
        <v>41</v>
      </c>
      <c r="AM197" s="30"/>
      <c r="AN197" s="30"/>
      <c r="AO197" s="30"/>
      <c r="AP197" s="30"/>
      <c r="AQ197" s="30"/>
      <c r="AR197" s="36"/>
      <c r="AS197" s="36"/>
      <c r="AT197" s="36"/>
      <c r="AU197" s="36"/>
      <c r="AV197" s="36"/>
      <c r="AW197" s="36"/>
      <c r="AX197" s="36"/>
      <c r="AY197" s="36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27"/>
      <c r="BL197" s="27"/>
    </row>
    <row r="198" spans="1:64">
      <c r="A198" s="25" t="s">
        <v>54</v>
      </c>
      <c r="B198" s="26">
        <v>46212</v>
      </c>
      <c r="C198" s="27"/>
      <c r="D198" s="27">
        <v>50013334</v>
      </c>
      <c r="E198" s="27" t="s">
        <v>333</v>
      </c>
      <c r="F198" s="27" t="s">
        <v>471</v>
      </c>
      <c r="G198" s="27" t="s">
        <v>28</v>
      </c>
      <c r="H198" s="30" t="s">
        <v>57</v>
      </c>
      <c r="I198" s="31" t="s">
        <v>800</v>
      </c>
      <c r="J198" s="30" t="s">
        <v>801</v>
      </c>
      <c r="K198" s="27">
        <v>1</v>
      </c>
      <c r="L198" s="27">
        <v>3</v>
      </c>
      <c r="M198" s="27"/>
      <c r="N198" s="31" t="s">
        <v>95</v>
      </c>
      <c r="O198" s="27"/>
      <c r="P198" s="30"/>
      <c r="Q198" s="30" t="s">
        <v>66</v>
      </c>
      <c r="R198" s="26">
        <v>46214</v>
      </c>
      <c r="S198" s="26">
        <v>46217</v>
      </c>
      <c r="T198" s="31"/>
      <c r="U198" s="30" t="s">
        <v>68</v>
      </c>
      <c r="V198" s="34" t="s">
        <v>70</v>
      </c>
      <c r="W198" s="27" t="s">
        <v>336</v>
      </c>
      <c r="X198" s="30">
        <v>1</v>
      </c>
      <c r="Y198" s="30">
        <v>1</v>
      </c>
      <c r="Z198" s="30">
        <v>1</v>
      </c>
      <c r="AA198" s="30">
        <v>1</v>
      </c>
      <c r="AB198" s="30"/>
      <c r="AC198" s="30"/>
      <c r="AD198" s="30"/>
      <c r="AE198" s="30"/>
      <c r="AF198" s="30"/>
      <c r="AG198" s="30"/>
      <c r="AH198" s="30"/>
      <c r="AI198" s="30"/>
      <c r="AJ198" s="30" t="s">
        <v>69</v>
      </c>
      <c r="AK198" s="30" t="s">
        <v>95</v>
      </c>
      <c r="AL198" s="30" t="s">
        <v>41</v>
      </c>
      <c r="AM198" s="30"/>
      <c r="AN198" s="30"/>
      <c r="AO198" s="30"/>
      <c r="AP198" s="30"/>
      <c r="AQ198" s="30"/>
      <c r="AR198" s="36"/>
      <c r="AS198" s="36"/>
      <c r="AT198" s="36"/>
      <c r="AU198" s="36"/>
      <c r="AV198" s="36"/>
      <c r="AW198" s="36"/>
      <c r="AX198" s="36"/>
      <c r="AY198" s="36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27"/>
      <c r="BL198" s="27"/>
    </row>
    <row r="199" spans="1:64">
      <c r="A199" s="25" t="s">
        <v>54</v>
      </c>
      <c r="B199" s="26">
        <v>46212</v>
      </c>
      <c r="C199" s="27"/>
      <c r="D199" s="27">
        <v>503870378</v>
      </c>
      <c r="E199" s="27" t="s">
        <v>333</v>
      </c>
      <c r="F199" s="27" t="s">
        <v>471</v>
      </c>
      <c r="G199" s="27" t="s">
        <v>28</v>
      </c>
      <c r="H199" s="30" t="s">
        <v>120</v>
      </c>
      <c r="I199" s="31" t="s">
        <v>802</v>
      </c>
      <c r="J199" s="30" t="s">
        <v>803</v>
      </c>
      <c r="K199" s="27">
        <v>1</v>
      </c>
      <c r="L199" s="27">
        <v>4</v>
      </c>
      <c r="M199" s="27"/>
      <c r="N199" s="31" t="s">
        <v>95</v>
      </c>
      <c r="O199" s="27"/>
      <c r="P199" s="30"/>
      <c r="Q199" s="30" t="s">
        <v>66</v>
      </c>
      <c r="R199" s="26">
        <v>46215</v>
      </c>
      <c r="S199" s="26">
        <v>46217</v>
      </c>
      <c r="T199" s="31"/>
      <c r="U199" s="30" t="s">
        <v>68</v>
      </c>
      <c r="V199" s="34" t="s">
        <v>70</v>
      </c>
      <c r="W199" s="27" t="s">
        <v>336</v>
      </c>
      <c r="X199" s="30">
        <v>1</v>
      </c>
      <c r="Y199" s="30">
        <v>1</v>
      </c>
      <c r="Z199" s="30">
        <v>1</v>
      </c>
      <c r="AA199" s="30">
        <v>1</v>
      </c>
      <c r="AB199" s="30"/>
      <c r="AC199" s="30"/>
      <c r="AD199" s="30"/>
      <c r="AE199" s="30"/>
      <c r="AF199" s="30"/>
      <c r="AG199" s="30"/>
      <c r="AH199" s="30"/>
      <c r="AI199" s="30"/>
      <c r="AJ199" s="30" t="s">
        <v>69</v>
      </c>
      <c r="AK199" s="30" t="s">
        <v>95</v>
      </c>
      <c r="AL199" s="30"/>
      <c r="AM199" s="30" t="s">
        <v>41</v>
      </c>
      <c r="AN199" s="30"/>
      <c r="AO199" s="30"/>
      <c r="AP199" s="30"/>
      <c r="AQ199" s="30"/>
      <c r="AR199" s="36"/>
      <c r="AS199" s="36"/>
      <c r="AT199" s="36"/>
      <c r="AU199" s="36"/>
      <c r="AV199" s="36"/>
      <c r="AW199" s="36"/>
      <c r="AX199" s="36"/>
      <c r="AY199" s="36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27"/>
      <c r="BL199" s="27"/>
    </row>
    <row r="200" spans="1:64">
      <c r="A200" s="25" t="s">
        <v>54</v>
      </c>
      <c r="B200" s="26">
        <v>46212</v>
      </c>
      <c r="C200" s="27"/>
      <c r="D200" s="27">
        <v>50013315</v>
      </c>
      <c r="E200" s="27" t="s">
        <v>333</v>
      </c>
      <c r="F200" s="27" t="s">
        <v>471</v>
      </c>
      <c r="G200" s="27" t="s">
        <v>28</v>
      </c>
      <c r="H200" s="30" t="s">
        <v>57</v>
      </c>
      <c r="I200" s="31" t="s">
        <v>807</v>
      </c>
      <c r="J200" s="30" t="s">
        <v>801</v>
      </c>
      <c r="K200" s="27">
        <v>2</v>
      </c>
      <c r="L200" s="27">
        <v>26</v>
      </c>
      <c r="M200" s="27"/>
      <c r="N200" s="31" t="s">
        <v>808</v>
      </c>
      <c r="O200" s="27"/>
      <c r="P200" s="30"/>
      <c r="Q200" s="30" t="s">
        <v>66</v>
      </c>
      <c r="R200" s="26">
        <v>46214</v>
      </c>
      <c r="S200" s="26">
        <v>46217</v>
      </c>
      <c r="T200" s="31"/>
      <c r="U200" s="30" t="s">
        <v>68</v>
      </c>
      <c r="V200" s="34" t="s">
        <v>70</v>
      </c>
      <c r="W200" s="27" t="s">
        <v>336</v>
      </c>
      <c r="X200" s="30">
        <v>1</v>
      </c>
      <c r="Y200" s="30">
        <v>1</v>
      </c>
      <c r="Z200" s="30">
        <v>1</v>
      </c>
      <c r="AA200" s="30">
        <v>1</v>
      </c>
      <c r="AB200" s="30"/>
      <c r="AC200" s="30"/>
      <c r="AD200" s="30"/>
      <c r="AE200" s="30"/>
      <c r="AF200" s="30"/>
      <c r="AG200" s="30"/>
      <c r="AH200" s="30"/>
      <c r="AI200" s="30"/>
      <c r="AJ200" s="30" t="s">
        <v>69</v>
      </c>
      <c r="AK200" s="30" t="s">
        <v>95</v>
      </c>
      <c r="AL200" s="30" t="s">
        <v>41</v>
      </c>
      <c r="AM200" s="30"/>
      <c r="AN200" s="30"/>
      <c r="AO200" s="30"/>
      <c r="AP200" s="30"/>
      <c r="AQ200" s="30"/>
      <c r="AR200" s="36"/>
      <c r="AS200" s="36"/>
      <c r="AT200" s="36"/>
      <c r="AU200" s="36"/>
      <c r="AV200" s="36"/>
      <c r="AW200" s="36"/>
      <c r="AX200" s="36"/>
      <c r="AY200" s="36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27"/>
      <c r="BL200" s="27"/>
    </row>
    <row r="201" spans="1:64">
      <c r="A201" s="25" t="s">
        <v>54</v>
      </c>
      <c r="B201" s="26">
        <v>46212</v>
      </c>
      <c r="C201" s="27"/>
      <c r="D201" s="27">
        <v>50013319</v>
      </c>
      <c r="E201" s="27" t="s">
        <v>333</v>
      </c>
      <c r="F201" s="27" t="s">
        <v>471</v>
      </c>
      <c r="G201" s="27" t="s">
        <v>28</v>
      </c>
      <c r="H201" s="30" t="s">
        <v>779</v>
      </c>
      <c r="I201" s="31" t="s">
        <v>809</v>
      </c>
      <c r="J201" s="30" t="s">
        <v>810</v>
      </c>
      <c r="K201" s="27">
        <v>3</v>
      </c>
      <c r="L201" s="27">
        <v>45</v>
      </c>
      <c r="M201" s="27"/>
      <c r="N201" s="31"/>
      <c r="O201" s="27" t="s">
        <v>811</v>
      </c>
      <c r="P201" s="30"/>
      <c r="Q201" s="30" t="s">
        <v>812</v>
      </c>
      <c r="R201" s="26">
        <v>46217</v>
      </c>
      <c r="S201" s="26">
        <v>46228</v>
      </c>
      <c r="T201" s="31"/>
      <c r="U201" s="30" t="s">
        <v>68</v>
      </c>
      <c r="V201" s="34" t="s">
        <v>70</v>
      </c>
      <c r="W201" s="27" t="s">
        <v>336</v>
      </c>
      <c r="X201" s="30">
        <v>2</v>
      </c>
      <c r="Y201" s="30">
        <v>1</v>
      </c>
      <c r="Z201" s="30">
        <v>1</v>
      </c>
      <c r="AA201" s="30">
        <v>1</v>
      </c>
      <c r="AB201" s="30"/>
      <c r="AC201" s="30"/>
      <c r="AD201" s="30"/>
      <c r="AE201" s="30"/>
      <c r="AF201" s="30"/>
      <c r="AG201" s="30"/>
      <c r="AH201" s="30"/>
      <c r="AI201" s="30"/>
      <c r="AJ201" s="30" t="s">
        <v>69</v>
      </c>
      <c r="AK201" s="30" t="s">
        <v>95</v>
      </c>
      <c r="AL201" s="30"/>
      <c r="AM201" s="30" t="s">
        <v>813</v>
      </c>
      <c r="AN201" s="30"/>
      <c r="AO201" s="30" t="s">
        <v>41</v>
      </c>
      <c r="AP201" s="30"/>
      <c r="AQ201" s="30"/>
      <c r="AR201" s="36"/>
      <c r="AS201" s="36"/>
      <c r="AT201" s="36"/>
      <c r="AU201" s="36"/>
      <c r="AV201" s="36"/>
      <c r="AW201" s="36"/>
      <c r="AX201" s="36"/>
      <c r="AY201" s="36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27"/>
      <c r="BL201" s="27"/>
    </row>
    <row r="202" spans="1:64">
      <c r="A202" s="25" t="s">
        <v>54</v>
      </c>
      <c r="B202" s="26">
        <v>46212</v>
      </c>
      <c r="C202" s="27"/>
      <c r="D202" s="27">
        <v>46800</v>
      </c>
      <c r="E202" s="27" t="s">
        <v>168</v>
      </c>
      <c r="F202" s="27" t="s">
        <v>59</v>
      </c>
      <c r="G202" s="27" t="s">
        <v>104</v>
      </c>
      <c r="H202" s="30" t="s">
        <v>151</v>
      </c>
      <c r="I202" s="31" t="s">
        <v>183</v>
      </c>
      <c r="J202" s="30" t="s">
        <v>151</v>
      </c>
      <c r="K202" s="27">
        <v>1</v>
      </c>
      <c r="L202" s="27">
        <v>8</v>
      </c>
      <c r="M202" s="48">
        <v>46084</v>
      </c>
      <c r="N202" s="31" t="s">
        <v>95</v>
      </c>
      <c r="O202" s="27"/>
      <c r="P202" s="30"/>
      <c r="Q202" s="30" t="s">
        <v>66</v>
      </c>
      <c r="R202" s="26">
        <v>46214</v>
      </c>
      <c r="S202" s="26">
        <v>46217</v>
      </c>
      <c r="T202" s="31"/>
      <c r="U202" s="30" t="s">
        <v>68</v>
      </c>
      <c r="V202" s="34" t="s">
        <v>70</v>
      </c>
      <c r="W202" s="27" t="s">
        <v>174</v>
      </c>
      <c r="X202" s="30">
        <v>1</v>
      </c>
      <c r="Y202" s="30">
        <v>1</v>
      </c>
      <c r="Z202" s="30">
        <v>1</v>
      </c>
      <c r="AA202" s="30">
        <v>1</v>
      </c>
      <c r="AB202" s="30"/>
      <c r="AC202" s="30"/>
      <c r="AD202" s="30"/>
      <c r="AE202" s="30"/>
      <c r="AF202" s="30"/>
      <c r="AG202" s="30"/>
      <c r="AH202" s="30"/>
      <c r="AI202" s="30"/>
      <c r="AJ202" s="30" t="s">
        <v>69</v>
      </c>
      <c r="AK202" s="30" t="s">
        <v>95</v>
      </c>
      <c r="AL202" s="30" t="s">
        <v>41</v>
      </c>
      <c r="AM202" s="30"/>
      <c r="AN202" s="30"/>
      <c r="AO202" s="30"/>
      <c r="AP202" s="30"/>
      <c r="AQ202" s="30"/>
      <c r="AR202" s="36"/>
      <c r="AS202" s="36"/>
      <c r="AT202" s="36"/>
      <c r="AU202" s="36"/>
      <c r="AV202" s="36"/>
      <c r="AW202" s="36"/>
      <c r="AX202" s="36"/>
      <c r="AY202" s="36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27"/>
      <c r="BL202" s="27"/>
    </row>
    <row r="203" spans="1:64">
      <c r="A203" s="25" t="s">
        <v>187</v>
      </c>
      <c r="B203" s="26">
        <v>46212</v>
      </c>
      <c r="C203" s="27"/>
      <c r="D203" s="27">
        <v>46801</v>
      </c>
      <c r="E203" s="27" t="s">
        <v>168</v>
      </c>
      <c r="F203" s="27" t="s">
        <v>59</v>
      </c>
      <c r="G203" s="27" t="s">
        <v>104</v>
      </c>
      <c r="H203" s="30" t="s">
        <v>130</v>
      </c>
      <c r="I203" s="31" t="s">
        <v>814</v>
      </c>
      <c r="J203" s="30" t="s">
        <v>130</v>
      </c>
      <c r="K203" s="27">
        <v>10</v>
      </c>
      <c r="L203" s="27">
        <v>213</v>
      </c>
      <c r="M203" s="27" t="s">
        <v>815</v>
      </c>
      <c r="N203" s="31" t="s">
        <v>455</v>
      </c>
      <c r="O203" s="27"/>
      <c r="P203" s="30"/>
      <c r="Q203" s="30" t="s">
        <v>66</v>
      </c>
      <c r="R203" s="26">
        <v>46214</v>
      </c>
      <c r="S203" s="26">
        <v>46218</v>
      </c>
      <c r="T203" s="31"/>
      <c r="U203" s="30" t="s">
        <v>68</v>
      </c>
      <c r="V203" s="34" t="s">
        <v>70</v>
      </c>
      <c r="W203" s="27" t="s">
        <v>174</v>
      </c>
      <c r="X203" s="30">
        <v>1</v>
      </c>
      <c r="Y203" s="30">
        <v>1</v>
      </c>
      <c r="Z203" s="30">
        <v>1</v>
      </c>
      <c r="AA203" s="30">
        <v>1</v>
      </c>
      <c r="AB203" s="30"/>
      <c r="AC203" s="30"/>
      <c r="AD203" s="30"/>
      <c r="AE203" s="30"/>
      <c r="AF203" s="30"/>
      <c r="AG203" s="30"/>
      <c r="AH203" s="30"/>
      <c r="AI203" s="30"/>
      <c r="AJ203" s="30" t="s">
        <v>69</v>
      </c>
      <c r="AK203" s="30" t="s">
        <v>455</v>
      </c>
      <c r="AL203" s="30" t="s">
        <v>41</v>
      </c>
      <c r="AM203" s="30"/>
      <c r="AN203" s="30"/>
      <c r="AO203" s="30"/>
      <c r="AP203" s="30"/>
      <c r="AQ203" s="30"/>
      <c r="AR203" s="36"/>
      <c r="AS203" s="36"/>
      <c r="AT203" s="36"/>
      <c r="AU203" s="36"/>
      <c r="AV203" s="36"/>
      <c r="AW203" s="36"/>
      <c r="AX203" s="36"/>
      <c r="AY203" s="36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27"/>
      <c r="BL203" s="27"/>
    </row>
    <row r="204" spans="1:64">
      <c r="A204" s="25" t="s">
        <v>54</v>
      </c>
      <c r="B204" s="26">
        <v>46212</v>
      </c>
      <c r="C204" s="27">
        <v>30311</v>
      </c>
      <c r="D204" s="27" t="s">
        <v>401</v>
      </c>
      <c r="E204" s="27" t="s">
        <v>816</v>
      </c>
      <c r="F204" s="27" t="s">
        <v>59</v>
      </c>
      <c r="G204" s="27" t="s">
        <v>151</v>
      </c>
      <c r="H204" s="30" t="s">
        <v>817</v>
      </c>
      <c r="I204" s="31" t="s">
        <v>818</v>
      </c>
      <c r="J204" s="30" t="s">
        <v>817</v>
      </c>
      <c r="K204" s="27">
        <v>2</v>
      </c>
      <c r="L204" s="27"/>
      <c r="M204" s="63">
        <v>5733</v>
      </c>
      <c r="N204" s="31" t="s">
        <v>819</v>
      </c>
      <c r="O204" s="27"/>
      <c r="P204" s="30"/>
      <c r="Q204" s="30"/>
      <c r="R204" s="27"/>
      <c r="S204" s="27"/>
      <c r="T204" s="31"/>
      <c r="U204" s="30" t="s">
        <v>32</v>
      </c>
      <c r="V204" s="34" t="s">
        <v>33</v>
      </c>
      <c r="W204" s="27" t="s">
        <v>96</v>
      </c>
      <c r="X204" s="30">
        <v>1</v>
      </c>
      <c r="Y204" s="30">
        <v>1</v>
      </c>
      <c r="Z204" s="30">
        <v>1</v>
      </c>
      <c r="AA204" s="30">
        <v>1</v>
      </c>
      <c r="AB204" s="30"/>
      <c r="AC204" s="30"/>
      <c r="AD204" s="30"/>
      <c r="AE204" s="30"/>
      <c r="AF204" s="30"/>
      <c r="AG204" s="30"/>
      <c r="AH204" s="30"/>
      <c r="AI204" s="30"/>
      <c r="AJ204" s="30" t="s">
        <v>820</v>
      </c>
      <c r="AK204" s="30"/>
      <c r="AL204" s="30"/>
      <c r="AM204" s="30"/>
      <c r="AN204" s="30"/>
      <c r="AO204" s="30"/>
      <c r="AP204" s="30"/>
      <c r="AQ204" s="30"/>
      <c r="AR204" s="36"/>
      <c r="AS204" s="36"/>
      <c r="AT204" s="36"/>
      <c r="AU204" s="36"/>
      <c r="AV204" s="36"/>
      <c r="AW204" s="36"/>
      <c r="AX204" s="36"/>
      <c r="AY204" s="36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27"/>
      <c r="BL204" s="27"/>
    </row>
    <row r="205" spans="1:64">
      <c r="A205" s="25" t="s">
        <v>54</v>
      </c>
      <c r="B205" s="26">
        <v>46212</v>
      </c>
      <c r="C205" s="27">
        <v>30312</v>
      </c>
      <c r="D205" s="27" t="s">
        <v>401</v>
      </c>
      <c r="E205" s="27" t="s">
        <v>821</v>
      </c>
      <c r="F205" s="27" t="s">
        <v>59</v>
      </c>
      <c r="G205" s="27" t="s">
        <v>57</v>
      </c>
      <c r="H205" s="30" t="s">
        <v>817</v>
      </c>
      <c r="I205" s="31" t="s">
        <v>818</v>
      </c>
      <c r="J205" s="30" t="s">
        <v>817</v>
      </c>
      <c r="K205" s="27">
        <v>11</v>
      </c>
      <c r="L205" s="27">
        <v>137.5</v>
      </c>
      <c r="M205" s="63">
        <v>26047</v>
      </c>
      <c r="N205" s="31" t="s">
        <v>504</v>
      </c>
      <c r="O205" s="27"/>
      <c r="P205" s="30"/>
      <c r="Q205" s="30" t="s">
        <v>66</v>
      </c>
      <c r="R205" s="26">
        <v>46212</v>
      </c>
      <c r="S205" s="26">
        <v>46212</v>
      </c>
      <c r="T205" s="31"/>
      <c r="U205" s="30" t="s">
        <v>32</v>
      </c>
      <c r="V205" s="34" t="s">
        <v>33</v>
      </c>
      <c r="W205" s="27" t="s">
        <v>96</v>
      </c>
      <c r="X205" s="30">
        <v>1</v>
      </c>
      <c r="Y205" s="30">
        <v>1</v>
      </c>
      <c r="Z205" s="30">
        <v>1</v>
      </c>
      <c r="AA205" s="30">
        <v>1</v>
      </c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6"/>
      <c r="AS205" s="36"/>
      <c r="AT205" s="36"/>
      <c r="AU205" s="36"/>
      <c r="AV205" s="36"/>
      <c r="AW205" s="36"/>
      <c r="AX205" s="36"/>
      <c r="AY205" s="36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27"/>
      <c r="BL205" s="27"/>
    </row>
    <row r="206" spans="1:64">
      <c r="A206" s="25" t="s">
        <v>54</v>
      </c>
      <c r="B206" s="26">
        <v>46212</v>
      </c>
      <c r="C206" s="27">
        <v>30165</v>
      </c>
      <c r="D206" s="27"/>
      <c r="E206" s="27" t="s">
        <v>822</v>
      </c>
      <c r="F206" s="27" t="s">
        <v>59</v>
      </c>
      <c r="G206" s="27" t="s">
        <v>383</v>
      </c>
      <c r="H206" s="30" t="s">
        <v>438</v>
      </c>
      <c r="I206" s="31" t="s">
        <v>823</v>
      </c>
      <c r="J206" s="30" t="s">
        <v>824</v>
      </c>
      <c r="K206" s="27">
        <v>4</v>
      </c>
      <c r="L206" s="27"/>
      <c r="M206" s="27">
        <v>279</v>
      </c>
      <c r="N206" s="31" t="s">
        <v>825</v>
      </c>
      <c r="O206" s="27"/>
      <c r="P206" s="30"/>
      <c r="Q206" s="30" t="s">
        <v>66</v>
      </c>
      <c r="R206" s="26">
        <v>46216</v>
      </c>
      <c r="S206" s="26">
        <v>46219</v>
      </c>
      <c r="T206" s="31"/>
      <c r="U206" s="30" t="s">
        <v>68</v>
      </c>
      <c r="V206" s="34" t="s">
        <v>70</v>
      </c>
      <c r="W206" s="27" t="s">
        <v>826</v>
      </c>
      <c r="X206" s="30">
        <v>1</v>
      </c>
      <c r="Y206" s="30">
        <v>1</v>
      </c>
      <c r="Z206" s="30">
        <v>1</v>
      </c>
      <c r="AA206" s="30">
        <v>1</v>
      </c>
      <c r="AB206" s="30"/>
      <c r="AC206" s="30"/>
      <c r="AD206" s="30"/>
      <c r="AE206" s="30"/>
      <c r="AF206" s="30"/>
      <c r="AG206" s="30"/>
      <c r="AH206" s="30"/>
      <c r="AI206" s="30"/>
      <c r="AJ206" s="30" t="s">
        <v>69</v>
      </c>
      <c r="AK206" s="30" t="s">
        <v>827</v>
      </c>
      <c r="AL206" s="30"/>
      <c r="AM206" s="30"/>
      <c r="AN206" s="30" t="s">
        <v>828</v>
      </c>
      <c r="AO206" s="30"/>
      <c r="AP206" s="30"/>
      <c r="AQ206" s="30"/>
      <c r="AR206" s="36"/>
      <c r="AS206" s="36"/>
      <c r="AT206" s="36"/>
      <c r="AU206" s="36"/>
      <c r="AV206" s="36"/>
      <c r="AW206" s="36"/>
      <c r="AX206" s="36"/>
      <c r="AY206" s="36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27"/>
      <c r="BL206" s="27">
        <v>300000</v>
      </c>
    </row>
    <row r="207" spans="1:64">
      <c r="A207" s="25" t="s">
        <v>54</v>
      </c>
      <c r="B207" s="26">
        <v>46212</v>
      </c>
      <c r="C207" s="27">
        <v>29770</v>
      </c>
      <c r="D207" s="27"/>
      <c r="E207" s="27" t="s">
        <v>203</v>
      </c>
      <c r="F207" s="27" t="s">
        <v>59</v>
      </c>
      <c r="G207" s="27" t="s">
        <v>104</v>
      </c>
      <c r="H207" s="30" t="s">
        <v>60</v>
      </c>
      <c r="I207" s="31" t="s">
        <v>647</v>
      </c>
      <c r="J207" s="30" t="s">
        <v>60</v>
      </c>
      <c r="K207" s="27">
        <v>1</v>
      </c>
      <c r="L207" s="27" t="s">
        <v>205</v>
      </c>
      <c r="M207" s="27"/>
      <c r="N207" s="31" t="s">
        <v>154</v>
      </c>
      <c r="O207" s="27"/>
      <c r="P207" s="30"/>
      <c r="Q207" s="30" t="s">
        <v>66</v>
      </c>
      <c r="R207" s="26">
        <v>46213</v>
      </c>
      <c r="S207" s="26">
        <v>46216</v>
      </c>
      <c r="T207" s="31"/>
      <c r="U207" s="30" t="s">
        <v>68</v>
      </c>
      <c r="V207" s="34" t="s">
        <v>70</v>
      </c>
      <c r="W207" s="27" t="s">
        <v>208</v>
      </c>
      <c r="X207" s="30">
        <v>1</v>
      </c>
      <c r="Y207" s="30">
        <v>1</v>
      </c>
      <c r="Z207" s="30">
        <v>1</v>
      </c>
      <c r="AA207" s="30">
        <v>1</v>
      </c>
      <c r="AB207" s="30"/>
      <c r="AC207" s="30"/>
      <c r="AD207" s="30"/>
      <c r="AE207" s="30"/>
      <c r="AF207" s="30"/>
      <c r="AG207" s="30"/>
      <c r="AH207" s="30"/>
      <c r="AI207" s="30"/>
      <c r="AJ207" s="30" t="s">
        <v>69</v>
      </c>
      <c r="AK207" s="30" t="s">
        <v>157</v>
      </c>
      <c r="AL207" s="30"/>
      <c r="AM207" s="30"/>
      <c r="AN207" s="30"/>
      <c r="AO207" s="30"/>
      <c r="AP207" s="30"/>
      <c r="AQ207" s="30"/>
      <c r="AR207" s="36"/>
      <c r="AS207" s="36"/>
      <c r="AT207" s="36"/>
      <c r="AU207" s="36"/>
      <c r="AV207" s="36"/>
      <c r="AW207" s="36"/>
      <c r="AX207" s="36"/>
      <c r="AY207" s="36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27"/>
      <c r="BL207" s="27"/>
    </row>
    <row r="208" spans="1:64">
      <c r="A208" s="25" t="s">
        <v>54</v>
      </c>
      <c r="B208" s="26">
        <v>46212</v>
      </c>
      <c r="C208" s="27">
        <v>29772</v>
      </c>
      <c r="D208" s="27"/>
      <c r="E208" s="27" t="s">
        <v>203</v>
      </c>
      <c r="F208" s="27" t="s">
        <v>59</v>
      </c>
      <c r="G208" s="27" t="s">
        <v>104</v>
      </c>
      <c r="H208" s="30" t="s">
        <v>144</v>
      </c>
      <c r="I208" s="31" t="s">
        <v>829</v>
      </c>
      <c r="J208" s="30" t="s">
        <v>144</v>
      </c>
      <c r="K208" s="27">
        <v>1</v>
      </c>
      <c r="L208" s="27" t="s">
        <v>205</v>
      </c>
      <c r="M208" s="27"/>
      <c r="N208" s="31" t="s">
        <v>81</v>
      </c>
      <c r="O208" s="27"/>
      <c r="P208" s="30"/>
      <c r="Q208" s="30" t="s">
        <v>66</v>
      </c>
      <c r="R208" s="26">
        <v>46213</v>
      </c>
      <c r="S208" s="26">
        <v>46216</v>
      </c>
      <c r="T208" s="31"/>
      <c r="U208" s="30" t="s">
        <v>68</v>
      </c>
      <c r="V208" s="34" t="s">
        <v>70</v>
      </c>
      <c r="W208" s="27" t="s">
        <v>208</v>
      </c>
      <c r="X208" s="30">
        <v>1</v>
      </c>
      <c r="Y208" s="30">
        <v>1</v>
      </c>
      <c r="Z208" s="30">
        <v>1</v>
      </c>
      <c r="AA208" s="30">
        <v>1</v>
      </c>
      <c r="AB208" s="30"/>
      <c r="AC208" s="30"/>
      <c r="AD208" s="30"/>
      <c r="AE208" s="30"/>
      <c r="AF208" s="30"/>
      <c r="AG208" s="30"/>
      <c r="AH208" s="30"/>
      <c r="AI208" s="30"/>
      <c r="AJ208" s="30" t="s">
        <v>69</v>
      </c>
      <c r="AK208" s="30" t="s">
        <v>88</v>
      </c>
      <c r="AL208" s="30"/>
      <c r="AM208" s="30"/>
      <c r="AN208" s="30"/>
      <c r="AO208" s="30"/>
      <c r="AP208" s="30"/>
      <c r="AQ208" s="30"/>
      <c r="AR208" s="36"/>
      <c r="AS208" s="36"/>
      <c r="AT208" s="36"/>
      <c r="AU208" s="36"/>
      <c r="AV208" s="36"/>
      <c r="AW208" s="36"/>
      <c r="AX208" s="36"/>
      <c r="AY208" s="36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27"/>
      <c r="BL208" s="27"/>
    </row>
    <row r="209" spans="1:64">
      <c r="A209" s="25" t="s">
        <v>54</v>
      </c>
      <c r="B209" s="26">
        <v>46212</v>
      </c>
      <c r="C209" s="27">
        <v>29767</v>
      </c>
      <c r="D209" s="27"/>
      <c r="E209" s="27" t="s">
        <v>212</v>
      </c>
      <c r="F209" s="27" t="s">
        <v>59</v>
      </c>
      <c r="G209" s="27" t="s">
        <v>104</v>
      </c>
      <c r="H209" s="30" t="s">
        <v>538</v>
      </c>
      <c r="I209" s="31" t="s">
        <v>830</v>
      </c>
      <c r="J209" s="30" t="s">
        <v>538</v>
      </c>
      <c r="K209" s="27">
        <v>1</v>
      </c>
      <c r="L209" s="27" t="s">
        <v>205</v>
      </c>
      <c r="M209" s="27"/>
      <c r="N209" s="31" t="s">
        <v>297</v>
      </c>
      <c r="O209" s="27"/>
      <c r="P209" s="30"/>
      <c r="Q209" s="30" t="s">
        <v>66</v>
      </c>
      <c r="R209" s="26">
        <v>46214</v>
      </c>
      <c r="S209" s="26">
        <v>46216</v>
      </c>
      <c r="T209" s="31"/>
      <c r="U209" s="30" t="s">
        <v>68</v>
      </c>
      <c r="V209" s="34" t="s">
        <v>70</v>
      </c>
      <c r="W209" s="27" t="s">
        <v>208</v>
      </c>
      <c r="X209" s="30">
        <v>1</v>
      </c>
      <c r="Y209" s="30">
        <v>1</v>
      </c>
      <c r="Z209" s="30">
        <v>1</v>
      </c>
      <c r="AA209" s="30">
        <v>1</v>
      </c>
      <c r="AB209" s="30"/>
      <c r="AC209" s="30"/>
      <c r="AD209" s="30"/>
      <c r="AE209" s="30"/>
      <c r="AF209" s="30"/>
      <c r="AG209" s="30"/>
      <c r="AH209" s="30"/>
      <c r="AI209" s="30"/>
      <c r="AJ209" s="30" t="s">
        <v>69</v>
      </c>
      <c r="AK209" s="30"/>
      <c r="AL209" s="30" t="s">
        <v>428</v>
      </c>
      <c r="AM209" s="30"/>
      <c r="AN209" s="30"/>
      <c r="AO209" s="30"/>
      <c r="AP209" s="30"/>
      <c r="AQ209" s="30"/>
      <c r="AR209" s="36"/>
      <c r="AS209" s="36"/>
      <c r="AT209" s="36"/>
      <c r="AU209" s="36"/>
      <c r="AV209" s="36"/>
      <c r="AW209" s="36"/>
      <c r="AX209" s="36"/>
      <c r="AY209" s="36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27"/>
      <c r="BL209" s="27"/>
    </row>
    <row r="210" spans="1:64">
      <c r="A210" s="25" t="s">
        <v>54</v>
      </c>
      <c r="B210" s="26">
        <v>46212</v>
      </c>
      <c r="C210" s="27">
        <v>29774</v>
      </c>
      <c r="D210" s="27"/>
      <c r="E210" s="27" t="s">
        <v>233</v>
      </c>
      <c r="F210" s="27" t="s">
        <v>59</v>
      </c>
      <c r="G210" s="27" t="s">
        <v>104</v>
      </c>
      <c r="H210" s="30" t="s">
        <v>831</v>
      </c>
      <c r="I210" s="31" t="s">
        <v>765</v>
      </c>
      <c r="J210" s="30" t="s">
        <v>175</v>
      </c>
      <c r="K210" s="27">
        <v>1</v>
      </c>
      <c r="L210" s="27" t="s">
        <v>205</v>
      </c>
      <c r="M210" s="27"/>
      <c r="N210" s="31" t="s">
        <v>95</v>
      </c>
      <c r="O210" s="27"/>
      <c r="P210" s="30"/>
      <c r="Q210" s="30" t="s">
        <v>66</v>
      </c>
      <c r="R210" s="26">
        <v>46215</v>
      </c>
      <c r="S210" s="26">
        <v>46217</v>
      </c>
      <c r="T210" s="31"/>
      <c r="U210" s="30" t="s">
        <v>68</v>
      </c>
      <c r="V210" s="34" t="s">
        <v>70</v>
      </c>
      <c r="W210" s="27" t="s">
        <v>208</v>
      </c>
      <c r="X210" s="30">
        <v>1</v>
      </c>
      <c r="Y210" s="30">
        <v>1</v>
      </c>
      <c r="Z210" s="30">
        <v>1</v>
      </c>
      <c r="AA210" s="30">
        <v>1</v>
      </c>
      <c r="AB210" s="30"/>
      <c r="AC210" s="30"/>
      <c r="AD210" s="30"/>
      <c r="AE210" s="30"/>
      <c r="AF210" s="30"/>
      <c r="AG210" s="30"/>
      <c r="AH210" s="30"/>
      <c r="AI210" s="30"/>
      <c r="AJ210" s="30" t="s">
        <v>69</v>
      </c>
      <c r="AK210" s="30" t="s">
        <v>832</v>
      </c>
      <c r="AL210" s="30"/>
      <c r="AM210" s="30" t="s">
        <v>41</v>
      </c>
      <c r="AN210" s="30"/>
      <c r="AO210" s="30"/>
      <c r="AP210" s="30"/>
      <c r="AQ210" s="30"/>
      <c r="AR210" s="36"/>
      <c r="AS210" s="36"/>
      <c r="AT210" s="36"/>
      <c r="AU210" s="36"/>
      <c r="AV210" s="36"/>
      <c r="AW210" s="36"/>
      <c r="AX210" s="36"/>
      <c r="AY210" s="36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27"/>
      <c r="BL210" s="27"/>
    </row>
    <row r="211" spans="1:64">
      <c r="A211" s="25" t="s">
        <v>54</v>
      </c>
      <c r="B211" s="26">
        <v>46212</v>
      </c>
      <c r="C211" s="27">
        <v>29773</v>
      </c>
      <c r="D211" s="27"/>
      <c r="E211" s="27" t="s">
        <v>203</v>
      </c>
      <c r="F211" s="27" t="s">
        <v>59</v>
      </c>
      <c r="G211" s="27" t="s">
        <v>104</v>
      </c>
      <c r="H211" s="30" t="s">
        <v>170</v>
      </c>
      <c r="I211" s="31" t="s">
        <v>210</v>
      </c>
      <c r="J211" s="30" t="s">
        <v>170</v>
      </c>
      <c r="K211" s="27">
        <v>1</v>
      </c>
      <c r="L211" s="27" t="s">
        <v>205</v>
      </c>
      <c r="M211" s="27"/>
      <c r="N211" s="31" t="s">
        <v>455</v>
      </c>
      <c r="O211" s="27"/>
      <c r="P211" s="30"/>
      <c r="Q211" s="30" t="s">
        <v>66</v>
      </c>
      <c r="R211" s="26">
        <v>46215</v>
      </c>
      <c r="S211" s="26">
        <v>46218</v>
      </c>
      <c r="T211" s="31"/>
      <c r="U211" s="30" t="s">
        <v>68</v>
      </c>
      <c r="V211" s="34" t="s">
        <v>70</v>
      </c>
      <c r="W211" s="27" t="s">
        <v>208</v>
      </c>
      <c r="X211" s="30">
        <v>1</v>
      </c>
      <c r="Y211" s="30">
        <v>1</v>
      </c>
      <c r="Z211" s="30">
        <v>1</v>
      </c>
      <c r="AA211" s="30">
        <v>1</v>
      </c>
      <c r="AB211" s="30"/>
      <c r="AC211" s="30"/>
      <c r="AD211" s="30"/>
      <c r="AE211" s="30"/>
      <c r="AF211" s="30"/>
      <c r="AG211" s="30"/>
      <c r="AH211" s="30"/>
      <c r="AI211" s="30"/>
      <c r="AJ211" s="30" t="s">
        <v>69</v>
      </c>
      <c r="AK211" s="30" t="s">
        <v>455</v>
      </c>
      <c r="AL211" s="30"/>
      <c r="AM211" s="30" t="s">
        <v>41</v>
      </c>
      <c r="AN211" s="30"/>
      <c r="AO211" s="30"/>
      <c r="AP211" s="30"/>
      <c r="AQ211" s="30"/>
      <c r="AR211" s="36"/>
      <c r="AS211" s="36"/>
      <c r="AT211" s="36"/>
      <c r="AU211" s="36"/>
      <c r="AV211" s="36"/>
      <c r="AW211" s="36"/>
      <c r="AX211" s="36"/>
      <c r="AY211" s="36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27"/>
      <c r="BL211" s="27"/>
    </row>
    <row r="212" spans="1:64">
      <c r="A212" s="25" t="s">
        <v>54</v>
      </c>
      <c r="B212" s="26">
        <v>46212</v>
      </c>
      <c r="C212" s="27">
        <v>30176</v>
      </c>
      <c r="D212" s="27"/>
      <c r="E212" s="27" t="s">
        <v>212</v>
      </c>
      <c r="F212" s="27" t="s">
        <v>59</v>
      </c>
      <c r="G212" s="27" t="s">
        <v>104</v>
      </c>
      <c r="H212" s="30" t="s">
        <v>170</v>
      </c>
      <c r="I212" s="31" t="s">
        <v>834</v>
      </c>
      <c r="J212" s="30" t="s">
        <v>170</v>
      </c>
      <c r="K212" s="27">
        <v>1</v>
      </c>
      <c r="L212" s="27" t="s">
        <v>205</v>
      </c>
      <c r="M212" s="27"/>
      <c r="N212" s="31" t="s">
        <v>455</v>
      </c>
      <c r="O212" s="27"/>
      <c r="P212" s="30"/>
      <c r="Q212" s="30" t="s">
        <v>66</v>
      </c>
      <c r="R212" s="26">
        <v>46215</v>
      </c>
      <c r="S212" s="26">
        <v>46218</v>
      </c>
      <c r="T212" s="31"/>
      <c r="U212" s="30" t="s">
        <v>68</v>
      </c>
      <c r="V212" s="34" t="s">
        <v>70</v>
      </c>
      <c r="W212" s="27" t="s">
        <v>208</v>
      </c>
      <c r="X212" s="30">
        <v>1</v>
      </c>
      <c r="Y212" s="30">
        <v>1</v>
      </c>
      <c r="Z212" s="30">
        <v>1</v>
      </c>
      <c r="AA212" s="30">
        <v>1</v>
      </c>
      <c r="AB212" s="30"/>
      <c r="AC212" s="30"/>
      <c r="AD212" s="30"/>
      <c r="AE212" s="30"/>
      <c r="AF212" s="30"/>
      <c r="AG212" s="30"/>
      <c r="AH212" s="30"/>
      <c r="AI212" s="30"/>
      <c r="AJ212" s="30" t="s">
        <v>69</v>
      </c>
      <c r="AK212" s="30" t="s">
        <v>455</v>
      </c>
      <c r="AL212" s="30"/>
      <c r="AM212" s="30" t="s">
        <v>41</v>
      </c>
      <c r="AN212" s="30"/>
      <c r="AO212" s="30"/>
      <c r="AP212" s="30"/>
      <c r="AQ212" s="30"/>
      <c r="AR212" s="36"/>
      <c r="AS212" s="36"/>
      <c r="AT212" s="36"/>
      <c r="AU212" s="36"/>
      <c r="AV212" s="36"/>
      <c r="AW212" s="36"/>
      <c r="AX212" s="36"/>
      <c r="AY212" s="36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27"/>
      <c r="BL212" s="27"/>
    </row>
    <row r="213" spans="1:64">
      <c r="A213" s="25" t="s">
        <v>54</v>
      </c>
      <c r="B213" s="26">
        <v>46212</v>
      </c>
      <c r="C213" s="27">
        <v>29771</v>
      </c>
      <c r="D213" s="27"/>
      <c r="E213" s="27" t="s">
        <v>203</v>
      </c>
      <c r="F213" s="27" t="s">
        <v>59</v>
      </c>
      <c r="G213" s="27" t="s">
        <v>104</v>
      </c>
      <c r="H213" s="30" t="s">
        <v>151</v>
      </c>
      <c r="I213" s="31" t="s">
        <v>633</v>
      </c>
      <c r="J213" s="30" t="s">
        <v>151</v>
      </c>
      <c r="K213" s="27">
        <v>1</v>
      </c>
      <c r="L213" s="27" t="s">
        <v>205</v>
      </c>
      <c r="M213" s="27"/>
      <c r="N213" s="31" t="s">
        <v>95</v>
      </c>
      <c r="O213" s="27"/>
      <c r="P213" s="30"/>
      <c r="Q213" s="30" t="s">
        <v>835</v>
      </c>
      <c r="R213" s="26">
        <v>46214</v>
      </c>
      <c r="S213" s="26">
        <v>46217</v>
      </c>
      <c r="T213" s="31"/>
      <c r="U213" s="30" t="s">
        <v>68</v>
      </c>
      <c r="V213" s="34" t="s">
        <v>70</v>
      </c>
      <c r="W213" s="27" t="s">
        <v>208</v>
      </c>
      <c r="X213" s="30">
        <v>1</v>
      </c>
      <c r="Y213" s="30">
        <v>1</v>
      </c>
      <c r="Z213" s="30">
        <v>1</v>
      </c>
      <c r="AA213" s="30">
        <v>1</v>
      </c>
      <c r="AB213" s="30"/>
      <c r="AC213" s="30"/>
      <c r="AD213" s="30"/>
      <c r="AE213" s="30"/>
      <c r="AF213" s="30"/>
      <c r="AG213" s="30"/>
      <c r="AH213" s="30"/>
      <c r="AI213" s="30"/>
      <c r="AJ213" s="30" t="s">
        <v>69</v>
      </c>
      <c r="AK213" s="30" t="s">
        <v>95</v>
      </c>
      <c r="AL213" s="30" t="s">
        <v>41</v>
      </c>
      <c r="AM213" s="30"/>
      <c r="AN213" s="30"/>
      <c r="AO213" s="30"/>
      <c r="AP213" s="30"/>
      <c r="AQ213" s="30"/>
      <c r="AR213" s="36"/>
      <c r="AS213" s="36"/>
      <c r="AT213" s="36"/>
      <c r="AU213" s="36"/>
      <c r="AV213" s="36"/>
      <c r="AW213" s="36"/>
      <c r="AX213" s="36"/>
      <c r="AY213" s="36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27"/>
      <c r="BL213" s="27"/>
    </row>
    <row r="214" spans="1:64">
      <c r="A214" s="25" t="s">
        <v>54</v>
      </c>
      <c r="B214" s="26">
        <v>46212</v>
      </c>
      <c r="C214" s="27">
        <v>29768</v>
      </c>
      <c r="D214" s="27"/>
      <c r="E214" s="27" t="s">
        <v>203</v>
      </c>
      <c r="F214" s="27" t="s">
        <v>59</v>
      </c>
      <c r="G214" s="27" t="s">
        <v>104</v>
      </c>
      <c r="H214" s="30" t="s">
        <v>151</v>
      </c>
      <c r="I214" s="31" t="s">
        <v>837</v>
      </c>
      <c r="J214" s="30" t="s">
        <v>151</v>
      </c>
      <c r="K214" s="27">
        <v>1</v>
      </c>
      <c r="L214" s="27" t="s">
        <v>244</v>
      </c>
      <c r="M214" s="27"/>
      <c r="N214" s="31" t="s">
        <v>95</v>
      </c>
      <c r="O214" s="27"/>
      <c r="P214" s="30"/>
      <c r="Q214" s="30" t="s">
        <v>66</v>
      </c>
      <c r="R214" s="26">
        <v>46214</v>
      </c>
      <c r="S214" s="26">
        <v>46217</v>
      </c>
      <c r="T214" s="31"/>
      <c r="U214" s="30" t="s">
        <v>68</v>
      </c>
      <c r="V214" s="34" t="s">
        <v>70</v>
      </c>
      <c r="W214" s="27" t="s">
        <v>208</v>
      </c>
      <c r="X214" s="30">
        <v>1</v>
      </c>
      <c r="Y214" s="30">
        <v>1</v>
      </c>
      <c r="Z214" s="30">
        <v>1</v>
      </c>
      <c r="AA214" s="30">
        <v>1</v>
      </c>
      <c r="AB214" s="30"/>
      <c r="AC214" s="30"/>
      <c r="AD214" s="30"/>
      <c r="AE214" s="30"/>
      <c r="AF214" s="30"/>
      <c r="AG214" s="30"/>
      <c r="AH214" s="30"/>
      <c r="AI214" s="30"/>
      <c r="AJ214" s="30" t="s">
        <v>69</v>
      </c>
      <c r="AK214" s="30" t="s">
        <v>95</v>
      </c>
      <c r="AL214" s="30" t="s">
        <v>41</v>
      </c>
      <c r="AM214" s="30"/>
      <c r="AN214" s="30"/>
      <c r="AO214" s="30"/>
      <c r="AP214" s="30"/>
      <c r="AQ214" s="30"/>
      <c r="AR214" s="36"/>
      <c r="AS214" s="36"/>
      <c r="AT214" s="36"/>
      <c r="AU214" s="36"/>
      <c r="AV214" s="36"/>
      <c r="AW214" s="36"/>
      <c r="AX214" s="36"/>
      <c r="AY214" s="36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27"/>
      <c r="BL214" s="27"/>
    </row>
    <row r="215" spans="1:64">
      <c r="A215" s="25" t="s">
        <v>54</v>
      </c>
      <c r="B215" s="26">
        <v>46212</v>
      </c>
      <c r="C215" s="27">
        <v>29775</v>
      </c>
      <c r="D215" s="27"/>
      <c r="E215" s="27" t="s">
        <v>203</v>
      </c>
      <c r="F215" s="27" t="s">
        <v>59</v>
      </c>
      <c r="G215" s="27" t="s">
        <v>104</v>
      </c>
      <c r="H215" s="30" t="s">
        <v>151</v>
      </c>
      <c r="I215" s="31" t="s">
        <v>768</v>
      </c>
      <c r="J215" s="30" t="s">
        <v>151</v>
      </c>
      <c r="K215" s="27">
        <v>1</v>
      </c>
      <c r="L215" s="27" t="s">
        <v>214</v>
      </c>
      <c r="M215" s="27"/>
      <c r="N215" s="31" t="s">
        <v>95</v>
      </c>
      <c r="O215" s="27"/>
      <c r="P215" s="30"/>
      <c r="Q215" s="30" t="s">
        <v>66</v>
      </c>
      <c r="R215" s="26">
        <v>46214</v>
      </c>
      <c r="S215" s="26">
        <v>46217</v>
      </c>
      <c r="T215" s="31"/>
      <c r="U215" s="30" t="s">
        <v>68</v>
      </c>
      <c r="V215" s="34" t="s">
        <v>70</v>
      </c>
      <c r="W215" s="27" t="s">
        <v>208</v>
      </c>
      <c r="X215" s="30">
        <v>1</v>
      </c>
      <c r="Y215" s="30">
        <v>1</v>
      </c>
      <c r="Z215" s="30">
        <v>1</v>
      </c>
      <c r="AA215" s="30">
        <v>1</v>
      </c>
      <c r="AB215" s="30"/>
      <c r="AC215" s="30"/>
      <c r="AD215" s="30"/>
      <c r="AE215" s="30"/>
      <c r="AF215" s="30"/>
      <c r="AG215" s="30"/>
      <c r="AH215" s="30"/>
      <c r="AI215" s="30"/>
      <c r="AJ215" s="30" t="s">
        <v>69</v>
      </c>
      <c r="AK215" s="30" t="s">
        <v>95</v>
      </c>
      <c r="AL215" s="30" t="s">
        <v>41</v>
      </c>
      <c r="AM215" s="30"/>
      <c r="AN215" s="30"/>
      <c r="AO215" s="30"/>
      <c r="AP215" s="30"/>
      <c r="AQ215" s="30"/>
      <c r="AR215" s="36"/>
      <c r="AS215" s="36"/>
      <c r="AT215" s="36"/>
      <c r="AU215" s="36"/>
      <c r="AV215" s="36"/>
      <c r="AW215" s="36"/>
      <c r="AX215" s="36"/>
      <c r="AY215" s="36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27"/>
      <c r="BL215" s="27"/>
    </row>
    <row r="216" spans="1:64">
      <c r="A216" s="25" t="s">
        <v>54</v>
      </c>
      <c r="B216" s="26">
        <v>46212</v>
      </c>
      <c r="C216" s="27">
        <v>30177</v>
      </c>
      <c r="D216" s="27"/>
      <c r="E216" s="27" t="s">
        <v>203</v>
      </c>
      <c r="F216" s="27" t="s">
        <v>59</v>
      </c>
      <c r="G216" s="27" t="s">
        <v>104</v>
      </c>
      <c r="H216" s="30" t="s">
        <v>151</v>
      </c>
      <c r="I216" s="31" t="s">
        <v>282</v>
      </c>
      <c r="J216" s="30" t="s">
        <v>151</v>
      </c>
      <c r="K216" s="27">
        <v>1</v>
      </c>
      <c r="L216" s="27" t="s">
        <v>214</v>
      </c>
      <c r="M216" s="27"/>
      <c r="N216" s="31" t="s">
        <v>95</v>
      </c>
      <c r="O216" s="27"/>
      <c r="P216" s="30"/>
      <c r="Q216" s="30" t="s">
        <v>838</v>
      </c>
      <c r="R216" s="26">
        <v>46214</v>
      </c>
      <c r="S216" s="26">
        <v>46217</v>
      </c>
      <c r="T216" s="31"/>
      <c r="U216" s="30" t="s">
        <v>68</v>
      </c>
      <c r="V216" s="34" t="s">
        <v>70</v>
      </c>
      <c r="W216" s="27" t="s">
        <v>208</v>
      </c>
      <c r="X216" s="30">
        <v>1</v>
      </c>
      <c r="Y216" s="30">
        <v>1</v>
      </c>
      <c r="Z216" s="30">
        <v>1</v>
      </c>
      <c r="AA216" s="30">
        <v>1</v>
      </c>
      <c r="AB216" s="30"/>
      <c r="AC216" s="30"/>
      <c r="AD216" s="30"/>
      <c r="AE216" s="30"/>
      <c r="AF216" s="30"/>
      <c r="AG216" s="30"/>
      <c r="AH216" s="30"/>
      <c r="AI216" s="30"/>
      <c r="AJ216" s="30" t="s">
        <v>69</v>
      </c>
      <c r="AK216" s="30" t="s">
        <v>95</v>
      </c>
      <c r="AL216" s="30" t="s">
        <v>41</v>
      </c>
      <c r="AM216" s="30"/>
      <c r="AN216" s="30"/>
      <c r="AO216" s="30"/>
      <c r="AP216" s="30"/>
      <c r="AQ216" s="30"/>
      <c r="AR216" s="36"/>
      <c r="AS216" s="36"/>
      <c r="AT216" s="36"/>
      <c r="AU216" s="36"/>
      <c r="AV216" s="36"/>
      <c r="AW216" s="36"/>
      <c r="AX216" s="36"/>
      <c r="AY216" s="36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27"/>
      <c r="BL216" s="27"/>
    </row>
    <row r="217" spans="1:64">
      <c r="A217" s="25" t="s">
        <v>54</v>
      </c>
      <c r="B217" s="26">
        <v>46212</v>
      </c>
      <c r="C217" s="27">
        <v>29769</v>
      </c>
      <c r="D217" s="27"/>
      <c r="E217" s="27" t="s">
        <v>212</v>
      </c>
      <c r="F217" s="27" t="s">
        <v>59</v>
      </c>
      <c r="G217" s="27" t="s">
        <v>104</v>
      </c>
      <c r="H217" s="30" t="s">
        <v>151</v>
      </c>
      <c r="I217" s="31" t="s">
        <v>839</v>
      </c>
      <c r="J217" s="30" t="s">
        <v>151</v>
      </c>
      <c r="K217" s="27">
        <v>1</v>
      </c>
      <c r="L217" s="27" t="s">
        <v>214</v>
      </c>
      <c r="M217" s="27"/>
      <c r="N217" s="31" t="s">
        <v>95</v>
      </c>
      <c r="O217" s="27"/>
      <c r="P217" s="30"/>
      <c r="Q217" s="30" t="s">
        <v>838</v>
      </c>
      <c r="R217" s="26">
        <v>46214</v>
      </c>
      <c r="S217" s="26">
        <v>46217</v>
      </c>
      <c r="T217" s="31"/>
      <c r="U217" s="30" t="s">
        <v>68</v>
      </c>
      <c r="V217" s="34" t="s">
        <v>70</v>
      </c>
      <c r="W217" s="27" t="s">
        <v>208</v>
      </c>
      <c r="X217" s="30">
        <v>1</v>
      </c>
      <c r="Y217" s="30">
        <v>1</v>
      </c>
      <c r="Z217" s="30">
        <v>1</v>
      </c>
      <c r="AA217" s="30">
        <v>1</v>
      </c>
      <c r="AB217" s="30"/>
      <c r="AC217" s="30"/>
      <c r="AD217" s="30"/>
      <c r="AE217" s="30"/>
      <c r="AF217" s="30"/>
      <c r="AG217" s="30"/>
      <c r="AH217" s="30"/>
      <c r="AI217" s="30"/>
      <c r="AJ217" s="30" t="s">
        <v>69</v>
      </c>
      <c r="AK217" s="30" t="s">
        <v>95</v>
      </c>
      <c r="AL217" s="30" t="s">
        <v>41</v>
      </c>
      <c r="AM217" s="30"/>
      <c r="AN217" s="30"/>
      <c r="AO217" s="30"/>
      <c r="AP217" s="30"/>
      <c r="AQ217" s="30"/>
      <c r="AR217" s="36"/>
      <c r="AS217" s="36"/>
      <c r="AT217" s="36"/>
      <c r="AU217" s="36"/>
      <c r="AV217" s="36"/>
      <c r="AW217" s="36"/>
      <c r="AX217" s="36"/>
      <c r="AY217" s="36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27"/>
      <c r="BL217" s="27"/>
    </row>
    <row r="218" spans="1:64">
      <c r="A218" s="25" t="s">
        <v>54</v>
      </c>
      <c r="B218" s="26">
        <v>46213</v>
      </c>
      <c r="C218" s="27">
        <v>30314</v>
      </c>
      <c r="D218" s="27" t="s">
        <v>840</v>
      </c>
      <c r="E218" s="27" t="s">
        <v>841</v>
      </c>
      <c r="F218" s="27" t="s">
        <v>59</v>
      </c>
      <c r="G218" s="27" t="s">
        <v>538</v>
      </c>
      <c r="H218" s="30" t="s">
        <v>28</v>
      </c>
      <c r="I218" s="31" t="s">
        <v>842</v>
      </c>
      <c r="J218" s="30" t="s">
        <v>28</v>
      </c>
      <c r="K218" s="27">
        <v>4</v>
      </c>
      <c r="L218" s="27"/>
      <c r="M218" s="27"/>
      <c r="N218" s="31" t="s">
        <v>384</v>
      </c>
      <c r="O218" s="27"/>
      <c r="P218" s="30"/>
      <c r="Q218" s="30" t="s">
        <v>838</v>
      </c>
      <c r="R218" s="26">
        <v>46217</v>
      </c>
      <c r="S218" s="27"/>
      <c r="T218" s="31"/>
      <c r="U218" s="30" t="s">
        <v>32</v>
      </c>
      <c r="V218" s="34" t="s">
        <v>33</v>
      </c>
      <c r="W218" s="27" t="s">
        <v>85</v>
      </c>
      <c r="X218" s="30">
        <v>1</v>
      </c>
      <c r="Y218" s="30">
        <v>1</v>
      </c>
      <c r="Z218" s="30">
        <v>1</v>
      </c>
      <c r="AA218" s="30">
        <v>1</v>
      </c>
      <c r="AB218" s="30"/>
      <c r="AC218" s="30"/>
      <c r="AD218" s="30"/>
      <c r="AE218" s="30"/>
      <c r="AF218" s="30"/>
      <c r="AG218" s="30"/>
      <c r="AH218" s="30"/>
      <c r="AI218" s="30"/>
      <c r="AJ218" s="30"/>
      <c r="AK218" s="30" t="s">
        <v>69</v>
      </c>
      <c r="AL218" s="30"/>
      <c r="AM218" s="30"/>
      <c r="AN218" s="30"/>
      <c r="AO218" s="30" t="s">
        <v>260</v>
      </c>
      <c r="AP218" s="30"/>
      <c r="AQ218" s="30"/>
      <c r="AR218" s="36"/>
      <c r="AS218" s="36"/>
      <c r="AT218" s="36"/>
      <c r="AU218" s="36"/>
      <c r="AV218" s="36"/>
      <c r="AW218" s="36"/>
      <c r="AX218" s="36"/>
      <c r="AY218" s="36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27"/>
      <c r="BL218" s="27"/>
    </row>
    <row r="219" spans="1:64">
      <c r="A219" s="25" t="s">
        <v>54</v>
      </c>
      <c r="B219" s="26">
        <v>46213</v>
      </c>
      <c r="C219" s="27">
        <v>29448</v>
      </c>
      <c r="D219" s="27"/>
      <c r="E219" s="27" t="s">
        <v>58</v>
      </c>
      <c r="F219" s="27" t="s">
        <v>48</v>
      </c>
      <c r="G219" s="27" t="s">
        <v>110</v>
      </c>
      <c r="H219" s="30" t="s">
        <v>613</v>
      </c>
      <c r="I219" s="31" t="s">
        <v>614</v>
      </c>
      <c r="J219" s="30" t="s">
        <v>845</v>
      </c>
      <c r="K219" s="27">
        <v>20</v>
      </c>
      <c r="L219" s="27">
        <v>96</v>
      </c>
      <c r="M219" s="27"/>
      <c r="N219" s="31" t="s">
        <v>846</v>
      </c>
      <c r="O219" s="27"/>
      <c r="P219" s="30"/>
      <c r="Q219" s="30" t="s">
        <v>66</v>
      </c>
      <c r="R219" s="26">
        <v>46217</v>
      </c>
      <c r="S219" s="26">
        <v>46223</v>
      </c>
      <c r="T219" s="31"/>
      <c r="U219" s="30" t="s">
        <v>68</v>
      </c>
      <c r="V219" s="34" t="s">
        <v>70</v>
      </c>
      <c r="W219" s="27" t="s">
        <v>71</v>
      </c>
      <c r="X219" s="30">
        <v>1</v>
      </c>
      <c r="Y219" s="30">
        <v>1</v>
      </c>
      <c r="Z219" s="30">
        <v>1</v>
      </c>
      <c r="AA219" s="30">
        <v>3</v>
      </c>
      <c r="AB219" s="30"/>
      <c r="AC219" s="30"/>
      <c r="AD219" s="30"/>
      <c r="AE219" s="30"/>
      <c r="AF219" s="30"/>
      <c r="AG219" s="30"/>
      <c r="AH219" s="30"/>
      <c r="AI219" s="30"/>
      <c r="AJ219" s="30"/>
      <c r="AK219" s="30" t="s">
        <v>600</v>
      </c>
      <c r="AL219" s="30"/>
      <c r="AM219" s="30"/>
      <c r="AN219" s="30" t="s">
        <v>846</v>
      </c>
      <c r="AO219" s="30" t="s">
        <v>41</v>
      </c>
      <c r="AP219" s="30"/>
      <c r="AQ219" s="30"/>
      <c r="AR219" s="36"/>
      <c r="AS219" s="36"/>
      <c r="AT219" s="36"/>
      <c r="AU219" s="36"/>
      <c r="AV219" s="36"/>
      <c r="AW219" s="36"/>
      <c r="AX219" s="36"/>
      <c r="AY219" s="36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27"/>
      <c r="BL219" s="27"/>
    </row>
    <row r="220" spans="1:64">
      <c r="A220" s="25" t="s">
        <v>54</v>
      </c>
      <c r="B220" s="26">
        <v>46213</v>
      </c>
      <c r="C220" s="27">
        <v>30313</v>
      </c>
      <c r="D220" s="27"/>
      <c r="E220" s="27" t="s">
        <v>133</v>
      </c>
      <c r="F220" s="27" t="s">
        <v>59</v>
      </c>
      <c r="G220" s="27" t="s">
        <v>28</v>
      </c>
      <c r="H220" s="30" t="s">
        <v>175</v>
      </c>
      <c r="I220" s="31" t="s">
        <v>683</v>
      </c>
      <c r="J220" s="30" t="s">
        <v>848</v>
      </c>
      <c r="K220" s="27">
        <v>4</v>
      </c>
      <c r="L220" s="27"/>
      <c r="M220" s="27"/>
      <c r="N220" s="31" t="s">
        <v>95</v>
      </c>
      <c r="O220" s="27"/>
      <c r="P220" s="30"/>
      <c r="Q220" s="30" t="s">
        <v>66</v>
      </c>
      <c r="R220" s="26">
        <v>46215</v>
      </c>
      <c r="S220" s="26">
        <v>46217</v>
      </c>
      <c r="T220" s="31" t="s">
        <v>849</v>
      </c>
      <c r="U220" s="30" t="s">
        <v>68</v>
      </c>
      <c r="V220" s="34" t="s">
        <v>70</v>
      </c>
      <c r="W220" s="27" t="s">
        <v>141</v>
      </c>
      <c r="X220" s="30">
        <v>1</v>
      </c>
      <c r="Y220" s="30">
        <v>1</v>
      </c>
      <c r="Z220" s="30">
        <v>1</v>
      </c>
      <c r="AA220" s="30">
        <v>1</v>
      </c>
      <c r="AB220" s="30"/>
      <c r="AC220" s="30"/>
      <c r="AD220" s="30"/>
      <c r="AE220" s="30"/>
      <c r="AF220" s="30"/>
      <c r="AG220" s="30"/>
      <c r="AH220" s="30"/>
      <c r="AI220" s="30"/>
      <c r="AJ220" s="30"/>
      <c r="AK220" s="30" t="s">
        <v>850</v>
      </c>
      <c r="AL220" s="30"/>
      <c r="AM220" s="30" t="s">
        <v>41</v>
      </c>
      <c r="AN220" s="30"/>
      <c r="AO220" s="30"/>
      <c r="AP220" s="30"/>
      <c r="AQ220" s="30"/>
      <c r="AR220" s="36"/>
      <c r="AS220" s="36"/>
      <c r="AT220" s="36"/>
      <c r="AU220" s="36"/>
      <c r="AV220" s="36"/>
      <c r="AW220" s="36"/>
      <c r="AX220" s="36"/>
      <c r="AY220" s="36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27"/>
      <c r="BL220" s="27"/>
    </row>
    <row r="221" spans="1:64">
      <c r="A221" s="25" t="s">
        <v>54</v>
      </c>
      <c r="B221" s="26">
        <v>46213</v>
      </c>
      <c r="C221" s="27">
        <v>30105</v>
      </c>
      <c r="D221" s="27"/>
      <c r="E221" s="27" t="s">
        <v>76</v>
      </c>
      <c r="F221" s="27" t="s">
        <v>59</v>
      </c>
      <c r="G221" s="27" t="s">
        <v>28</v>
      </c>
      <c r="H221" s="30" t="s">
        <v>234</v>
      </c>
      <c r="I221" s="31" t="s">
        <v>851</v>
      </c>
      <c r="J221" s="30" t="s">
        <v>852</v>
      </c>
      <c r="K221" s="27">
        <v>2</v>
      </c>
      <c r="L221" s="27"/>
      <c r="M221" s="27"/>
      <c r="N221" s="31" t="s">
        <v>94</v>
      </c>
      <c r="O221" s="27"/>
      <c r="P221" s="30"/>
      <c r="Q221" s="30" t="s">
        <v>853</v>
      </c>
      <c r="R221" s="26">
        <v>46217</v>
      </c>
      <c r="S221" s="26">
        <v>46218</v>
      </c>
      <c r="T221" s="31"/>
      <c r="U221" s="30" t="s">
        <v>68</v>
      </c>
      <c r="V221" s="34" t="s">
        <v>70</v>
      </c>
      <c r="W221" s="27" t="s">
        <v>85</v>
      </c>
      <c r="X221" s="30">
        <v>1</v>
      </c>
      <c r="Y221" s="30">
        <v>1</v>
      </c>
      <c r="Z221" s="30">
        <v>1</v>
      </c>
      <c r="AA221" s="30">
        <v>1</v>
      </c>
      <c r="AB221" s="30"/>
      <c r="AC221" s="30"/>
      <c r="AD221" s="30"/>
      <c r="AE221" s="30"/>
      <c r="AF221" s="30"/>
      <c r="AG221" s="30"/>
      <c r="AH221" s="30"/>
      <c r="AI221" s="30"/>
      <c r="AJ221" s="30"/>
      <c r="AK221" s="30" t="s">
        <v>69</v>
      </c>
      <c r="AL221" s="30"/>
      <c r="AM221" s="30"/>
      <c r="AN221" s="30"/>
      <c r="AO221" s="30" t="s">
        <v>105</v>
      </c>
      <c r="AP221" s="30"/>
      <c r="AQ221" s="30"/>
      <c r="AR221" s="36"/>
      <c r="AS221" s="36"/>
      <c r="AT221" s="36"/>
      <c r="AU221" s="36"/>
      <c r="AV221" s="36"/>
      <c r="AW221" s="36"/>
      <c r="AX221" s="36"/>
      <c r="AY221" s="36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27"/>
      <c r="BL221" s="27"/>
    </row>
    <row r="222" spans="1:64">
      <c r="A222" s="25" t="s">
        <v>54</v>
      </c>
      <c r="B222" s="26">
        <v>46213</v>
      </c>
      <c r="C222" s="27">
        <v>30106</v>
      </c>
      <c r="D222" s="27"/>
      <c r="E222" s="27" t="s">
        <v>76</v>
      </c>
      <c r="F222" s="27" t="s">
        <v>59</v>
      </c>
      <c r="G222" s="27" t="s">
        <v>28</v>
      </c>
      <c r="H222" s="30" t="s">
        <v>606</v>
      </c>
      <c r="I222" s="31" t="s">
        <v>854</v>
      </c>
      <c r="J222" s="30" t="s">
        <v>855</v>
      </c>
      <c r="K222" s="27">
        <v>18</v>
      </c>
      <c r="L222" s="27">
        <v>183</v>
      </c>
      <c r="M222" s="27"/>
      <c r="N222" s="31" t="s">
        <v>95</v>
      </c>
      <c r="O222" s="27"/>
      <c r="P222" s="30"/>
      <c r="Q222" s="30" t="s">
        <v>66</v>
      </c>
      <c r="R222" s="26">
        <v>46215</v>
      </c>
      <c r="S222" s="26">
        <v>46217</v>
      </c>
      <c r="T222" s="31"/>
      <c r="U222" s="30" t="s">
        <v>68</v>
      </c>
      <c r="V222" s="34" t="s">
        <v>70</v>
      </c>
      <c r="W222" s="27" t="s">
        <v>85</v>
      </c>
      <c r="X222" s="30">
        <v>1</v>
      </c>
      <c r="Y222" s="30">
        <v>1</v>
      </c>
      <c r="Z222" s="30">
        <v>1</v>
      </c>
      <c r="AA222" s="30">
        <v>1</v>
      </c>
      <c r="AB222" s="30"/>
      <c r="AC222" s="30"/>
      <c r="AD222" s="30"/>
      <c r="AE222" s="30"/>
      <c r="AF222" s="30"/>
      <c r="AG222" s="30"/>
      <c r="AH222" s="30"/>
      <c r="AI222" s="30"/>
      <c r="AJ222" s="30"/>
      <c r="AK222" s="30" t="s">
        <v>640</v>
      </c>
      <c r="AL222" s="30"/>
      <c r="AM222" s="30" t="s">
        <v>41</v>
      </c>
      <c r="AN222" s="30"/>
      <c r="AO222" s="30"/>
      <c r="AP222" s="30"/>
      <c r="AQ222" s="30"/>
      <c r="AR222" s="36"/>
      <c r="AS222" s="36"/>
      <c r="AT222" s="36"/>
      <c r="AU222" s="36"/>
      <c r="AV222" s="36"/>
      <c r="AW222" s="36"/>
      <c r="AX222" s="36"/>
      <c r="AY222" s="36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27"/>
      <c r="BL222" s="27"/>
    </row>
    <row r="223" spans="1:64">
      <c r="A223" s="25" t="s">
        <v>54</v>
      </c>
      <c r="B223" s="26">
        <v>46213</v>
      </c>
      <c r="C223" s="27">
        <v>30107</v>
      </c>
      <c r="D223" s="27"/>
      <c r="E223" s="27" t="s">
        <v>76</v>
      </c>
      <c r="F223" s="27" t="s">
        <v>59</v>
      </c>
      <c r="G223" s="27" t="s">
        <v>28</v>
      </c>
      <c r="H223" s="30" t="s">
        <v>170</v>
      </c>
      <c r="I223" s="31" t="s">
        <v>856</v>
      </c>
      <c r="J223" s="30" t="s">
        <v>857</v>
      </c>
      <c r="K223" s="27">
        <v>18</v>
      </c>
      <c r="L223" s="27">
        <v>360</v>
      </c>
      <c r="M223" s="27"/>
      <c r="N223" s="31" t="s">
        <v>858</v>
      </c>
      <c r="O223" s="27"/>
      <c r="P223" s="30"/>
      <c r="Q223" s="30" t="s">
        <v>859</v>
      </c>
      <c r="R223" s="26">
        <v>46217</v>
      </c>
      <c r="S223" s="26">
        <v>46219</v>
      </c>
      <c r="T223" s="31"/>
      <c r="U223" s="30" t="s">
        <v>32</v>
      </c>
      <c r="V223" s="34" t="s">
        <v>33</v>
      </c>
      <c r="W223" s="27" t="s">
        <v>85</v>
      </c>
      <c r="X223" s="30">
        <v>1</v>
      </c>
      <c r="Y223" s="30">
        <v>1</v>
      </c>
      <c r="Z223" s="30">
        <v>1</v>
      </c>
      <c r="AA223" s="30">
        <v>1</v>
      </c>
      <c r="AB223" s="30"/>
      <c r="AC223" s="30"/>
      <c r="AD223" s="30"/>
      <c r="AE223" s="30"/>
      <c r="AF223" s="30"/>
      <c r="AG223" s="30"/>
      <c r="AH223" s="30"/>
      <c r="AI223" s="30"/>
      <c r="AJ223" s="30"/>
      <c r="AK223" s="30" t="s">
        <v>69</v>
      </c>
      <c r="AL223" s="30"/>
      <c r="AM223" s="30"/>
      <c r="AN223" s="30" t="s">
        <v>858</v>
      </c>
      <c r="AO223" s="30" t="s">
        <v>41</v>
      </c>
      <c r="AP223" s="30"/>
      <c r="AQ223" s="30"/>
      <c r="AR223" s="36"/>
      <c r="AS223" s="36"/>
      <c r="AT223" s="36"/>
      <c r="AU223" s="36"/>
      <c r="AV223" s="36"/>
      <c r="AW223" s="36"/>
      <c r="AX223" s="36"/>
      <c r="AY223" s="36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27"/>
      <c r="BL223" s="27"/>
    </row>
    <row r="224" spans="1:64">
      <c r="A224" s="25" t="s">
        <v>54</v>
      </c>
      <c r="B224" s="26">
        <v>46213</v>
      </c>
      <c r="C224" s="27">
        <v>30108</v>
      </c>
      <c r="D224" s="27"/>
      <c r="E224" s="27" t="s">
        <v>76</v>
      </c>
      <c r="F224" s="27" t="s">
        <v>59</v>
      </c>
      <c r="G224" s="27" t="s">
        <v>28</v>
      </c>
      <c r="H224" s="30" t="s">
        <v>134</v>
      </c>
      <c r="I224" s="31" t="s">
        <v>711</v>
      </c>
      <c r="J224" s="30" t="s">
        <v>860</v>
      </c>
      <c r="K224" s="27">
        <v>2</v>
      </c>
      <c r="L224" s="27"/>
      <c r="M224" s="27"/>
      <c r="N224" s="31"/>
      <c r="O224" s="27"/>
      <c r="P224" s="30"/>
      <c r="Q224" s="30" t="s">
        <v>861</v>
      </c>
      <c r="R224" s="26">
        <v>46214</v>
      </c>
      <c r="S224" s="26">
        <v>46216</v>
      </c>
      <c r="T224" s="31"/>
      <c r="U224" s="30" t="s">
        <v>68</v>
      </c>
      <c r="V224" s="34" t="s">
        <v>70</v>
      </c>
      <c r="W224" s="27" t="s">
        <v>85</v>
      </c>
      <c r="X224" s="30">
        <v>1</v>
      </c>
      <c r="Y224" s="30">
        <v>1</v>
      </c>
      <c r="Z224" s="30">
        <v>1</v>
      </c>
      <c r="AA224" s="30">
        <v>1</v>
      </c>
      <c r="AB224" s="30"/>
      <c r="AC224" s="30"/>
      <c r="AD224" s="30"/>
      <c r="AE224" s="30"/>
      <c r="AF224" s="30"/>
      <c r="AG224" s="30"/>
      <c r="AH224" s="30"/>
      <c r="AI224" s="30"/>
      <c r="AJ224" s="30"/>
      <c r="AK224" s="30" t="s">
        <v>69</v>
      </c>
      <c r="AL224" s="30"/>
      <c r="AM224" s="30"/>
      <c r="AN224" s="30"/>
      <c r="AO224" s="30"/>
      <c r="AP224" s="30"/>
      <c r="AQ224" s="30"/>
      <c r="AR224" s="36"/>
      <c r="AS224" s="36"/>
      <c r="AT224" s="36"/>
      <c r="AU224" s="36"/>
      <c r="AV224" s="36"/>
      <c r="AW224" s="36"/>
      <c r="AX224" s="36"/>
      <c r="AY224" s="36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27"/>
      <c r="BL224" s="27"/>
    </row>
    <row r="225" spans="1:64">
      <c r="A225" s="25" t="s">
        <v>54</v>
      </c>
      <c r="B225" s="26">
        <v>46213</v>
      </c>
      <c r="C225" s="27">
        <v>30109</v>
      </c>
      <c r="D225" s="27"/>
      <c r="E225" s="27" t="s">
        <v>76</v>
      </c>
      <c r="F225" s="27" t="s">
        <v>59</v>
      </c>
      <c r="G225" s="27" t="s">
        <v>28</v>
      </c>
      <c r="H225" s="30" t="s">
        <v>862</v>
      </c>
      <c r="I225" s="31" t="s">
        <v>863</v>
      </c>
      <c r="J225" s="30" t="s">
        <v>864</v>
      </c>
      <c r="K225" s="27">
        <v>3</v>
      </c>
      <c r="L225" s="27">
        <v>100</v>
      </c>
      <c r="M225" s="27"/>
      <c r="N225" s="31" t="s">
        <v>95</v>
      </c>
      <c r="O225" s="27"/>
      <c r="P225" s="30"/>
      <c r="Q225" s="30" t="s">
        <v>861</v>
      </c>
      <c r="R225" s="26">
        <v>46214</v>
      </c>
      <c r="S225" s="26">
        <v>46217</v>
      </c>
      <c r="T225" s="31"/>
      <c r="U225" s="30" t="s">
        <v>68</v>
      </c>
      <c r="V225" s="34" t="s">
        <v>70</v>
      </c>
      <c r="W225" s="27" t="s">
        <v>85</v>
      </c>
      <c r="X225" s="30">
        <v>1</v>
      </c>
      <c r="Y225" s="30">
        <v>1</v>
      </c>
      <c r="Z225" s="30">
        <v>1</v>
      </c>
      <c r="AA225" s="30">
        <v>1</v>
      </c>
      <c r="AB225" s="30"/>
      <c r="AC225" s="30"/>
      <c r="AD225" s="30"/>
      <c r="AE225" s="30"/>
      <c r="AF225" s="30"/>
      <c r="AG225" s="30"/>
      <c r="AH225" s="30"/>
      <c r="AI225" s="30"/>
      <c r="AJ225" s="30"/>
      <c r="AK225" s="30" t="s">
        <v>640</v>
      </c>
      <c r="AL225" s="30" t="s">
        <v>41</v>
      </c>
      <c r="AM225" s="30"/>
      <c r="AN225" s="30"/>
      <c r="AO225" s="30"/>
      <c r="AP225" s="30"/>
      <c r="AQ225" s="30"/>
      <c r="AR225" s="36"/>
      <c r="AS225" s="36"/>
      <c r="AT225" s="36"/>
      <c r="AU225" s="36"/>
      <c r="AV225" s="36"/>
      <c r="AW225" s="36"/>
      <c r="AX225" s="36"/>
      <c r="AY225" s="36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27"/>
      <c r="BL225" s="27"/>
    </row>
    <row r="226" spans="1:64">
      <c r="A226" s="25" t="s">
        <v>54</v>
      </c>
      <c r="B226" s="26">
        <v>46213</v>
      </c>
      <c r="C226" s="27">
        <v>30315</v>
      </c>
      <c r="D226" s="27"/>
      <c r="E226" s="27" t="s">
        <v>367</v>
      </c>
      <c r="F226" s="27" t="s">
        <v>59</v>
      </c>
      <c r="G226" s="27" t="s">
        <v>104</v>
      </c>
      <c r="H226" s="30" t="s">
        <v>315</v>
      </c>
      <c r="I226" s="31" t="s">
        <v>502</v>
      </c>
      <c r="J226" s="30" t="s">
        <v>246</v>
      </c>
      <c r="K226" s="27">
        <v>6</v>
      </c>
      <c r="L226" s="27">
        <v>210</v>
      </c>
      <c r="M226" s="27"/>
      <c r="N226" s="31" t="s">
        <v>740</v>
      </c>
      <c r="O226" s="27"/>
      <c r="P226" s="30"/>
      <c r="Q226" s="30" t="s">
        <v>861</v>
      </c>
      <c r="R226" s="26">
        <v>46217</v>
      </c>
      <c r="S226" s="26">
        <v>46218</v>
      </c>
      <c r="T226" s="31"/>
      <c r="U226" s="30" t="s">
        <v>32</v>
      </c>
      <c r="V226" s="34" t="s">
        <v>33</v>
      </c>
      <c r="W226" s="27" t="s">
        <v>320</v>
      </c>
      <c r="X226" s="30">
        <v>1</v>
      </c>
      <c r="Y226" s="30">
        <v>1</v>
      </c>
      <c r="Z226" s="30">
        <v>1</v>
      </c>
      <c r="AA226" s="30">
        <v>1</v>
      </c>
      <c r="AB226" s="30"/>
      <c r="AC226" s="30"/>
      <c r="AD226" s="30"/>
      <c r="AE226" s="30"/>
      <c r="AF226" s="30"/>
      <c r="AG226" s="30"/>
      <c r="AH226" s="30"/>
      <c r="AI226" s="30"/>
      <c r="AJ226" s="30"/>
      <c r="AK226" s="30" t="s">
        <v>69</v>
      </c>
      <c r="AL226" s="30" t="s">
        <v>866</v>
      </c>
      <c r="AM226" s="30"/>
      <c r="AN226" s="30" t="s">
        <v>740</v>
      </c>
      <c r="AO226" s="30" t="s">
        <v>41</v>
      </c>
      <c r="AP226" s="30"/>
      <c r="AQ226" s="30"/>
      <c r="AR226" s="36"/>
      <c r="AS226" s="36"/>
      <c r="AT226" s="36"/>
      <c r="AU226" s="36"/>
      <c r="AV226" s="36"/>
      <c r="AW226" s="36"/>
      <c r="AX226" s="36"/>
      <c r="AY226" s="36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27"/>
      <c r="BL226" s="27"/>
    </row>
    <row r="227" spans="1:64">
      <c r="A227" s="25" t="s">
        <v>54</v>
      </c>
      <c r="B227" s="26">
        <v>46213</v>
      </c>
      <c r="C227" s="27">
        <v>30322</v>
      </c>
      <c r="D227" s="27"/>
      <c r="E227" s="27" t="s">
        <v>465</v>
      </c>
      <c r="F227" s="27" t="s">
        <v>59</v>
      </c>
      <c r="G227" s="27" t="s">
        <v>60</v>
      </c>
      <c r="H227" s="30" t="s">
        <v>61</v>
      </c>
      <c r="I227" s="31" t="s">
        <v>867</v>
      </c>
      <c r="J227" s="30" t="s">
        <v>61</v>
      </c>
      <c r="K227" s="27">
        <v>44</v>
      </c>
      <c r="L227" s="27">
        <v>120</v>
      </c>
      <c r="M227" s="27"/>
      <c r="N227" s="31" t="s">
        <v>115</v>
      </c>
      <c r="O227" s="27"/>
      <c r="P227" s="30"/>
      <c r="Q227" s="30" t="s">
        <v>66</v>
      </c>
      <c r="R227" s="26">
        <v>46217</v>
      </c>
      <c r="S227" s="26">
        <v>46225</v>
      </c>
      <c r="T227" s="31"/>
      <c r="U227" s="30" t="s">
        <v>68</v>
      </c>
      <c r="V227" s="34" t="s">
        <v>70</v>
      </c>
      <c r="W227" s="27" t="s">
        <v>71</v>
      </c>
      <c r="X227" s="30">
        <v>1</v>
      </c>
      <c r="Y227" s="30">
        <v>1</v>
      </c>
      <c r="Z227" s="30">
        <v>1</v>
      </c>
      <c r="AA227" s="30">
        <v>2</v>
      </c>
      <c r="AB227" s="30"/>
      <c r="AC227" s="30"/>
      <c r="AD227" s="30"/>
      <c r="AE227" s="30"/>
      <c r="AF227" s="30"/>
      <c r="AG227" s="30"/>
      <c r="AH227" s="30"/>
      <c r="AI227" s="30"/>
      <c r="AJ227" s="30"/>
      <c r="AK227" s="30" t="s">
        <v>69</v>
      </c>
      <c r="AL227" s="30" t="s">
        <v>866</v>
      </c>
      <c r="AM227" s="30"/>
      <c r="AN227" s="30" t="s">
        <v>868</v>
      </c>
      <c r="AO227" s="30" t="s">
        <v>119</v>
      </c>
      <c r="AP227" s="30"/>
      <c r="AQ227" s="30"/>
      <c r="AR227" s="36"/>
      <c r="AS227" s="36"/>
      <c r="AT227" s="36"/>
      <c r="AU227" s="36"/>
      <c r="AV227" s="36"/>
      <c r="AW227" s="36"/>
      <c r="AX227" s="36"/>
      <c r="AY227" s="36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27"/>
      <c r="BL227" s="27"/>
    </row>
    <row r="228" spans="1:64">
      <c r="A228" s="25" t="s">
        <v>54</v>
      </c>
      <c r="B228" s="26">
        <v>46213</v>
      </c>
      <c r="C228" s="27">
        <v>30166</v>
      </c>
      <c r="D228" s="27"/>
      <c r="E228" s="27" t="s">
        <v>230</v>
      </c>
      <c r="F228" s="27" t="s">
        <v>59</v>
      </c>
      <c r="G228" s="27" t="s">
        <v>104</v>
      </c>
      <c r="H228" s="30" t="s">
        <v>447</v>
      </c>
      <c r="I228" s="31" t="s">
        <v>869</v>
      </c>
      <c r="J228" s="30" t="s">
        <v>870</v>
      </c>
      <c r="K228" s="27">
        <v>38</v>
      </c>
      <c r="L228" s="27">
        <v>753</v>
      </c>
      <c r="M228" s="27"/>
      <c r="N228" s="31" t="s">
        <v>602</v>
      </c>
      <c r="O228" s="27"/>
      <c r="P228" s="30"/>
      <c r="Q228" s="30" t="s">
        <v>66</v>
      </c>
      <c r="R228" s="26">
        <v>46217</v>
      </c>
      <c r="S228" s="26">
        <v>46219</v>
      </c>
      <c r="T228" s="31"/>
      <c r="U228" s="30" t="s">
        <v>68</v>
      </c>
      <c r="V228" s="34" t="s">
        <v>70</v>
      </c>
      <c r="W228" s="27" t="s">
        <v>230</v>
      </c>
      <c r="X228" s="30">
        <v>1</v>
      </c>
      <c r="Y228" s="30">
        <v>1</v>
      </c>
      <c r="Z228" s="30">
        <v>1</v>
      </c>
      <c r="AA228" s="30">
        <v>1</v>
      </c>
      <c r="AB228" s="30"/>
      <c r="AC228" s="30"/>
      <c r="AD228" s="30"/>
      <c r="AE228" s="30"/>
      <c r="AF228" s="30"/>
      <c r="AG228" s="30"/>
      <c r="AH228" s="30"/>
      <c r="AI228" s="30"/>
      <c r="AJ228" s="30"/>
      <c r="AK228" s="30" t="s">
        <v>69</v>
      </c>
      <c r="AL228" s="30"/>
      <c r="AM228" s="30"/>
      <c r="AN228" s="30" t="s">
        <v>602</v>
      </c>
      <c r="AO228" s="30" t="s">
        <v>41</v>
      </c>
      <c r="AP228" s="30"/>
      <c r="AQ228" s="30"/>
      <c r="AR228" s="36"/>
      <c r="AS228" s="36"/>
      <c r="AT228" s="36"/>
      <c r="AU228" s="36"/>
      <c r="AV228" s="36"/>
      <c r="AW228" s="36"/>
      <c r="AX228" s="36"/>
      <c r="AY228" s="36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27"/>
      <c r="BL228" s="27"/>
    </row>
    <row r="229" spans="1:64">
      <c r="A229" s="25" t="s">
        <v>54</v>
      </c>
      <c r="B229" s="26">
        <v>46213</v>
      </c>
      <c r="C229" s="27">
        <v>30185</v>
      </c>
      <c r="D229" s="27"/>
      <c r="E229" s="27" t="s">
        <v>212</v>
      </c>
      <c r="F229" s="27" t="s">
        <v>59</v>
      </c>
      <c r="G229" s="27" t="s">
        <v>104</v>
      </c>
      <c r="H229" s="30" t="s">
        <v>309</v>
      </c>
      <c r="I229" s="31" t="s">
        <v>871</v>
      </c>
      <c r="J229" s="30" t="s">
        <v>309</v>
      </c>
      <c r="K229" s="27">
        <v>1</v>
      </c>
      <c r="L229" s="27" t="s">
        <v>205</v>
      </c>
      <c r="M229" s="27"/>
      <c r="N229" s="31" t="s">
        <v>602</v>
      </c>
      <c r="O229" s="27"/>
      <c r="P229" s="30"/>
      <c r="Q229" s="30" t="s">
        <v>434</v>
      </c>
      <c r="R229" s="26">
        <v>46216</v>
      </c>
      <c r="S229" s="26">
        <v>46219</v>
      </c>
      <c r="T229" s="31"/>
      <c r="U229" s="30" t="s">
        <v>68</v>
      </c>
      <c r="V229" s="34" t="s">
        <v>70</v>
      </c>
      <c r="W229" s="27" t="s">
        <v>208</v>
      </c>
      <c r="X229" s="30">
        <v>1</v>
      </c>
      <c r="Y229" s="30">
        <v>1</v>
      </c>
      <c r="Z229" s="30">
        <v>1</v>
      </c>
      <c r="AA229" s="30">
        <v>1</v>
      </c>
      <c r="AB229" s="30"/>
      <c r="AC229" s="30"/>
      <c r="AD229" s="30"/>
      <c r="AE229" s="30"/>
      <c r="AF229" s="30"/>
      <c r="AG229" s="30"/>
      <c r="AH229" s="30"/>
      <c r="AI229" s="30"/>
      <c r="AJ229" s="30"/>
      <c r="AK229" s="30" t="s">
        <v>69</v>
      </c>
      <c r="AL229" s="30"/>
      <c r="AM229" s="30"/>
      <c r="AN229" s="30" t="s">
        <v>631</v>
      </c>
      <c r="AO229" s="30"/>
      <c r="AP229" s="30"/>
      <c r="AQ229" s="30"/>
      <c r="AR229" s="36"/>
      <c r="AS229" s="36"/>
      <c r="AT229" s="36"/>
      <c r="AU229" s="36"/>
      <c r="AV229" s="36"/>
      <c r="AW229" s="36"/>
      <c r="AX229" s="36"/>
      <c r="AY229" s="36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27"/>
      <c r="BL229" s="27"/>
    </row>
    <row r="230" spans="1:64">
      <c r="A230" s="25" t="s">
        <v>54</v>
      </c>
      <c r="B230" s="26">
        <v>46213</v>
      </c>
      <c r="C230" s="27">
        <v>30180</v>
      </c>
      <c r="D230" s="27"/>
      <c r="E230" s="27" t="s">
        <v>212</v>
      </c>
      <c r="F230" s="27" t="s">
        <v>59</v>
      </c>
      <c r="G230" s="27" t="s">
        <v>104</v>
      </c>
      <c r="H230" s="30" t="s">
        <v>383</v>
      </c>
      <c r="I230" s="31" t="s">
        <v>872</v>
      </c>
      <c r="J230" s="30" t="s">
        <v>28</v>
      </c>
      <c r="K230" s="27">
        <v>1</v>
      </c>
      <c r="L230" s="27" t="s">
        <v>214</v>
      </c>
      <c r="M230" s="27"/>
      <c r="N230" s="31" t="s">
        <v>384</v>
      </c>
      <c r="O230" s="27"/>
      <c r="P230" s="30"/>
      <c r="Q230" s="30" t="s">
        <v>873</v>
      </c>
      <c r="R230" s="26">
        <v>46214</v>
      </c>
      <c r="S230" s="26">
        <v>46216</v>
      </c>
      <c r="T230" s="31"/>
      <c r="U230" s="30" t="s">
        <v>68</v>
      </c>
      <c r="V230" s="34" t="s">
        <v>70</v>
      </c>
      <c r="W230" s="27" t="s">
        <v>208</v>
      </c>
      <c r="X230" s="30">
        <v>1</v>
      </c>
      <c r="Y230" s="30">
        <v>1</v>
      </c>
      <c r="Z230" s="30">
        <v>1</v>
      </c>
      <c r="AA230" s="30">
        <v>1</v>
      </c>
      <c r="AB230" s="30"/>
      <c r="AC230" s="30"/>
      <c r="AD230" s="30"/>
      <c r="AE230" s="30"/>
      <c r="AF230" s="30"/>
      <c r="AG230" s="30"/>
      <c r="AH230" s="30"/>
      <c r="AI230" s="30"/>
      <c r="AJ230" s="30"/>
      <c r="AK230" s="30" t="s">
        <v>69</v>
      </c>
      <c r="AL230" s="30" t="s">
        <v>387</v>
      </c>
      <c r="AM230" s="30"/>
      <c r="AN230" s="30"/>
      <c r="AO230" s="30"/>
      <c r="AP230" s="30"/>
      <c r="AQ230" s="30"/>
      <c r="AR230" s="36"/>
      <c r="AS230" s="36"/>
      <c r="AT230" s="36"/>
      <c r="AU230" s="36"/>
      <c r="AV230" s="36"/>
      <c r="AW230" s="36"/>
      <c r="AX230" s="36"/>
      <c r="AY230" s="36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27"/>
      <c r="BL230" s="27"/>
    </row>
    <row r="231" spans="1:64">
      <c r="A231" s="25" t="s">
        <v>54</v>
      </c>
      <c r="B231" s="26">
        <v>46213</v>
      </c>
      <c r="C231" s="27">
        <v>30179</v>
      </c>
      <c r="D231" s="27"/>
      <c r="E231" s="27" t="s">
        <v>203</v>
      </c>
      <c r="F231" s="27" t="s">
        <v>59</v>
      </c>
      <c r="G231" s="27" t="s">
        <v>104</v>
      </c>
      <c r="H231" s="30" t="s">
        <v>60</v>
      </c>
      <c r="I231" s="31" t="s">
        <v>647</v>
      </c>
      <c r="J231" s="30" t="s">
        <v>60</v>
      </c>
      <c r="K231" s="27">
        <v>1</v>
      </c>
      <c r="L231" s="27" t="s">
        <v>205</v>
      </c>
      <c r="M231" s="27"/>
      <c r="N231" s="31" t="s">
        <v>297</v>
      </c>
      <c r="O231" s="27"/>
      <c r="P231" s="30"/>
      <c r="Q231" s="30" t="s">
        <v>434</v>
      </c>
      <c r="R231" s="26">
        <v>46214</v>
      </c>
      <c r="S231" s="26">
        <v>46216</v>
      </c>
      <c r="T231" s="31"/>
      <c r="U231" s="30" t="s">
        <v>68</v>
      </c>
      <c r="V231" s="34" t="s">
        <v>70</v>
      </c>
      <c r="W231" s="27" t="s">
        <v>208</v>
      </c>
      <c r="X231" s="30">
        <v>1</v>
      </c>
      <c r="Y231" s="30">
        <v>1</v>
      </c>
      <c r="Z231" s="30">
        <v>1</v>
      </c>
      <c r="AA231" s="30">
        <v>1</v>
      </c>
      <c r="AB231" s="30"/>
      <c r="AC231" s="30"/>
      <c r="AD231" s="30"/>
      <c r="AE231" s="30"/>
      <c r="AF231" s="30"/>
      <c r="AG231" s="30"/>
      <c r="AH231" s="30"/>
      <c r="AI231" s="30"/>
      <c r="AJ231" s="30"/>
      <c r="AK231" s="30" t="s">
        <v>69</v>
      </c>
      <c r="AL231" s="30" t="s">
        <v>428</v>
      </c>
      <c r="AM231" s="30"/>
      <c r="AN231" s="30"/>
      <c r="AO231" s="30"/>
      <c r="AP231" s="30"/>
      <c r="AQ231" s="30"/>
      <c r="AR231" s="36"/>
      <c r="AS231" s="36"/>
      <c r="AT231" s="36"/>
      <c r="AU231" s="36"/>
      <c r="AV231" s="36"/>
      <c r="AW231" s="36"/>
      <c r="AX231" s="36"/>
      <c r="AY231" s="36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27"/>
      <c r="BL231" s="27"/>
    </row>
    <row r="232" spans="1:64">
      <c r="A232" s="25" t="s">
        <v>54</v>
      </c>
      <c r="B232" s="26">
        <v>46213</v>
      </c>
      <c r="C232" s="27">
        <v>30184</v>
      </c>
      <c r="D232" s="27"/>
      <c r="E232" s="27" t="s">
        <v>203</v>
      </c>
      <c r="F232" s="27" t="s">
        <v>59</v>
      </c>
      <c r="G232" s="27" t="s">
        <v>104</v>
      </c>
      <c r="H232" s="30" t="s">
        <v>383</v>
      </c>
      <c r="I232" s="31" t="s">
        <v>874</v>
      </c>
      <c r="J232" s="30" t="s">
        <v>28</v>
      </c>
      <c r="K232" s="27">
        <v>1</v>
      </c>
      <c r="L232" s="27" t="s">
        <v>205</v>
      </c>
      <c r="M232" s="27"/>
      <c r="N232" s="31" t="s">
        <v>384</v>
      </c>
      <c r="O232" s="27"/>
      <c r="P232" s="30"/>
      <c r="Q232" s="30" t="s">
        <v>875</v>
      </c>
      <c r="R232" s="26">
        <v>46214</v>
      </c>
      <c r="S232" s="26">
        <v>46216</v>
      </c>
      <c r="T232" s="31"/>
      <c r="U232" s="30" t="s">
        <v>68</v>
      </c>
      <c r="V232" s="34" t="s">
        <v>70</v>
      </c>
      <c r="W232" s="27" t="s">
        <v>208</v>
      </c>
      <c r="X232" s="30">
        <v>1</v>
      </c>
      <c r="Y232" s="30">
        <v>1</v>
      </c>
      <c r="Z232" s="30">
        <v>1</v>
      </c>
      <c r="AA232" s="30">
        <v>1</v>
      </c>
      <c r="AB232" s="30"/>
      <c r="AC232" s="30"/>
      <c r="AD232" s="30"/>
      <c r="AE232" s="30"/>
      <c r="AF232" s="30"/>
      <c r="AG232" s="30"/>
      <c r="AH232" s="30"/>
      <c r="AI232" s="30"/>
      <c r="AJ232" s="30"/>
      <c r="AK232" s="30" t="s">
        <v>69</v>
      </c>
      <c r="AL232" s="30" t="s">
        <v>387</v>
      </c>
      <c r="AM232" s="30"/>
      <c r="AN232" s="30"/>
      <c r="AO232" s="30"/>
      <c r="AP232" s="30"/>
      <c r="AQ232" s="30"/>
      <c r="AR232" s="36"/>
      <c r="AS232" s="36"/>
      <c r="AT232" s="36"/>
      <c r="AU232" s="36"/>
      <c r="AV232" s="36"/>
      <c r="AW232" s="36"/>
      <c r="AX232" s="36"/>
      <c r="AY232" s="36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27"/>
      <c r="BL232" s="27"/>
    </row>
    <row r="233" spans="1:64">
      <c r="A233" s="25" t="s">
        <v>54</v>
      </c>
      <c r="B233" s="26">
        <v>46213</v>
      </c>
      <c r="C233" s="27">
        <v>30182</v>
      </c>
      <c r="D233" s="27"/>
      <c r="E233" s="27" t="s">
        <v>203</v>
      </c>
      <c r="F233" s="27" t="s">
        <v>59</v>
      </c>
      <c r="G233" s="27" t="s">
        <v>104</v>
      </c>
      <c r="H233" s="30" t="s">
        <v>106</v>
      </c>
      <c r="I233" s="31" t="s">
        <v>876</v>
      </c>
      <c r="J233" s="30" t="s">
        <v>106</v>
      </c>
      <c r="K233" s="27">
        <v>1</v>
      </c>
      <c r="L233" s="27" t="s">
        <v>214</v>
      </c>
      <c r="M233" s="27"/>
      <c r="N233" s="31" t="s">
        <v>95</v>
      </c>
      <c r="O233" s="27"/>
      <c r="P233" s="30"/>
      <c r="Q233" s="30" t="s">
        <v>434</v>
      </c>
      <c r="R233" s="26">
        <v>46216</v>
      </c>
      <c r="S233" s="26">
        <v>46217</v>
      </c>
      <c r="T233" s="31"/>
      <c r="U233" s="30" t="s">
        <v>68</v>
      </c>
      <c r="V233" s="34" t="s">
        <v>70</v>
      </c>
      <c r="W233" s="27"/>
      <c r="X233" s="30">
        <v>1</v>
      </c>
      <c r="Y233" s="30">
        <v>1</v>
      </c>
      <c r="Z233" s="30">
        <v>1</v>
      </c>
      <c r="AA233" s="30">
        <v>1</v>
      </c>
      <c r="AB233" s="30"/>
      <c r="AC233" s="30"/>
      <c r="AD233" s="30"/>
      <c r="AE233" s="30"/>
      <c r="AF233" s="30"/>
      <c r="AG233" s="30"/>
      <c r="AH233" s="30"/>
      <c r="AI233" s="30"/>
      <c r="AJ233" s="30"/>
      <c r="AK233" s="30" t="s">
        <v>850</v>
      </c>
      <c r="AL233" s="30"/>
      <c r="AM233" s="30"/>
      <c r="AN233" s="30" t="s">
        <v>41</v>
      </c>
      <c r="AO233" s="30"/>
      <c r="AP233" s="30"/>
      <c r="AQ233" s="30"/>
      <c r="AR233" s="36"/>
      <c r="AS233" s="36"/>
      <c r="AT233" s="36"/>
      <c r="AU233" s="36"/>
      <c r="AV233" s="36"/>
      <c r="AW233" s="36"/>
      <c r="AX233" s="36"/>
      <c r="AY233" s="36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27"/>
      <c r="BL233" s="27"/>
    </row>
    <row r="234" spans="1:64">
      <c r="A234" s="25" t="s">
        <v>54</v>
      </c>
      <c r="B234" s="26">
        <v>46213</v>
      </c>
      <c r="C234" s="27">
        <v>30183</v>
      </c>
      <c r="D234" s="27"/>
      <c r="E234" s="27" t="s">
        <v>203</v>
      </c>
      <c r="F234" s="27" t="s">
        <v>59</v>
      </c>
      <c r="G234" s="27" t="s">
        <v>104</v>
      </c>
      <c r="H234" s="30" t="s">
        <v>538</v>
      </c>
      <c r="I234" s="31" t="s">
        <v>877</v>
      </c>
      <c r="J234" s="30" t="s">
        <v>538</v>
      </c>
      <c r="K234" s="27">
        <v>1</v>
      </c>
      <c r="L234" s="27" t="s">
        <v>205</v>
      </c>
      <c r="M234" s="27"/>
      <c r="N234" s="31" t="s">
        <v>297</v>
      </c>
      <c r="O234" s="27"/>
      <c r="P234" s="30"/>
      <c r="Q234" s="30" t="s">
        <v>434</v>
      </c>
      <c r="R234" s="26">
        <v>46214</v>
      </c>
      <c r="S234" s="26">
        <v>46216</v>
      </c>
      <c r="T234" s="31"/>
      <c r="U234" s="30" t="s">
        <v>68</v>
      </c>
      <c r="V234" s="34" t="s">
        <v>70</v>
      </c>
      <c r="W234" s="27" t="s">
        <v>208</v>
      </c>
      <c r="X234" s="30">
        <v>1</v>
      </c>
      <c r="Y234" s="30">
        <v>1</v>
      </c>
      <c r="Z234" s="30">
        <v>1</v>
      </c>
      <c r="AA234" s="30">
        <v>1</v>
      </c>
      <c r="AB234" s="30"/>
      <c r="AC234" s="30"/>
      <c r="AD234" s="30"/>
      <c r="AE234" s="30"/>
      <c r="AF234" s="30"/>
      <c r="AG234" s="30"/>
      <c r="AH234" s="30"/>
      <c r="AI234" s="30"/>
      <c r="AJ234" s="30"/>
      <c r="AK234" s="30" t="s">
        <v>878</v>
      </c>
      <c r="AL234" s="30" t="s">
        <v>428</v>
      </c>
      <c r="AM234" s="30"/>
      <c r="AN234" s="30"/>
      <c r="AO234" s="30"/>
      <c r="AP234" s="30"/>
      <c r="AQ234" s="30"/>
      <c r="AR234" s="36"/>
      <c r="AS234" s="36"/>
      <c r="AT234" s="36"/>
      <c r="AU234" s="36"/>
      <c r="AV234" s="36"/>
      <c r="AW234" s="36"/>
      <c r="AX234" s="36"/>
      <c r="AY234" s="36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27"/>
      <c r="BL234" s="27"/>
    </row>
    <row r="235" spans="1:64">
      <c r="A235" s="25" t="s">
        <v>54</v>
      </c>
      <c r="B235" s="26">
        <v>46213</v>
      </c>
      <c r="C235" s="27">
        <v>30186</v>
      </c>
      <c r="D235" s="27"/>
      <c r="E235" s="27" t="s">
        <v>233</v>
      </c>
      <c r="F235" s="27" t="s">
        <v>59</v>
      </c>
      <c r="G235" s="27" t="s">
        <v>104</v>
      </c>
      <c r="H235" s="30" t="s">
        <v>60</v>
      </c>
      <c r="I235" s="31" t="s">
        <v>879</v>
      </c>
      <c r="J235" s="30" t="s">
        <v>60</v>
      </c>
      <c r="K235" s="27">
        <v>1</v>
      </c>
      <c r="L235" s="27" t="s">
        <v>205</v>
      </c>
      <c r="M235" s="27"/>
      <c r="N235" s="31" t="s">
        <v>297</v>
      </c>
      <c r="O235" s="27"/>
      <c r="P235" s="30"/>
      <c r="Q235" s="30" t="s">
        <v>434</v>
      </c>
      <c r="R235" s="26">
        <v>46214</v>
      </c>
      <c r="S235" s="26">
        <v>46216</v>
      </c>
      <c r="T235" s="31"/>
      <c r="U235" s="30" t="s">
        <v>68</v>
      </c>
      <c r="V235" s="34" t="s">
        <v>70</v>
      </c>
      <c r="W235" s="27" t="s">
        <v>208</v>
      </c>
      <c r="X235" s="30">
        <v>1</v>
      </c>
      <c r="Y235" s="30">
        <v>1</v>
      </c>
      <c r="Z235" s="30">
        <v>1</v>
      </c>
      <c r="AA235" s="30">
        <v>1</v>
      </c>
      <c r="AB235" s="30"/>
      <c r="AC235" s="30"/>
      <c r="AD235" s="30"/>
      <c r="AE235" s="30"/>
      <c r="AF235" s="30"/>
      <c r="AG235" s="30"/>
      <c r="AH235" s="30"/>
      <c r="AI235" s="30"/>
      <c r="AJ235" s="30"/>
      <c r="AK235" s="30" t="s">
        <v>878</v>
      </c>
      <c r="AL235" s="30" t="s">
        <v>428</v>
      </c>
      <c r="AM235" s="30"/>
      <c r="AN235" s="30"/>
      <c r="AO235" s="30"/>
      <c r="AP235" s="30"/>
      <c r="AQ235" s="30"/>
      <c r="AR235" s="36"/>
      <c r="AS235" s="36"/>
      <c r="AT235" s="36"/>
      <c r="AU235" s="36"/>
      <c r="AV235" s="36"/>
      <c r="AW235" s="36"/>
      <c r="AX235" s="36"/>
      <c r="AY235" s="36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27"/>
      <c r="BL235" s="27"/>
    </row>
    <row r="236" spans="1:64">
      <c r="A236" s="25" t="s">
        <v>54</v>
      </c>
      <c r="B236" s="26">
        <v>46213</v>
      </c>
      <c r="C236" s="27">
        <v>30181</v>
      </c>
      <c r="D236" s="27"/>
      <c r="E236" s="27" t="s">
        <v>203</v>
      </c>
      <c r="F236" s="27" t="s">
        <v>59</v>
      </c>
      <c r="G236" s="27" t="s">
        <v>104</v>
      </c>
      <c r="H236" s="30" t="s">
        <v>383</v>
      </c>
      <c r="I236" s="31" t="s">
        <v>880</v>
      </c>
      <c r="J236" s="30" t="s">
        <v>28</v>
      </c>
      <c r="K236" s="27">
        <v>1</v>
      </c>
      <c r="L236" s="27" t="s">
        <v>205</v>
      </c>
      <c r="M236" s="27"/>
      <c r="N236" s="31" t="s">
        <v>384</v>
      </c>
      <c r="O236" s="27"/>
      <c r="P236" s="30"/>
      <c r="Q236" s="30" t="s">
        <v>881</v>
      </c>
      <c r="R236" s="26">
        <v>46214</v>
      </c>
      <c r="S236" s="26">
        <v>46216</v>
      </c>
      <c r="T236" s="31"/>
      <c r="U236" s="30" t="s">
        <v>68</v>
      </c>
      <c r="V236" s="34" t="s">
        <v>70</v>
      </c>
      <c r="W236" s="27" t="s">
        <v>208</v>
      </c>
      <c r="X236" s="30">
        <v>1</v>
      </c>
      <c r="Y236" s="30">
        <v>1</v>
      </c>
      <c r="Z236" s="30">
        <v>1</v>
      </c>
      <c r="AA236" s="30">
        <v>1</v>
      </c>
      <c r="AB236" s="30"/>
      <c r="AC236" s="30"/>
      <c r="AD236" s="30"/>
      <c r="AE236" s="30"/>
      <c r="AF236" s="30"/>
      <c r="AG236" s="30"/>
      <c r="AH236" s="30"/>
      <c r="AI236" s="30"/>
      <c r="AJ236" s="30"/>
      <c r="AK236" s="30" t="s">
        <v>878</v>
      </c>
      <c r="AL236" s="30" t="s">
        <v>387</v>
      </c>
      <c r="AM236" s="30"/>
      <c r="AN236" s="30"/>
      <c r="AO236" s="30"/>
      <c r="AP236" s="30"/>
      <c r="AQ236" s="30"/>
      <c r="AR236" s="36"/>
      <c r="AS236" s="36"/>
      <c r="AT236" s="36"/>
      <c r="AU236" s="36"/>
      <c r="AV236" s="36"/>
      <c r="AW236" s="36"/>
      <c r="AX236" s="36"/>
      <c r="AY236" s="36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27"/>
      <c r="BL236" s="27"/>
    </row>
    <row r="237" spans="1:64">
      <c r="A237" s="25" t="s">
        <v>54</v>
      </c>
      <c r="B237" s="26">
        <v>46213</v>
      </c>
      <c r="C237" s="27">
        <v>30178</v>
      </c>
      <c r="D237" s="27"/>
      <c r="E237" s="27" t="s">
        <v>212</v>
      </c>
      <c r="F237" s="27" t="s">
        <v>59</v>
      </c>
      <c r="G237" s="27" t="s">
        <v>104</v>
      </c>
      <c r="H237" s="30" t="s">
        <v>151</v>
      </c>
      <c r="I237" s="31" t="s">
        <v>882</v>
      </c>
      <c r="J237" s="30" t="s">
        <v>151</v>
      </c>
      <c r="K237" s="27">
        <v>1</v>
      </c>
      <c r="L237" s="27" t="s">
        <v>214</v>
      </c>
      <c r="M237" s="27"/>
      <c r="N237" s="31" t="s">
        <v>95</v>
      </c>
      <c r="O237" s="27"/>
      <c r="P237" s="30"/>
      <c r="Q237" s="30" t="s">
        <v>434</v>
      </c>
      <c r="R237" s="26">
        <v>46214</v>
      </c>
      <c r="S237" s="26">
        <v>46217</v>
      </c>
      <c r="T237" s="31"/>
      <c r="U237" s="30" t="s">
        <v>68</v>
      </c>
      <c r="V237" s="34" t="s">
        <v>70</v>
      </c>
      <c r="W237" s="27" t="s">
        <v>208</v>
      </c>
      <c r="X237" s="30">
        <v>1</v>
      </c>
      <c r="Y237" s="30">
        <v>1</v>
      </c>
      <c r="Z237" s="30">
        <v>1</v>
      </c>
      <c r="AA237" s="30">
        <v>1</v>
      </c>
      <c r="AB237" s="30"/>
      <c r="AC237" s="30"/>
      <c r="AD237" s="30"/>
      <c r="AE237" s="30"/>
      <c r="AF237" s="30"/>
      <c r="AG237" s="30"/>
      <c r="AH237" s="30"/>
      <c r="AI237" s="30"/>
      <c r="AJ237" s="30"/>
      <c r="AK237" s="30" t="s">
        <v>95</v>
      </c>
      <c r="AL237" s="30" t="s">
        <v>41</v>
      </c>
      <c r="AM237" s="30"/>
      <c r="AN237" s="30"/>
      <c r="AO237" s="30"/>
      <c r="AP237" s="30"/>
      <c r="AQ237" s="30"/>
      <c r="AR237" s="36"/>
      <c r="AS237" s="36"/>
      <c r="AT237" s="36"/>
      <c r="AU237" s="36"/>
      <c r="AV237" s="36"/>
      <c r="AW237" s="36"/>
      <c r="AX237" s="36"/>
      <c r="AY237" s="36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27"/>
      <c r="BL237" s="27"/>
    </row>
    <row r="238" spans="1:64">
      <c r="A238" s="25" t="s">
        <v>187</v>
      </c>
      <c r="B238" s="26">
        <v>46213</v>
      </c>
      <c r="C238" s="27">
        <v>27064</v>
      </c>
      <c r="D238" s="27"/>
      <c r="E238" s="27" t="s">
        <v>883</v>
      </c>
      <c r="F238" s="27" t="s">
        <v>59</v>
      </c>
      <c r="G238" s="27" t="s">
        <v>60</v>
      </c>
      <c r="H238" s="30" t="s">
        <v>884</v>
      </c>
      <c r="I238" s="31" t="s">
        <v>885</v>
      </c>
      <c r="J238" s="30" t="s">
        <v>886</v>
      </c>
      <c r="K238" s="27">
        <v>3</v>
      </c>
      <c r="L238" s="27"/>
      <c r="M238" s="27"/>
      <c r="N238" s="31"/>
      <c r="O238" s="27" t="s">
        <v>272</v>
      </c>
      <c r="P238" s="30"/>
      <c r="Q238" s="30"/>
      <c r="R238" s="27"/>
      <c r="S238" s="27"/>
      <c r="T238" s="59" t="s">
        <v>887</v>
      </c>
      <c r="U238" s="30" t="s">
        <v>626</v>
      </c>
      <c r="V238" s="34" t="s">
        <v>627</v>
      </c>
      <c r="W238" s="27" t="s">
        <v>888</v>
      </c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 t="s">
        <v>69</v>
      </c>
      <c r="AL238" s="30"/>
      <c r="AM238" s="30"/>
      <c r="AN238" s="30" t="s">
        <v>600</v>
      </c>
      <c r="AO238" s="30"/>
      <c r="AP238" s="30"/>
      <c r="AQ238" s="30"/>
      <c r="AR238" s="36"/>
      <c r="AS238" s="36"/>
      <c r="AT238" s="36"/>
      <c r="AU238" s="36"/>
      <c r="AV238" s="36"/>
      <c r="AW238" s="36"/>
      <c r="AX238" s="36"/>
      <c r="AY238" s="36"/>
      <c r="AZ238" s="30"/>
      <c r="BA238" s="30"/>
      <c r="BB238" s="30"/>
      <c r="BC238" s="27" t="s">
        <v>272</v>
      </c>
      <c r="BD238" s="30"/>
      <c r="BE238" s="30"/>
      <c r="BF238" s="30"/>
      <c r="BG238" s="30"/>
      <c r="BH238" s="30"/>
      <c r="BI238" s="30"/>
      <c r="BJ238" s="30"/>
      <c r="BK238" s="27"/>
      <c r="BL238" s="27"/>
    </row>
    <row r="239" spans="1:64">
      <c r="A239" s="25" t="s">
        <v>187</v>
      </c>
      <c r="B239" s="26">
        <v>46213</v>
      </c>
      <c r="C239" s="27">
        <v>30332</v>
      </c>
      <c r="D239" s="27" t="s">
        <v>889</v>
      </c>
      <c r="E239" s="27" t="s">
        <v>101</v>
      </c>
      <c r="F239" s="27" t="s">
        <v>59</v>
      </c>
      <c r="G239" s="27" t="s">
        <v>294</v>
      </c>
      <c r="H239" s="30" t="s">
        <v>276</v>
      </c>
      <c r="I239" s="31" t="s">
        <v>890</v>
      </c>
      <c r="J239" s="30" t="s">
        <v>891</v>
      </c>
      <c r="K239" s="27">
        <v>204</v>
      </c>
      <c r="L239" s="27">
        <v>297</v>
      </c>
      <c r="M239" s="27"/>
      <c r="N239" s="31"/>
      <c r="O239" s="27" t="s">
        <v>302</v>
      </c>
      <c r="P239" s="30"/>
      <c r="Q239" s="30" t="s">
        <v>328</v>
      </c>
      <c r="R239" s="26">
        <v>46218</v>
      </c>
      <c r="S239" s="26">
        <v>46237</v>
      </c>
      <c r="T239" s="31"/>
      <c r="U239" s="30" t="s">
        <v>68</v>
      </c>
      <c r="V239" s="34" t="s">
        <v>70</v>
      </c>
      <c r="W239" s="27" t="s">
        <v>101</v>
      </c>
      <c r="X239" s="30">
        <v>1</v>
      </c>
      <c r="Y239" s="30">
        <v>1</v>
      </c>
      <c r="Z239" s="30">
        <v>1</v>
      </c>
      <c r="AA239" s="30">
        <v>2</v>
      </c>
      <c r="AB239" s="30"/>
      <c r="AC239" s="30"/>
      <c r="AD239" s="30"/>
      <c r="AE239" s="30"/>
      <c r="AF239" s="30"/>
      <c r="AG239" s="30"/>
      <c r="AH239" s="30"/>
      <c r="AI239" s="30"/>
      <c r="AJ239" s="30"/>
      <c r="AK239" s="30" t="s">
        <v>69</v>
      </c>
      <c r="AL239" s="30"/>
      <c r="AM239" s="30"/>
      <c r="AN239" s="30" t="s">
        <v>302</v>
      </c>
      <c r="AO239" s="30"/>
      <c r="AP239" s="30" t="s">
        <v>90</v>
      </c>
      <c r="AQ239" s="30"/>
      <c r="AR239" s="36"/>
      <c r="AS239" s="36"/>
      <c r="AT239" s="36"/>
      <c r="AU239" s="36"/>
      <c r="AV239" s="36"/>
      <c r="AW239" s="36"/>
      <c r="AX239" s="36"/>
      <c r="AY239" s="36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27"/>
      <c r="BL239" s="27"/>
    </row>
    <row r="240" spans="1:64">
      <c r="A240" s="25" t="s">
        <v>54</v>
      </c>
      <c r="B240" s="26">
        <v>46213</v>
      </c>
      <c r="C240" s="27">
        <v>30314</v>
      </c>
      <c r="D240" s="27" t="s">
        <v>892</v>
      </c>
      <c r="E240" s="27" t="s">
        <v>893</v>
      </c>
      <c r="F240" s="27" t="s">
        <v>59</v>
      </c>
      <c r="G240" s="27" t="s">
        <v>538</v>
      </c>
      <c r="H240" s="30" t="s">
        <v>28</v>
      </c>
      <c r="I240" s="31" t="s">
        <v>842</v>
      </c>
      <c r="J240" s="30" t="s">
        <v>28</v>
      </c>
      <c r="K240" s="27">
        <v>4</v>
      </c>
      <c r="L240" s="27">
        <v>100</v>
      </c>
      <c r="M240" s="27"/>
      <c r="N240" s="31" t="s">
        <v>258</v>
      </c>
      <c r="O240" s="27"/>
      <c r="P240" s="30"/>
      <c r="Q240" s="30" t="s">
        <v>66</v>
      </c>
      <c r="R240" s="26">
        <v>46217</v>
      </c>
      <c r="S240" s="26">
        <v>46218</v>
      </c>
      <c r="T240" s="31"/>
      <c r="U240" s="30" t="s">
        <v>68</v>
      </c>
      <c r="V240" s="34" t="s">
        <v>70</v>
      </c>
      <c r="W240" s="27" t="s">
        <v>85</v>
      </c>
      <c r="X240" s="30">
        <v>1</v>
      </c>
      <c r="Y240" s="30">
        <v>1</v>
      </c>
      <c r="Z240" s="30">
        <v>1</v>
      </c>
      <c r="AA240" s="30">
        <v>1</v>
      </c>
      <c r="AB240" s="30"/>
      <c r="AC240" s="30"/>
      <c r="AD240" s="30"/>
      <c r="AE240" s="30"/>
      <c r="AF240" s="30"/>
      <c r="AG240" s="30"/>
      <c r="AH240" s="30"/>
      <c r="AI240" s="30"/>
      <c r="AJ240" s="30"/>
      <c r="AK240" s="30" t="s">
        <v>69</v>
      </c>
      <c r="AL240" s="30"/>
      <c r="AM240" s="30"/>
      <c r="AN240" s="30"/>
      <c r="AO240" s="30" t="s">
        <v>894</v>
      </c>
      <c r="AP240" s="30"/>
      <c r="AQ240" s="30"/>
      <c r="AR240" s="36"/>
      <c r="AS240" s="36"/>
      <c r="AT240" s="36"/>
      <c r="AU240" s="36"/>
      <c r="AV240" s="36"/>
      <c r="AW240" s="36"/>
      <c r="AX240" s="36"/>
      <c r="AY240" s="36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27"/>
      <c r="BL240" s="27"/>
    </row>
    <row r="241" spans="1:64">
      <c r="A241" s="25"/>
      <c r="B241" s="26">
        <v>46213</v>
      </c>
      <c r="C241" s="27">
        <v>5503</v>
      </c>
      <c r="D241" s="27" t="s">
        <v>895</v>
      </c>
      <c r="E241" s="27" t="s">
        <v>896</v>
      </c>
      <c r="F241" s="27" t="s">
        <v>59</v>
      </c>
      <c r="G241" s="27" t="s">
        <v>57</v>
      </c>
      <c r="H241" s="30" t="s">
        <v>104</v>
      </c>
      <c r="I241" s="31" t="s">
        <v>586</v>
      </c>
      <c r="J241" s="30" t="s">
        <v>383</v>
      </c>
      <c r="K241" s="27">
        <v>3</v>
      </c>
      <c r="L241" s="27">
        <v>10</v>
      </c>
      <c r="M241" s="27"/>
      <c r="N241" s="31" t="s">
        <v>595</v>
      </c>
      <c r="O241" s="27"/>
      <c r="P241" s="30"/>
      <c r="Q241" s="30" t="s">
        <v>897</v>
      </c>
      <c r="R241" s="26">
        <v>46220</v>
      </c>
      <c r="S241" s="26">
        <v>46223</v>
      </c>
      <c r="T241" s="31"/>
      <c r="U241" s="30" t="s">
        <v>68</v>
      </c>
      <c r="V241" s="34" t="s">
        <v>70</v>
      </c>
      <c r="W241" s="27" t="s">
        <v>336</v>
      </c>
      <c r="X241" s="30">
        <v>1</v>
      </c>
      <c r="Y241" s="30">
        <v>1</v>
      </c>
      <c r="Z241" s="30">
        <v>1</v>
      </c>
      <c r="AA241" s="30">
        <v>1</v>
      </c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6" t="s">
        <v>546</v>
      </c>
      <c r="AS241" s="36"/>
      <c r="AT241" s="36"/>
      <c r="AU241" s="36"/>
      <c r="AV241" s="36"/>
      <c r="AW241" s="36"/>
      <c r="AX241" s="36"/>
      <c r="AY241" s="36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27"/>
      <c r="BL241" s="27"/>
    </row>
    <row r="242" spans="1:64">
      <c r="A242" s="25" t="s">
        <v>54</v>
      </c>
      <c r="B242" s="26">
        <v>46214</v>
      </c>
      <c r="C242" s="27">
        <v>138819</v>
      </c>
      <c r="D242" s="27"/>
      <c r="E242" s="27" t="s">
        <v>574</v>
      </c>
      <c r="F242" s="27" t="s">
        <v>59</v>
      </c>
      <c r="G242" s="27" t="s">
        <v>294</v>
      </c>
      <c r="H242" s="30" t="s">
        <v>110</v>
      </c>
      <c r="I242" s="31" t="s">
        <v>565</v>
      </c>
      <c r="J242" s="30" t="s">
        <v>110</v>
      </c>
      <c r="K242" s="27">
        <v>21</v>
      </c>
      <c r="L242" s="27">
        <v>264</v>
      </c>
      <c r="M242" s="27">
        <v>569</v>
      </c>
      <c r="N242" s="31" t="s">
        <v>898</v>
      </c>
      <c r="O242" s="27"/>
      <c r="P242" s="30"/>
      <c r="Q242" s="30" t="s">
        <v>66</v>
      </c>
      <c r="R242" s="26">
        <v>46217</v>
      </c>
      <c r="S242" s="27"/>
      <c r="T242" s="31"/>
      <c r="U242" s="30" t="s">
        <v>899</v>
      </c>
      <c r="V242" s="34" t="s">
        <v>900</v>
      </c>
      <c r="W242" s="27" t="s">
        <v>284</v>
      </c>
      <c r="X242" s="30">
        <v>1</v>
      </c>
      <c r="Y242" s="30">
        <v>1</v>
      </c>
      <c r="Z242" s="30">
        <v>1</v>
      </c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 t="s">
        <v>866</v>
      </c>
      <c r="AM242" s="30"/>
      <c r="AN242" s="30" t="s">
        <v>600</v>
      </c>
      <c r="AO242" s="30" t="s">
        <v>901</v>
      </c>
      <c r="AP242" s="30"/>
      <c r="AQ242" s="30"/>
      <c r="AR242" s="36"/>
      <c r="AS242" s="36"/>
      <c r="AT242" s="36"/>
      <c r="AU242" s="36"/>
      <c r="AV242" s="36"/>
      <c r="AW242" s="36"/>
      <c r="AX242" s="36"/>
      <c r="AY242" s="36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27"/>
      <c r="BL242" s="27"/>
    </row>
    <row r="243" spans="1:64">
      <c r="A243" s="25" t="s">
        <v>187</v>
      </c>
      <c r="B243" s="26">
        <v>46214</v>
      </c>
      <c r="C243" s="27">
        <v>30321</v>
      </c>
      <c r="D243" s="27"/>
      <c r="E243" s="27" t="s">
        <v>367</v>
      </c>
      <c r="F243" s="27" t="s">
        <v>59</v>
      </c>
      <c r="G243" s="27" t="s">
        <v>294</v>
      </c>
      <c r="H243" s="30" t="s">
        <v>902</v>
      </c>
      <c r="I243" s="31" t="s">
        <v>903</v>
      </c>
      <c r="J243" s="30" t="s">
        <v>904</v>
      </c>
      <c r="K243" s="27">
        <v>10</v>
      </c>
      <c r="L243" s="27">
        <v>350</v>
      </c>
      <c r="M243" s="27"/>
      <c r="N243" s="31"/>
      <c r="O243" s="27" t="s">
        <v>302</v>
      </c>
      <c r="P243" s="30"/>
      <c r="Q243" s="30" t="s">
        <v>905</v>
      </c>
      <c r="R243" s="26">
        <v>46217</v>
      </c>
      <c r="S243" s="26">
        <v>46237</v>
      </c>
      <c r="T243" s="31"/>
      <c r="U243" s="30" t="s">
        <v>68</v>
      </c>
      <c r="V243" s="34" t="s">
        <v>70</v>
      </c>
      <c r="W243" s="27" t="s">
        <v>320</v>
      </c>
      <c r="X243" s="30">
        <v>1</v>
      </c>
      <c r="Y243" s="30">
        <v>1</v>
      </c>
      <c r="Z243" s="30">
        <v>1</v>
      </c>
      <c r="AA243" s="30">
        <v>2</v>
      </c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 t="s">
        <v>69</v>
      </c>
      <c r="AM243" s="30" t="s">
        <v>302</v>
      </c>
      <c r="AN243" s="30"/>
      <c r="AO243" s="30" t="s">
        <v>906</v>
      </c>
      <c r="AP243" s="30"/>
      <c r="AQ243" s="30"/>
      <c r="AR243" s="36"/>
      <c r="AS243" s="36"/>
      <c r="AT243" s="36"/>
      <c r="AU243" s="36"/>
      <c r="AV243" s="36"/>
      <c r="AW243" s="36"/>
      <c r="AX243" s="36"/>
      <c r="AY243" s="36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27"/>
      <c r="BL243" s="27"/>
    </row>
    <row r="244" spans="1:64">
      <c r="A244" s="25" t="s">
        <v>187</v>
      </c>
      <c r="B244" s="26">
        <v>46214</v>
      </c>
      <c r="C244" s="27">
        <v>30320</v>
      </c>
      <c r="D244" s="27"/>
      <c r="E244" s="27" t="s">
        <v>367</v>
      </c>
      <c r="F244" s="27" t="s">
        <v>59</v>
      </c>
      <c r="G244" s="27" t="s">
        <v>294</v>
      </c>
      <c r="H244" s="30" t="s">
        <v>907</v>
      </c>
      <c r="I244" s="31" t="s">
        <v>908</v>
      </c>
      <c r="J244" s="30" t="s">
        <v>907</v>
      </c>
      <c r="K244" s="27">
        <v>10</v>
      </c>
      <c r="L244" s="27">
        <v>350</v>
      </c>
      <c r="M244" s="27"/>
      <c r="N244" s="31"/>
      <c r="O244" s="27" t="s">
        <v>302</v>
      </c>
      <c r="P244" s="30"/>
      <c r="Q244" s="30" t="s">
        <v>909</v>
      </c>
      <c r="R244" s="26">
        <v>46217</v>
      </c>
      <c r="S244" s="26">
        <v>46237</v>
      </c>
      <c r="T244" s="31"/>
      <c r="U244" s="30" t="s">
        <v>68</v>
      </c>
      <c r="V244" s="34" t="s">
        <v>70</v>
      </c>
      <c r="W244" s="27" t="s">
        <v>320</v>
      </c>
      <c r="X244" s="30">
        <v>1</v>
      </c>
      <c r="Y244" s="30">
        <v>1</v>
      </c>
      <c r="Z244" s="30">
        <v>1</v>
      </c>
      <c r="AA244" s="30">
        <v>2</v>
      </c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 t="s">
        <v>69</v>
      </c>
      <c r="AM244" s="30" t="s">
        <v>302</v>
      </c>
      <c r="AN244" s="30"/>
      <c r="AO244" s="30" t="s">
        <v>90</v>
      </c>
      <c r="AP244" s="30"/>
      <c r="AQ244" s="30"/>
      <c r="AR244" s="36"/>
      <c r="AS244" s="36"/>
      <c r="AT244" s="36"/>
      <c r="AU244" s="36"/>
      <c r="AV244" s="36"/>
      <c r="AW244" s="36"/>
      <c r="AX244" s="36"/>
      <c r="AY244" s="36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27"/>
      <c r="BL244" s="27"/>
    </row>
    <row r="245" spans="1:64">
      <c r="A245" s="25" t="s">
        <v>187</v>
      </c>
      <c r="B245" s="26">
        <v>46214</v>
      </c>
      <c r="C245" s="27">
        <v>30319</v>
      </c>
      <c r="D245" s="27"/>
      <c r="E245" s="27" t="s">
        <v>367</v>
      </c>
      <c r="F245" s="27" t="s">
        <v>59</v>
      </c>
      <c r="G245" s="27" t="s">
        <v>294</v>
      </c>
      <c r="H245" s="30" t="s">
        <v>254</v>
      </c>
      <c r="I245" s="31" t="s">
        <v>911</v>
      </c>
      <c r="J245" s="30" t="s">
        <v>254</v>
      </c>
      <c r="K245" s="27">
        <v>5</v>
      </c>
      <c r="L245" s="27">
        <v>176</v>
      </c>
      <c r="M245" s="27"/>
      <c r="N245" s="31"/>
      <c r="O245" s="27" t="s">
        <v>302</v>
      </c>
      <c r="P245" s="30"/>
      <c r="Q245" s="30" t="s">
        <v>912</v>
      </c>
      <c r="R245" s="26">
        <v>46226</v>
      </c>
      <c r="S245" s="27"/>
      <c r="T245" s="31"/>
      <c r="U245" s="30" t="s">
        <v>419</v>
      </c>
      <c r="V245" s="34" t="s">
        <v>90</v>
      </c>
      <c r="W245" s="27" t="s">
        <v>320</v>
      </c>
      <c r="X245" s="30">
        <v>2</v>
      </c>
      <c r="Y245" s="30">
        <v>2</v>
      </c>
      <c r="Z245" s="30">
        <v>2</v>
      </c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 t="s">
        <v>69</v>
      </c>
      <c r="AM245" s="30"/>
      <c r="AN245" s="30" t="s">
        <v>302</v>
      </c>
      <c r="AO245" s="30"/>
      <c r="AP245" s="30"/>
      <c r="AQ245" s="30"/>
      <c r="AR245" s="36"/>
      <c r="AS245" s="36"/>
      <c r="AT245" s="36"/>
      <c r="AU245" s="36"/>
      <c r="AV245" s="36"/>
      <c r="AW245" s="36"/>
      <c r="AX245" s="36" t="s">
        <v>90</v>
      </c>
      <c r="AY245" s="36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27"/>
      <c r="BL245" s="27"/>
    </row>
    <row r="246" spans="1:64">
      <c r="A246" s="25" t="s">
        <v>187</v>
      </c>
      <c r="B246" s="26">
        <v>46214</v>
      </c>
      <c r="C246" s="27">
        <v>30318</v>
      </c>
      <c r="D246" s="27"/>
      <c r="E246" s="27" t="s">
        <v>367</v>
      </c>
      <c r="F246" s="27" t="s">
        <v>59</v>
      </c>
      <c r="G246" s="27" t="s">
        <v>294</v>
      </c>
      <c r="H246" s="30" t="s">
        <v>486</v>
      </c>
      <c r="I246" s="31" t="s">
        <v>913</v>
      </c>
      <c r="J246" s="30" t="s">
        <v>486</v>
      </c>
      <c r="K246" s="27">
        <v>3</v>
      </c>
      <c r="L246" s="27">
        <v>95</v>
      </c>
      <c r="M246" s="27"/>
      <c r="N246" s="31"/>
      <c r="O246" s="27" t="s">
        <v>272</v>
      </c>
      <c r="P246" s="30"/>
      <c r="Q246" s="30" t="s">
        <v>914</v>
      </c>
      <c r="R246" s="26">
        <v>46223</v>
      </c>
      <c r="S246" s="62">
        <v>46238</v>
      </c>
      <c r="T246" s="59"/>
      <c r="U246" s="30" t="s">
        <v>68</v>
      </c>
      <c r="V246" s="34" t="s">
        <v>70</v>
      </c>
      <c r="W246" s="27" t="s">
        <v>320</v>
      </c>
      <c r="X246" s="30"/>
      <c r="Y246" s="30"/>
      <c r="Z246" s="30"/>
      <c r="AA246" s="30">
        <v>2</v>
      </c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 t="s">
        <v>915</v>
      </c>
      <c r="AM246" s="30"/>
      <c r="AN246" s="30" t="s">
        <v>868</v>
      </c>
      <c r="AO246" s="30"/>
      <c r="AP246" s="30" t="s">
        <v>272</v>
      </c>
      <c r="AQ246" s="30"/>
      <c r="AR246" s="36"/>
      <c r="AS246" s="36"/>
      <c r="AT246" s="36"/>
      <c r="AU246" s="36" t="s">
        <v>90</v>
      </c>
      <c r="AV246" s="36"/>
      <c r="AW246" s="36"/>
      <c r="AX246" s="36"/>
      <c r="AY246" s="36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27"/>
      <c r="BL246" s="27"/>
    </row>
    <row r="247" spans="1:64">
      <c r="A247" s="25" t="s">
        <v>187</v>
      </c>
      <c r="B247" s="26">
        <v>46214</v>
      </c>
      <c r="C247" s="27">
        <v>30317</v>
      </c>
      <c r="D247" s="27"/>
      <c r="E247" s="27" t="s">
        <v>367</v>
      </c>
      <c r="F247" s="27" t="s">
        <v>59</v>
      </c>
      <c r="G247" s="27" t="s">
        <v>294</v>
      </c>
      <c r="H247" s="30" t="s">
        <v>480</v>
      </c>
      <c r="I247" s="31" t="s">
        <v>916</v>
      </c>
      <c r="J247" s="30" t="s">
        <v>622</v>
      </c>
      <c r="K247" s="27">
        <v>3</v>
      </c>
      <c r="L247" s="27">
        <v>95</v>
      </c>
      <c r="M247" s="27"/>
      <c r="N247" s="31"/>
      <c r="O247" s="27" t="s">
        <v>272</v>
      </c>
      <c r="P247" s="30"/>
      <c r="Q247" s="30"/>
      <c r="R247" s="27"/>
      <c r="S247" s="27"/>
      <c r="T247" s="59" t="s">
        <v>625</v>
      </c>
      <c r="U247" s="30" t="s">
        <v>626</v>
      </c>
      <c r="V247" s="34" t="s">
        <v>627</v>
      </c>
      <c r="W247" s="27" t="s">
        <v>320</v>
      </c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 t="s">
        <v>915</v>
      </c>
      <c r="AM247" s="30"/>
      <c r="AN247" s="30" t="s">
        <v>868</v>
      </c>
      <c r="AO247" s="30"/>
      <c r="AP247" s="30" t="s">
        <v>272</v>
      </c>
      <c r="AQ247" s="30"/>
      <c r="AR247" s="36"/>
      <c r="AS247" s="36"/>
      <c r="AT247" s="36"/>
      <c r="AU247" s="36"/>
      <c r="AV247" s="36"/>
      <c r="AW247" s="36"/>
      <c r="AX247" s="36"/>
      <c r="AY247" s="36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27"/>
      <c r="BL247" s="27"/>
    </row>
    <row r="248" spans="1:64">
      <c r="A248" s="25" t="s">
        <v>54</v>
      </c>
      <c r="B248" s="26">
        <v>46214</v>
      </c>
      <c r="C248" s="27">
        <v>30316</v>
      </c>
      <c r="D248" s="27"/>
      <c r="E248" s="27" t="s">
        <v>367</v>
      </c>
      <c r="F248" s="27" t="s">
        <v>59</v>
      </c>
      <c r="G248" s="27" t="s">
        <v>294</v>
      </c>
      <c r="H248" s="30" t="s">
        <v>403</v>
      </c>
      <c r="I248" s="31" t="s">
        <v>917</v>
      </c>
      <c r="J248" s="30" t="s">
        <v>403</v>
      </c>
      <c r="K248" s="27">
        <v>2</v>
      </c>
      <c r="L248" s="27">
        <v>65</v>
      </c>
      <c r="M248" s="27"/>
      <c r="N248" s="31" t="s">
        <v>124</v>
      </c>
      <c r="O248" s="27"/>
      <c r="P248" s="30"/>
      <c r="Q248" s="30" t="s">
        <v>66</v>
      </c>
      <c r="R248" s="26">
        <v>46219</v>
      </c>
      <c r="S248" s="26">
        <v>46228</v>
      </c>
      <c r="T248" s="31"/>
      <c r="U248" s="30" t="s">
        <v>68</v>
      </c>
      <c r="V248" s="34" t="s">
        <v>70</v>
      </c>
      <c r="W248" s="27" t="s">
        <v>320</v>
      </c>
      <c r="X248" s="30">
        <v>3</v>
      </c>
      <c r="Y248" s="30">
        <v>1</v>
      </c>
      <c r="Z248" s="30">
        <v>1</v>
      </c>
      <c r="AA248" s="30">
        <v>2</v>
      </c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 t="s">
        <v>915</v>
      </c>
      <c r="AM248" s="30"/>
      <c r="AN248" s="30" t="s">
        <v>868</v>
      </c>
      <c r="AO248" s="30" t="s">
        <v>124</v>
      </c>
      <c r="AP248" s="30"/>
      <c r="AQ248" s="30" t="s">
        <v>41</v>
      </c>
      <c r="AR248" s="36"/>
      <c r="AS248" s="36"/>
      <c r="AT248" s="36"/>
      <c r="AU248" s="36"/>
      <c r="AV248" s="36"/>
      <c r="AW248" s="36"/>
      <c r="AX248" s="36"/>
      <c r="AY248" s="36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27"/>
      <c r="BL248" s="27"/>
    </row>
    <row r="249" spans="1:64">
      <c r="A249" s="25" t="s">
        <v>54</v>
      </c>
      <c r="B249" s="26">
        <v>46214</v>
      </c>
      <c r="C249" s="27">
        <v>30191</v>
      </c>
      <c r="D249" s="27"/>
      <c r="E249" s="27" t="s">
        <v>203</v>
      </c>
      <c r="F249" s="27" t="s">
        <v>59</v>
      </c>
      <c r="G249" s="27" t="s">
        <v>294</v>
      </c>
      <c r="H249" s="30" t="s">
        <v>309</v>
      </c>
      <c r="I249" s="31" t="s">
        <v>632</v>
      </c>
      <c r="J249" s="30" t="s">
        <v>170</v>
      </c>
      <c r="K249" s="27">
        <v>1</v>
      </c>
      <c r="L249" s="27" t="s">
        <v>214</v>
      </c>
      <c r="M249" s="27"/>
      <c r="N249" s="31" t="s">
        <v>602</v>
      </c>
      <c r="O249" s="27"/>
      <c r="P249" s="30"/>
      <c r="Q249" s="30" t="s">
        <v>918</v>
      </c>
      <c r="R249" s="26">
        <v>46216</v>
      </c>
      <c r="S249" s="26">
        <v>46219</v>
      </c>
      <c r="T249" s="31"/>
      <c r="U249" s="30" t="s">
        <v>68</v>
      </c>
      <c r="V249" s="34" t="s">
        <v>70</v>
      </c>
      <c r="W249" s="27" t="s">
        <v>208</v>
      </c>
      <c r="X249" s="30">
        <v>1</v>
      </c>
      <c r="Y249" s="30">
        <v>1</v>
      </c>
      <c r="Z249" s="30">
        <v>1</v>
      </c>
      <c r="AA249" s="30">
        <v>1</v>
      </c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 t="s">
        <v>69</v>
      </c>
      <c r="AM249" s="30"/>
      <c r="AN249" s="30" t="s">
        <v>631</v>
      </c>
      <c r="AO249" s="30"/>
      <c r="AP249" s="30"/>
      <c r="AQ249" s="30"/>
      <c r="AR249" s="36"/>
      <c r="AS249" s="36"/>
      <c r="AT249" s="36"/>
      <c r="AU249" s="36"/>
      <c r="AV249" s="36"/>
      <c r="AW249" s="36"/>
      <c r="AX249" s="36"/>
      <c r="AY249" s="36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27"/>
      <c r="BL249" s="27"/>
    </row>
    <row r="250" spans="1:64">
      <c r="A250" s="25" t="s">
        <v>54</v>
      </c>
      <c r="B250" s="26">
        <v>46214</v>
      </c>
      <c r="C250" s="27">
        <v>30196</v>
      </c>
      <c r="D250" s="27"/>
      <c r="E250" s="27" t="s">
        <v>203</v>
      </c>
      <c r="F250" s="27" t="s">
        <v>59</v>
      </c>
      <c r="G250" s="27" t="s">
        <v>294</v>
      </c>
      <c r="H250" s="30" t="s">
        <v>309</v>
      </c>
      <c r="I250" s="31" t="s">
        <v>919</v>
      </c>
      <c r="J250" s="30" t="s">
        <v>170</v>
      </c>
      <c r="K250" s="27">
        <v>1</v>
      </c>
      <c r="L250" s="27" t="s">
        <v>205</v>
      </c>
      <c r="M250" s="27"/>
      <c r="N250" s="31" t="s">
        <v>602</v>
      </c>
      <c r="O250" s="27"/>
      <c r="P250" s="30"/>
      <c r="Q250" s="30" t="s">
        <v>920</v>
      </c>
      <c r="R250" s="26">
        <v>46216</v>
      </c>
      <c r="S250" s="26">
        <v>46219</v>
      </c>
      <c r="T250" s="31"/>
      <c r="U250" s="30" t="s">
        <v>68</v>
      </c>
      <c r="V250" s="34" t="s">
        <v>70</v>
      </c>
      <c r="W250" s="27" t="s">
        <v>208</v>
      </c>
      <c r="X250" s="30">
        <v>1</v>
      </c>
      <c r="Y250" s="30">
        <v>1</v>
      </c>
      <c r="Z250" s="30">
        <v>1</v>
      </c>
      <c r="AA250" s="30">
        <v>1</v>
      </c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 t="s">
        <v>69</v>
      </c>
      <c r="AM250" s="30"/>
      <c r="AN250" s="30" t="s">
        <v>631</v>
      </c>
      <c r="AO250" s="30"/>
      <c r="AP250" s="30"/>
      <c r="AQ250" s="30"/>
      <c r="AR250" s="36"/>
      <c r="AS250" s="36"/>
      <c r="AT250" s="36"/>
      <c r="AU250" s="36"/>
      <c r="AV250" s="36"/>
      <c r="AW250" s="36"/>
      <c r="AX250" s="36"/>
      <c r="AY250" s="36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27"/>
      <c r="BL250" s="27"/>
    </row>
    <row r="251" spans="1:64">
      <c r="A251" s="25" t="s">
        <v>54</v>
      </c>
      <c r="B251" s="26">
        <v>46214</v>
      </c>
      <c r="C251" s="27">
        <v>30188</v>
      </c>
      <c r="D251" s="27"/>
      <c r="E251" s="27" t="s">
        <v>203</v>
      </c>
      <c r="F251" s="27" t="s">
        <v>59</v>
      </c>
      <c r="G251" s="27" t="s">
        <v>294</v>
      </c>
      <c r="H251" s="30" t="s">
        <v>309</v>
      </c>
      <c r="I251" s="31" t="s">
        <v>921</v>
      </c>
      <c r="J251" s="30" t="s">
        <v>170</v>
      </c>
      <c r="K251" s="27">
        <v>1</v>
      </c>
      <c r="L251" s="27" t="s">
        <v>214</v>
      </c>
      <c r="M251" s="27"/>
      <c r="N251" s="31" t="s">
        <v>602</v>
      </c>
      <c r="O251" s="27"/>
      <c r="P251" s="30"/>
      <c r="Q251" s="30" t="s">
        <v>922</v>
      </c>
      <c r="R251" s="26">
        <v>46216</v>
      </c>
      <c r="S251" s="26">
        <v>46219</v>
      </c>
      <c r="T251" s="31"/>
      <c r="U251" s="30" t="s">
        <v>68</v>
      </c>
      <c r="V251" s="34" t="s">
        <v>70</v>
      </c>
      <c r="W251" s="27" t="s">
        <v>208</v>
      </c>
      <c r="X251" s="30">
        <v>1</v>
      </c>
      <c r="Y251" s="30">
        <v>1</v>
      </c>
      <c r="Z251" s="30">
        <v>1</v>
      </c>
      <c r="AA251" s="30">
        <v>1</v>
      </c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 t="s">
        <v>69</v>
      </c>
      <c r="AM251" s="30"/>
      <c r="AN251" s="30" t="s">
        <v>631</v>
      </c>
      <c r="AO251" s="30"/>
      <c r="AP251" s="30"/>
      <c r="AQ251" s="30"/>
      <c r="AR251" s="36"/>
      <c r="AS251" s="36"/>
      <c r="AT251" s="36"/>
      <c r="AU251" s="36"/>
      <c r="AV251" s="36"/>
      <c r="AW251" s="36"/>
      <c r="AX251" s="36"/>
      <c r="AY251" s="36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27"/>
      <c r="BL251" s="27"/>
    </row>
    <row r="252" spans="1:64">
      <c r="A252" s="25" t="s">
        <v>54</v>
      </c>
      <c r="B252" s="26">
        <v>46214</v>
      </c>
      <c r="C252" s="27">
        <v>30193</v>
      </c>
      <c r="D252" s="27"/>
      <c r="E252" s="27" t="s">
        <v>203</v>
      </c>
      <c r="F252" s="27" t="s">
        <v>59</v>
      </c>
      <c r="G252" s="27" t="s">
        <v>294</v>
      </c>
      <c r="H252" s="30" t="s">
        <v>293</v>
      </c>
      <c r="I252" s="31" t="s">
        <v>775</v>
      </c>
      <c r="J252" s="30" t="s">
        <v>144</v>
      </c>
      <c r="K252" s="27">
        <v>1</v>
      </c>
      <c r="L252" s="27" t="s">
        <v>205</v>
      </c>
      <c r="M252" s="27"/>
      <c r="N252" s="31" t="s">
        <v>455</v>
      </c>
      <c r="O252" s="27"/>
      <c r="P252" s="30"/>
      <c r="Q252" s="30" t="s">
        <v>434</v>
      </c>
      <c r="R252" s="26">
        <v>46221</v>
      </c>
      <c r="S252" s="26">
        <v>46223</v>
      </c>
      <c r="T252" s="31"/>
      <c r="U252" s="30" t="s">
        <v>68</v>
      </c>
      <c r="V252" s="34" t="s">
        <v>70</v>
      </c>
      <c r="W252" s="27" t="s">
        <v>208</v>
      </c>
      <c r="X252" s="30">
        <v>3</v>
      </c>
      <c r="Y252" s="30"/>
      <c r="Z252" s="30"/>
      <c r="AA252" s="30">
        <v>1</v>
      </c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 t="s">
        <v>69</v>
      </c>
      <c r="AM252" s="30"/>
      <c r="AN252" s="30"/>
      <c r="AO252" s="30"/>
      <c r="AP252" s="30"/>
      <c r="AQ252" s="30" t="s">
        <v>455</v>
      </c>
      <c r="AR252" s="36"/>
      <c r="AS252" s="36" t="s">
        <v>906</v>
      </c>
      <c r="AT252" s="36"/>
      <c r="AU252" s="36"/>
      <c r="AV252" s="36"/>
      <c r="AW252" s="36"/>
      <c r="AX252" s="36"/>
      <c r="AY252" s="36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27"/>
      <c r="BL252" s="27"/>
    </row>
    <row r="253" spans="1:64">
      <c r="A253" s="25" t="s">
        <v>54</v>
      </c>
      <c r="B253" s="26">
        <v>46214</v>
      </c>
      <c r="C253" s="27">
        <v>30194</v>
      </c>
      <c r="D253" s="27"/>
      <c r="E253" s="27" t="s">
        <v>203</v>
      </c>
      <c r="F253" s="27" t="s">
        <v>59</v>
      </c>
      <c r="G253" s="27" t="s">
        <v>294</v>
      </c>
      <c r="H253" s="30" t="s">
        <v>106</v>
      </c>
      <c r="I253" s="31" t="s">
        <v>463</v>
      </c>
      <c r="J253" s="30" t="s">
        <v>106</v>
      </c>
      <c r="K253" s="27">
        <v>1</v>
      </c>
      <c r="L253" s="27" t="s">
        <v>205</v>
      </c>
      <c r="M253" s="27"/>
      <c r="N253" s="31" t="s">
        <v>95</v>
      </c>
      <c r="O253" s="27"/>
      <c r="P253" s="30"/>
      <c r="Q253" s="30" t="s">
        <v>924</v>
      </c>
      <c r="R253" s="26">
        <v>46220</v>
      </c>
      <c r="S253" s="26">
        <v>46221</v>
      </c>
      <c r="T253" s="31"/>
      <c r="U253" s="30" t="s">
        <v>68</v>
      </c>
      <c r="V253" s="34" t="s">
        <v>70</v>
      </c>
      <c r="W253" s="27" t="s">
        <v>208</v>
      </c>
      <c r="X253" s="30">
        <v>3</v>
      </c>
      <c r="Y253" s="30">
        <v>1</v>
      </c>
      <c r="Z253" s="30">
        <v>1</v>
      </c>
      <c r="AA253" s="30">
        <v>1</v>
      </c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 t="s">
        <v>69</v>
      </c>
      <c r="AM253" s="30"/>
      <c r="AN253" s="30"/>
      <c r="AO253" s="30"/>
      <c r="AP253" s="30" t="s">
        <v>95</v>
      </c>
      <c r="AQ253" s="30"/>
      <c r="AR253" s="36" t="s">
        <v>41</v>
      </c>
      <c r="AS253" s="36"/>
      <c r="AT253" s="36"/>
      <c r="AU253" s="36"/>
      <c r="AV253" s="36"/>
      <c r="AW253" s="36"/>
      <c r="AX253" s="36"/>
      <c r="AY253" s="36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27"/>
      <c r="BL253" s="27"/>
    </row>
    <row r="254" spans="1:64">
      <c r="A254" s="25" t="s">
        <v>54</v>
      </c>
      <c r="B254" s="26">
        <v>46214</v>
      </c>
      <c r="C254" s="27">
        <v>30197</v>
      </c>
      <c r="D254" s="27"/>
      <c r="E254" s="27" t="s">
        <v>203</v>
      </c>
      <c r="F254" s="27" t="s">
        <v>59</v>
      </c>
      <c r="G254" s="27" t="s">
        <v>294</v>
      </c>
      <c r="H254" s="30" t="s">
        <v>538</v>
      </c>
      <c r="I254" s="31" t="s">
        <v>766</v>
      </c>
      <c r="J254" s="30" t="s">
        <v>538</v>
      </c>
      <c r="K254" s="27">
        <v>1</v>
      </c>
      <c r="L254" s="27" t="s">
        <v>205</v>
      </c>
      <c r="M254" s="27"/>
      <c r="N254" s="31" t="s">
        <v>695</v>
      </c>
      <c r="O254" s="27"/>
      <c r="P254" s="30"/>
      <c r="Q254" s="30" t="s">
        <v>66</v>
      </c>
      <c r="R254" s="26">
        <v>46217</v>
      </c>
      <c r="S254" s="26">
        <v>46218</v>
      </c>
      <c r="T254" s="31"/>
      <c r="U254" s="30" t="s">
        <v>68</v>
      </c>
      <c r="V254" s="34" t="s">
        <v>70</v>
      </c>
      <c r="W254" s="27" t="s">
        <v>208</v>
      </c>
      <c r="X254" s="30"/>
      <c r="Y254" s="30"/>
      <c r="Z254" s="30"/>
      <c r="AA254" s="30">
        <v>1</v>
      </c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 t="s">
        <v>69</v>
      </c>
      <c r="AM254" s="30"/>
      <c r="AN254" s="30"/>
      <c r="AO254" s="30" t="s">
        <v>925</v>
      </c>
      <c r="AP254" s="30"/>
      <c r="AQ254" s="30"/>
      <c r="AR254" s="36"/>
      <c r="AS254" s="36"/>
      <c r="AT254" s="36"/>
      <c r="AU254" s="36"/>
      <c r="AV254" s="36"/>
      <c r="AW254" s="36"/>
      <c r="AX254" s="36"/>
      <c r="AY254" s="36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27"/>
      <c r="BL254" s="27"/>
    </row>
    <row r="255" spans="1:64">
      <c r="A255" s="25" t="s">
        <v>54</v>
      </c>
      <c r="B255" s="26">
        <v>46214</v>
      </c>
      <c r="C255" s="27">
        <v>30190</v>
      </c>
      <c r="D255" s="27"/>
      <c r="E255" s="27" t="s">
        <v>233</v>
      </c>
      <c r="F255" s="27" t="s">
        <v>59</v>
      </c>
      <c r="G255" s="27" t="s">
        <v>294</v>
      </c>
      <c r="H255" s="30" t="s">
        <v>60</v>
      </c>
      <c r="I255" s="31" t="s">
        <v>926</v>
      </c>
      <c r="J255" s="30" t="s">
        <v>60</v>
      </c>
      <c r="K255" s="27">
        <v>1</v>
      </c>
      <c r="L255" s="27" t="s">
        <v>205</v>
      </c>
      <c r="M255" s="27"/>
      <c r="N255" s="31" t="s">
        <v>695</v>
      </c>
      <c r="O255" s="27"/>
      <c r="P255" s="30"/>
      <c r="Q255" s="30" t="s">
        <v>66</v>
      </c>
      <c r="R255" s="26">
        <v>46217</v>
      </c>
      <c r="S255" s="26">
        <v>46218</v>
      </c>
      <c r="T255" s="31"/>
      <c r="U255" s="30" t="s">
        <v>68</v>
      </c>
      <c r="V255" s="34" t="s">
        <v>70</v>
      </c>
      <c r="W255" s="27" t="s">
        <v>208</v>
      </c>
      <c r="X255" s="30"/>
      <c r="Y255" s="30"/>
      <c r="Z255" s="30"/>
      <c r="AA255" s="30">
        <v>1</v>
      </c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 t="s">
        <v>69</v>
      </c>
      <c r="AM255" s="30"/>
      <c r="AN255" s="30"/>
      <c r="AO255" s="30" t="s">
        <v>925</v>
      </c>
      <c r="AP255" s="30"/>
      <c r="AQ255" s="30"/>
      <c r="AR255" s="36"/>
      <c r="AS255" s="36"/>
      <c r="AT255" s="36"/>
      <c r="AU255" s="36"/>
      <c r="AV255" s="36"/>
      <c r="AW255" s="36"/>
      <c r="AX255" s="36"/>
      <c r="AY255" s="36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27"/>
      <c r="BL255" s="27"/>
    </row>
    <row r="256" spans="1:64">
      <c r="A256" s="25" t="s">
        <v>54</v>
      </c>
      <c r="B256" s="26">
        <v>46214</v>
      </c>
      <c r="C256" s="27">
        <v>30189</v>
      </c>
      <c r="D256" s="27"/>
      <c r="E256" s="27" t="s">
        <v>203</v>
      </c>
      <c r="F256" s="27" t="s">
        <v>59</v>
      </c>
      <c r="G256" s="27" t="s">
        <v>294</v>
      </c>
      <c r="H256" s="30" t="s">
        <v>60</v>
      </c>
      <c r="I256" s="31" t="s">
        <v>927</v>
      </c>
      <c r="J256" s="30" t="s">
        <v>60</v>
      </c>
      <c r="K256" s="27">
        <v>1</v>
      </c>
      <c r="L256" s="27" t="s">
        <v>205</v>
      </c>
      <c r="M256" s="27"/>
      <c r="N256" s="31" t="s">
        <v>695</v>
      </c>
      <c r="O256" s="27"/>
      <c r="P256" s="30"/>
      <c r="Q256" s="30" t="s">
        <v>66</v>
      </c>
      <c r="R256" s="26">
        <v>46217</v>
      </c>
      <c r="S256" s="26">
        <v>46218</v>
      </c>
      <c r="T256" s="31"/>
      <c r="U256" s="30" t="s">
        <v>68</v>
      </c>
      <c r="V256" s="34" t="s">
        <v>70</v>
      </c>
      <c r="W256" s="27" t="s">
        <v>208</v>
      </c>
      <c r="X256" s="30"/>
      <c r="Y256" s="30"/>
      <c r="Z256" s="30"/>
      <c r="AA256" s="30">
        <v>1</v>
      </c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 t="s">
        <v>69</v>
      </c>
      <c r="AM256" s="30"/>
      <c r="AN256" s="30"/>
      <c r="AO256" s="30" t="s">
        <v>925</v>
      </c>
      <c r="AP256" s="30"/>
      <c r="AQ256" s="30"/>
      <c r="AR256" s="36"/>
      <c r="AS256" s="36"/>
      <c r="AT256" s="36"/>
      <c r="AU256" s="36"/>
      <c r="AV256" s="36"/>
      <c r="AW256" s="36"/>
      <c r="AX256" s="36"/>
      <c r="AY256" s="36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27"/>
      <c r="BL256" s="27"/>
    </row>
    <row r="257" spans="1:64">
      <c r="A257" s="25" t="s">
        <v>54</v>
      </c>
      <c r="B257" s="26">
        <v>46214</v>
      </c>
      <c r="C257" s="27">
        <v>30187</v>
      </c>
      <c r="D257" s="27"/>
      <c r="E257" s="27" t="s">
        <v>233</v>
      </c>
      <c r="F257" s="27" t="s">
        <v>59</v>
      </c>
      <c r="G257" s="27" t="s">
        <v>294</v>
      </c>
      <c r="H257" s="30" t="s">
        <v>60</v>
      </c>
      <c r="I257" s="31" t="s">
        <v>929</v>
      </c>
      <c r="J257" s="30" t="s">
        <v>60</v>
      </c>
      <c r="K257" s="27">
        <v>1</v>
      </c>
      <c r="L257" s="27" t="s">
        <v>205</v>
      </c>
      <c r="M257" s="27"/>
      <c r="N257" s="31" t="s">
        <v>384</v>
      </c>
      <c r="O257" s="27"/>
      <c r="P257" s="30"/>
      <c r="Q257" s="30" t="s">
        <v>930</v>
      </c>
      <c r="R257" s="26">
        <v>46219</v>
      </c>
      <c r="S257" s="26">
        <v>46219</v>
      </c>
      <c r="T257" s="31"/>
      <c r="U257" s="30" t="s">
        <v>68</v>
      </c>
      <c r="V257" s="34" t="s">
        <v>70</v>
      </c>
      <c r="W257" s="27" t="s">
        <v>208</v>
      </c>
      <c r="X257" s="30">
        <v>3</v>
      </c>
      <c r="Y257" s="30">
        <v>1</v>
      </c>
      <c r="Z257" s="30">
        <v>1</v>
      </c>
      <c r="AA257" s="30">
        <v>1</v>
      </c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 t="s">
        <v>69</v>
      </c>
      <c r="AM257" s="30"/>
      <c r="AN257" s="30"/>
      <c r="AO257" s="30"/>
      <c r="AP257" s="30"/>
      <c r="AQ257" s="30" t="s">
        <v>260</v>
      </c>
      <c r="AR257" s="36"/>
      <c r="AS257" s="36"/>
      <c r="AT257" s="36"/>
      <c r="AU257" s="36"/>
      <c r="AV257" s="36"/>
      <c r="AW257" s="36"/>
      <c r="AX257" s="36"/>
      <c r="AY257" s="36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27"/>
      <c r="BL257" s="27"/>
    </row>
    <row r="258" spans="1:64">
      <c r="A258" s="25" t="s">
        <v>54</v>
      </c>
      <c r="B258" s="26">
        <v>46214</v>
      </c>
      <c r="C258" s="27">
        <v>30195</v>
      </c>
      <c r="D258" s="27"/>
      <c r="E258" s="27" t="s">
        <v>203</v>
      </c>
      <c r="F258" s="27" t="s">
        <v>59</v>
      </c>
      <c r="G258" s="27" t="s">
        <v>294</v>
      </c>
      <c r="H258" s="30" t="s">
        <v>378</v>
      </c>
      <c r="I258" s="31" t="s">
        <v>932</v>
      </c>
      <c r="J258" s="30" t="s">
        <v>378</v>
      </c>
      <c r="K258" s="27">
        <v>1</v>
      </c>
      <c r="L258" s="27" t="s">
        <v>205</v>
      </c>
      <c r="M258" s="27"/>
      <c r="N258" s="31" t="s">
        <v>595</v>
      </c>
      <c r="O258" s="27"/>
      <c r="P258" s="30"/>
      <c r="Q258" s="30" t="s">
        <v>933</v>
      </c>
      <c r="R258" s="26">
        <v>46216</v>
      </c>
      <c r="S258" s="26">
        <v>46219</v>
      </c>
      <c r="T258" s="31"/>
      <c r="U258" s="30" t="s">
        <v>68</v>
      </c>
      <c r="V258" s="34" t="s">
        <v>70</v>
      </c>
      <c r="W258" s="27" t="s">
        <v>208</v>
      </c>
      <c r="X258" s="30">
        <v>1</v>
      </c>
      <c r="Y258" s="30">
        <v>1</v>
      </c>
      <c r="Z258" s="30">
        <v>1</v>
      </c>
      <c r="AA258" s="30">
        <v>1</v>
      </c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 t="s">
        <v>69</v>
      </c>
      <c r="AM258" s="30"/>
      <c r="AN258" s="30" t="s">
        <v>934</v>
      </c>
      <c r="AO258" s="30"/>
      <c r="AP258" s="30"/>
      <c r="AQ258" s="30"/>
      <c r="AR258" s="36"/>
      <c r="AS258" s="36"/>
      <c r="AT258" s="36"/>
      <c r="AU258" s="36"/>
      <c r="AV258" s="36"/>
      <c r="AW258" s="36"/>
      <c r="AX258" s="36"/>
      <c r="AY258" s="36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27"/>
      <c r="BL258" s="27"/>
    </row>
    <row r="259" spans="1:64">
      <c r="A259" s="25" t="s">
        <v>54</v>
      </c>
      <c r="B259" s="26">
        <v>46214</v>
      </c>
      <c r="C259" s="27">
        <v>30192</v>
      </c>
      <c r="D259" s="27"/>
      <c r="E259" s="27" t="s">
        <v>203</v>
      </c>
      <c r="F259" s="27" t="s">
        <v>59</v>
      </c>
      <c r="G259" s="27" t="s">
        <v>294</v>
      </c>
      <c r="H259" s="30" t="s">
        <v>378</v>
      </c>
      <c r="I259" s="31" t="s">
        <v>935</v>
      </c>
      <c r="J259" s="30" t="s">
        <v>378</v>
      </c>
      <c r="K259" s="27">
        <v>1</v>
      </c>
      <c r="L259" s="27" t="s">
        <v>205</v>
      </c>
      <c r="M259" s="27"/>
      <c r="N259" s="31" t="s">
        <v>595</v>
      </c>
      <c r="O259" s="27"/>
      <c r="P259" s="30"/>
      <c r="Q259" s="30" t="s">
        <v>936</v>
      </c>
      <c r="R259" s="26">
        <v>46216</v>
      </c>
      <c r="S259" s="26">
        <v>46219</v>
      </c>
      <c r="T259" s="31"/>
      <c r="U259" s="30" t="s">
        <v>68</v>
      </c>
      <c r="V259" s="34" t="s">
        <v>70</v>
      </c>
      <c r="W259" s="27" t="s">
        <v>208</v>
      </c>
      <c r="X259" s="30">
        <v>1</v>
      </c>
      <c r="Y259" s="30">
        <v>1</v>
      </c>
      <c r="Z259" s="30">
        <v>1</v>
      </c>
      <c r="AA259" s="30">
        <v>1</v>
      </c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 t="s">
        <v>69</v>
      </c>
      <c r="AM259" s="30"/>
      <c r="AN259" s="30" t="s">
        <v>934</v>
      </c>
      <c r="AO259" s="30"/>
      <c r="AP259" s="30"/>
      <c r="AQ259" s="30"/>
      <c r="AR259" s="36"/>
      <c r="AS259" s="36"/>
      <c r="AT259" s="36"/>
      <c r="AU259" s="36"/>
      <c r="AV259" s="36"/>
      <c r="AW259" s="36"/>
      <c r="AX259" s="36"/>
      <c r="AY259" s="36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27"/>
      <c r="BL259" s="27"/>
    </row>
    <row r="260" spans="1:64">
      <c r="A260" s="25" t="s">
        <v>54</v>
      </c>
      <c r="B260" s="26">
        <v>46214</v>
      </c>
      <c r="C260" s="27">
        <v>30333</v>
      </c>
      <c r="D260" s="27"/>
      <c r="E260" s="27" t="s">
        <v>937</v>
      </c>
      <c r="F260" s="27" t="s">
        <v>59</v>
      </c>
      <c r="G260" s="27" t="s">
        <v>104</v>
      </c>
      <c r="H260" s="30" t="s">
        <v>412</v>
      </c>
      <c r="I260" s="31" t="s">
        <v>938</v>
      </c>
      <c r="J260" s="30" t="s">
        <v>939</v>
      </c>
      <c r="K260" s="27">
        <v>1</v>
      </c>
      <c r="L260" s="27"/>
      <c r="M260" s="27"/>
      <c r="N260" s="31" t="s">
        <v>602</v>
      </c>
      <c r="O260" s="27"/>
      <c r="P260" s="30"/>
      <c r="Q260" s="30" t="s">
        <v>805</v>
      </c>
      <c r="R260" s="26">
        <v>46218</v>
      </c>
      <c r="S260" s="26">
        <v>46219</v>
      </c>
      <c r="T260" s="31"/>
      <c r="U260" s="30" t="s">
        <v>68</v>
      </c>
      <c r="V260" s="34" t="s">
        <v>70</v>
      </c>
      <c r="W260" s="27" t="s">
        <v>630</v>
      </c>
      <c r="X260" s="30">
        <v>1</v>
      </c>
      <c r="Y260" s="30">
        <v>2</v>
      </c>
      <c r="Z260" s="30">
        <v>1</v>
      </c>
      <c r="AA260" s="30">
        <v>1</v>
      </c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 t="s">
        <v>69</v>
      </c>
      <c r="AM260" s="30"/>
      <c r="AN260" s="30" t="s">
        <v>602</v>
      </c>
      <c r="AO260" s="30" t="s">
        <v>41</v>
      </c>
      <c r="AP260" s="30"/>
      <c r="AQ260" s="30"/>
      <c r="AR260" s="36"/>
      <c r="AS260" s="36"/>
      <c r="AT260" s="36"/>
      <c r="AU260" s="36"/>
      <c r="AV260" s="36"/>
      <c r="AW260" s="36"/>
      <c r="AX260" s="36"/>
      <c r="AY260" s="36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27"/>
      <c r="BL260" s="27"/>
    </row>
    <row r="261" spans="1:64">
      <c r="A261" s="25" t="s">
        <v>54</v>
      </c>
      <c r="B261" s="26">
        <v>46214</v>
      </c>
      <c r="C261" s="27"/>
      <c r="D261" s="27">
        <v>139051</v>
      </c>
      <c r="E261" s="27" t="s">
        <v>574</v>
      </c>
      <c r="F261" s="27" t="s">
        <v>59</v>
      </c>
      <c r="G261" s="27" t="s">
        <v>104</v>
      </c>
      <c r="H261" s="30" t="s">
        <v>940</v>
      </c>
      <c r="I261" s="31" t="s">
        <v>941</v>
      </c>
      <c r="J261" s="30" t="s">
        <v>940</v>
      </c>
      <c r="K261" s="27">
        <v>4</v>
      </c>
      <c r="L261" s="27">
        <v>24</v>
      </c>
      <c r="M261" s="27">
        <v>24</v>
      </c>
      <c r="N261" s="31" t="s">
        <v>602</v>
      </c>
      <c r="O261" s="27"/>
      <c r="P261" s="30"/>
      <c r="Q261" s="30" t="s">
        <v>942</v>
      </c>
      <c r="R261" s="26">
        <v>46216</v>
      </c>
      <c r="S261" s="26">
        <v>46219</v>
      </c>
      <c r="T261" s="31"/>
      <c r="U261" s="30" t="s">
        <v>68</v>
      </c>
      <c r="V261" s="34" t="s">
        <v>70</v>
      </c>
      <c r="W261" s="27" t="s">
        <v>574</v>
      </c>
      <c r="X261" s="30">
        <v>1</v>
      </c>
      <c r="Y261" s="30">
        <v>1</v>
      </c>
      <c r="Z261" s="30">
        <v>1</v>
      </c>
      <c r="AA261" s="30">
        <v>1</v>
      </c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 t="s">
        <v>69</v>
      </c>
      <c r="AM261" s="30"/>
      <c r="AN261" s="30" t="s">
        <v>631</v>
      </c>
      <c r="AO261" s="30"/>
      <c r="AP261" s="30"/>
      <c r="AQ261" s="30"/>
      <c r="AR261" s="36"/>
      <c r="AS261" s="36"/>
      <c r="AT261" s="36"/>
      <c r="AU261" s="36"/>
      <c r="AV261" s="36"/>
      <c r="AW261" s="36"/>
      <c r="AX261" s="36"/>
      <c r="AY261" s="36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27"/>
      <c r="BL261" s="27"/>
    </row>
    <row r="262" spans="1:64">
      <c r="A262" s="25" t="s">
        <v>54</v>
      </c>
      <c r="B262" s="26">
        <v>46214</v>
      </c>
      <c r="C262" s="27"/>
      <c r="D262" s="27">
        <v>139041</v>
      </c>
      <c r="E262" s="27" t="s">
        <v>574</v>
      </c>
      <c r="F262" s="27" t="s">
        <v>59</v>
      </c>
      <c r="G262" s="27" t="s">
        <v>104</v>
      </c>
      <c r="H262" s="30" t="s">
        <v>940</v>
      </c>
      <c r="I262" s="31" t="s">
        <v>943</v>
      </c>
      <c r="J262" s="30" t="s">
        <v>940</v>
      </c>
      <c r="K262" s="27">
        <v>13</v>
      </c>
      <c r="L262" s="27">
        <v>78</v>
      </c>
      <c r="M262" s="27">
        <v>78</v>
      </c>
      <c r="N262" s="31" t="s">
        <v>602</v>
      </c>
      <c r="O262" s="27"/>
      <c r="P262" s="30"/>
      <c r="Q262" s="30" t="s">
        <v>944</v>
      </c>
      <c r="R262" s="26">
        <v>46218</v>
      </c>
      <c r="S262" s="26">
        <v>46219</v>
      </c>
      <c r="T262" s="31"/>
      <c r="U262" s="30" t="s">
        <v>68</v>
      </c>
      <c r="V262" s="34" t="s">
        <v>70</v>
      </c>
      <c r="W262" s="27" t="s">
        <v>574</v>
      </c>
      <c r="X262" s="30">
        <v>1</v>
      </c>
      <c r="Y262" s="30">
        <v>1</v>
      </c>
      <c r="Z262" s="30">
        <v>1</v>
      </c>
      <c r="AA262" s="30">
        <v>1</v>
      </c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 t="s">
        <v>69</v>
      </c>
      <c r="AM262" s="30"/>
      <c r="AN262" s="30" t="s">
        <v>602</v>
      </c>
      <c r="AO262" s="30"/>
      <c r="AP262" s="30" t="s">
        <v>41</v>
      </c>
      <c r="AQ262" s="30"/>
      <c r="AR262" s="36"/>
      <c r="AS262" s="36"/>
      <c r="AT262" s="36"/>
      <c r="AU262" s="36"/>
      <c r="AV262" s="36"/>
      <c r="AW262" s="36"/>
      <c r="AX262" s="36"/>
      <c r="AY262" s="36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27"/>
      <c r="BL262" s="27"/>
    </row>
    <row r="263" spans="1:64">
      <c r="A263" s="25" t="s">
        <v>54</v>
      </c>
      <c r="B263" s="26">
        <v>46214</v>
      </c>
      <c r="C263" s="27"/>
      <c r="D263" s="27">
        <v>139030</v>
      </c>
      <c r="E263" s="27" t="s">
        <v>574</v>
      </c>
      <c r="F263" s="27" t="s">
        <v>59</v>
      </c>
      <c r="G263" s="27" t="s">
        <v>104</v>
      </c>
      <c r="H263" s="30" t="s">
        <v>945</v>
      </c>
      <c r="I263" s="31" t="s">
        <v>946</v>
      </c>
      <c r="J263" s="30" t="s">
        <v>945</v>
      </c>
      <c r="K263" s="27">
        <v>13</v>
      </c>
      <c r="L263" s="27">
        <v>78</v>
      </c>
      <c r="M263" s="27">
        <v>78</v>
      </c>
      <c r="N263" s="31" t="s">
        <v>602</v>
      </c>
      <c r="O263" s="27"/>
      <c r="P263" s="30"/>
      <c r="Q263" s="30" t="s">
        <v>66</v>
      </c>
      <c r="R263" s="26">
        <v>46216</v>
      </c>
      <c r="S263" s="26">
        <v>46219</v>
      </c>
      <c r="T263" s="31"/>
      <c r="U263" s="30" t="s">
        <v>68</v>
      </c>
      <c r="V263" s="34" t="s">
        <v>70</v>
      </c>
      <c r="W263" s="27" t="s">
        <v>574</v>
      </c>
      <c r="X263" s="30">
        <v>1</v>
      </c>
      <c r="Y263" s="30">
        <v>1</v>
      </c>
      <c r="Z263" s="30">
        <v>1</v>
      </c>
      <c r="AA263" s="30">
        <v>1</v>
      </c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 t="s">
        <v>69</v>
      </c>
      <c r="AM263" s="30"/>
      <c r="AN263" s="30" t="s">
        <v>631</v>
      </c>
      <c r="AO263" s="30"/>
      <c r="AP263" s="30"/>
      <c r="AQ263" s="30"/>
      <c r="AR263" s="36"/>
      <c r="AS263" s="36"/>
      <c r="AT263" s="36"/>
      <c r="AU263" s="36"/>
      <c r="AV263" s="36"/>
      <c r="AW263" s="36"/>
      <c r="AX263" s="36"/>
      <c r="AY263" s="36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27"/>
      <c r="BL263" s="27"/>
    </row>
    <row r="264" spans="1:64">
      <c r="A264" s="25" t="s">
        <v>54</v>
      </c>
      <c r="B264" s="26">
        <v>46214</v>
      </c>
      <c r="C264" s="27"/>
      <c r="D264" s="27">
        <v>139033</v>
      </c>
      <c r="E264" s="27" t="s">
        <v>574</v>
      </c>
      <c r="F264" s="27" t="s">
        <v>59</v>
      </c>
      <c r="G264" s="27" t="s">
        <v>104</v>
      </c>
      <c r="H264" s="30" t="s">
        <v>225</v>
      </c>
      <c r="I264" s="31" t="s">
        <v>947</v>
      </c>
      <c r="J264" s="30" t="s">
        <v>225</v>
      </c>
      <c r="K264" s="27">
        <v>9</v>
      </c>
      <c r="L264" s="27">
        <v>54</v>
      </c>
      <c r="M264" s="27">
        <v>54</v>
      </c>
      <c r="N264" s="31" t="s">
        <v>602</v>
      </c>
      <c r="O264" s="27"/>
      <c r="P264" s="30"/>
      <c r="Q264" s="30" t="s">
        <v>66</v>
      </c>
      <c r="R264" s="26">
        <v>46218</v>
      </c>
      <c r="S264" s="26">
        <v>46219</v>
      </c>
      <c r="T264" s="31"/>
      <c r="U264" s="30" t="s">
        <v>68</v>
      </c>
      <c r="V264" s="34" t="s">
        <v>70</v>
      </c>
      <c r="W264" s="27" t="s">
        <v>574</v>
      </c>
      <c r="X264" s="30">
        <v>1</v>
      </c>
      <c r="Y264" s="30">
        <v>1</v>
      </c>
      <c r="Z264" s="30">
        <v>1</v>
      </c>
      <c r="AA264" s="30">
        <v>1</v>
      </c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 t="s">
        <v>69</v>
      </c>
      <c r="AM264" s="30"/>
      <c r="AN264" s="30" t="s">
        <v>602</v>
      </c>
      <c r="AO264" s="30"/>
      <c r="AP264" s="30" t="s">
        <v>41</v>
      </c>
      <c r="AQ264" s="30"/>
      <c r="AR264" s="36"/>
      <c r="AS264" s="36"/>
      <c r="AT264" s="36"/>
      <c r="AU264" s="36"/>
      <c r="AV264" s="36"/>
      <c r="AW264" s="36"/>
      <c r="AX264" s="36"/>
      <c r="AY264" s="36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27"/>
      <c r="BL264" s="27"/>
    </row>
    <row r="265" spans="1:64">
      <c r="A265" s="25" t="s">
        <v>54</v>
      </c>
      <c r="B265" s="26">
        <v>46214</v>
      </c>
      <c r="C265" s="27"/>
      <c r="D265" s="27">
        <v>139034</v>
      </c>
      <c r="E265" s="27" t="s">
        <v>574</v>
      </c>
      <c r="F265" s="27" t="s">
        <v>59</v>
      </c>
      <c r="G265" s="27" t="s">
        <v>104</v>
      </c>
      <c r="H265" s="30" t="s">
        <v>91</v>
      </c>
      <c r="I265" s="31" t="s">
        <v>948</v>
      </c>
      <c r="J265" s="30" t="s">
        <v>91</v>
      </c>
      <c r="K265" s="27">
        <v>9</v>
      </c>
      <c r="L265" s="27">
        <v>54</v>
      </c>
      <c r="M265" s="27">
        <v>54</v>
      </c>
      <c r="N265" s="31" t="s">
        <v>602</v>
      </c>
      <c r="O265" s="27"/>
      <c r="P265" s="30"/>
      <c r="Q265" s="30" t="s">
        <v>949</v>
      </c>
      <c r="R265" s="26">
        <v>46218</v>
      </c>
      <c r="S265" s="26">
        <v>46219</v>
      </c>
      <c r="T265" s="31"/>
      <c r="U265" s="30" t="s">
        <v>68</v>
      </c>
      <c r="V265" s="34" t="s">
        <v>70</v>
      </c>
      <c r="W265" s="27" t="s">
        <v>574</v>
      </c>
      <c r="X265" s="30">
        <v>1</v>
      </c>
      <c r="Y265" s="30">
        <v>1</v>
      </c>
      <c r="Z265" s="30">
        <v>1</v>
      </c>
      <c r="AA265" s="30">
        <v>1</v>
      </c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 t="s">
        <v>69</v>
      </c>
      <c r="AM265" s="30"/>
      <c r="AN265" s="30" t="s">
        <v>602</v>
      </c>
      <c r="AO265" s="30"/>
      <c r="AP265" s="30" t="s">
        <v>41</v>
      </c>
      <c r="AQ265" s="30"/>
      <c r="AR265" s="36"/>
      <c r="AS265" s="36"/>
      <c r="AT265" s="36"/>
      <c r="AU265" s="36"/>
      <c r="AV265" s="36"/>
      <c r="AW265" s="36"/>
      <c r="AX265" s="36"/>
      <c r="AY265" s="36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27"/>
      <c r="BL265" s="27"/>
    </row>
    <row r="266" spans="1:64">
      <c r="A266" s="25" t="s">
        <v>54</v>
      </c>
      <c r="B266" s="26">
        <v>46214</v>
      </c>
      <c r="C266" s="27"/>
      <c r="D266" s="27">
        <v>139032</v>
      </c>
      <c r="E266" s="27" t="s">
        <v>574</v>
      </c>
      <c r="F266" s="27" t="s">
        <v>59</v>
      </c>
      <c r="G266" s="27" t="s">
        <v>104</v>
      </c>
      <c r="H266" s="30" t="s">
        <v>412</v>
      </c>
      <c r="I266" s="31" t="s">
        <v>950</v>
      </c>
      <c r="J266" s="30" t="s">
        <v>412</v>
      </c>
      <c r="K266" s="27">
        <v>19</v>
      </c>
      <c r="L266" s="27">
        <v>114</v>
      </c>
      <c r="M266" s="27">
        <v>114</v>
      </c>
      <c r="N266" s="31" t="s">
        <v>602</v>
      </c>
      <c r="O266" s="27"/>
      <c r="P266" s="30"/>
      <c r="Q266" s="30" t="s">
        <v>566</v>
      </c>
      <c r="R266" s="26">
        <v>46217</v>
      </c>
      <c r="S266" s="26">
        <v>46219</v>
      </c>
      <c r="T266" s="31"/>
      <c r="U266" s="30" t="s">
        <v>68</v>
      </c>
      <c r="V266" s="34" t="s">
        <v>70</v>
      </c>
      <c r="W266" s="27" t="s">
        <v>574</v>
      </c>
      <c r="X266" s="30">
        <v>1</v>
      </c>
      <c r="Y266" s="30">
        <v>1</v>
      </c>
      <c r="Z266" s="30">
        <v>1</v>
      </c>
      <c r="AA266" s="30">
        <v>1</v>
      </c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 t="s">
        <v>69</v>
      </c>
      <c r="AM266" s="30"/>
      <c r="AN266" s="30" t="s">
        <v>602</v>
      </c>
      <c r="AO266" s="30" t="s">
        <v>41</v>
      </c>
      <c r="AP266" s="30"/>
      <c r="AQ266" s="30"/>
      <c r="AR266" s="36"/>
      <c r="AS266" s="36"/>
      <c r="AT266" s="36"/>
      <c r="AU266" s="36"/>
      <c r="AV266" s="36"/>
      <c r="AW266" s="36"/>
      <c r="AX266" s="36"/>
      <c r="AY266" s="36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27"/>
      <c r="BL266" s="27"/>
    </row>
    <row r="267" spans="1:64">
      <c r="A267" s="25" t="s">
        <v>54</v>
      </c>
      <c r="B267" s="26">
        <v>46214</v>
      </c>
      <c r="C267" s="27"/>
      <c r="D267" s="27">
        <v>139031</v>
      </c>
      <c r="E267" s="27" t="s">
        <v>574</v>
      </c>
      <c r="F267" s="27" t="s">
        <v>59</v>
      </c>
      <c r="G267" s="27" t="s">
        <v>104</v>
      </c>
      <c r="H267" s="30" t="s">
        <v>309</v>
      </c>
      <c r="I267" s="31" t="s">
        <v>951</v>
      </c>
      <c r="J267" s="30" t="s">
        <v>952</v>
      </c>
      <c r="K267" s="27">
        <v>38</v>
      </c>
      <c r="L267" s="27">
        <v>228</v>
      </c>
      <c r="M267" s="27">
        <v>228</v>
      </c>
      <c r="N267" s="31" t="s">
        <v>602</v>
      </c>
      <c r="O267" s="27"/>
      <c r="P267" s="30"/>
      <c r="Q267" s="30" t="s">
        <v>776</v>
      </c>
      <c r="R267" s="26">
        <v>46217</v>
      </c>
      <c r="S267" s="26">
        <v>46219</v>
      </c>
      <c r="T267" s="31"/>
      <c r="U267" s="30" t="s">
        <v>68</v>
      </c>
      <c r="V267" s="34" t="s">
        <v>70</v>
      </c>
      <c r="W267" s="27" t="s">
        <v>574</v>
      </c>
      <c r="X267" s="30">
        <v>1</v>
      </c>
      <c r="Y267" s="30">
        <v>1</v>
      </c>
      <c r="Z267" s="30">
        <v>1</v>
      </c>
      <c r="AA267" s="30">
        <v>1</v>
      </c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 t="s">
        <v>69</v>
      </c>
      <c r="AM267" s="30"/>
      <c r="AN267" s="30" t="s">
        <v>602</v>
      </c>
      <c r="AO267" s="30" t="s">
        <v>41</v>
      </c>
      <c r="AP267" s="30"/>
      <c r="AQ267" s="30"/>
      <c r="AR267" s="36"/>
      <c r="AS267" s="36"/>
      <c r="AT267" s="36"/>
      <c r="AU267" s="36"/>
      <c r="AV267" s="36"/>
      <c r="AW267" s="36"/>
      <c r="AX267" s="36"/>
      <c r="AY267" s="36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27"/>
      <c r="BL267" s="27"/>
    </row>
    <row r="268" spans="1:64">
      <c r="A268" s="25" t="s">
        <v>54</v>
      </c>
      <c r="B268" s="26">
        <v>46214</v>
      </c>
      <c r="C268" s="27"/>
      <c r="D268" s="27">
        <v>139059</v>
      </c>
      <c r="E268" s="27" t="s">
        <v>284</v>
      </c>
      <c r="F268" s="27" t="s">
        <v>59</v>
      </c>
      <c r="G268" s="27" t="s">
        <v>104</v>
      </c>
      <c r="H268" s="30" t="s">
        <v>953</v>
      </c>
      <c r="I268" s="31" t="s">
        <v>954</v>
      </c>
      <c r="J268" s="30" t="s">
        <v>955</v>
      </c>
      <c r="K268" s="27">
        <v>10</v>
      </c>
      <c r="L268" s="27">
        <v>60</v>
      </c>
      <c r="M268" s="27"/>
      <c r="N268" s="31" t="s">
        <v>94</v>
      </c>
      <c r="O268" s="27"/>
      <c r="P268" s="30"/>
      <c r="Q268" s="30" t="s">
        <v>66</v>
      </c>
      <c r="R268" s="26">
        <v>46217</v>
      </c>
      <c r="S268" s="26">
        <v>46218</v>
      </c>
      <c r="T268" s="31"/>
      <c r="U268" s="30" t="s">
        <v>68</v>
      </c>
      <c r="V268" s="34" t="s">
        <v>70</v>
      </c>
      <c r="W268" s="27" t="s">
        <v>284</v>
      </c>
      <c r="X268" s="30">
        <v>1</v>
      </c>
      <c r="Y268" s="30">
        <v>1</v>
      </c>
      <c r="Z268" s="30">
        <v>1</v>
      </c>
      <c r="AA268" s="30">
        <v>1</v>
      </c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 t="s">
        <v>69</v>
      </c>
      <c r="AM268" s="30"/>
      <c r="AN268" s="30"/>
      <c r="AO268" s="30" t="s">
        <v>105</v>
      </c>
      <c r="AP268" s="30"/>
      <c r="AQ268" s="30"/>
      <c r="AR268" s="36"/>
      <c r="AS268" s="36"/>
      <c r="AT268" s="36"/>
      <c r="AU268" s="36"/>
      <c r="AV268" s="36"/>
      <c r="AW268" s="36"/>
      <c r="AX268" s="36"/>
      <c r="AY268" s="36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27"/>
      <c r="BL268" s="27"/>
    </row>
    <row r="269" spans="1:64">
      <c r="A269" s="25" t="s">
        <v>54</v>
      </c>
      <c r="B269" s="26">
        <v>46214</v>
      </c>
      <c r="C269" s="27"/>
      <c r="D269" s="27">
        <v>139054</v>
      </c>
      <c r="E269" s="27" t="s">
        <v>284</v>
      </c>
      <c r="F269" s="27" t="s">
        <v>59</v>
      </c>
      <c r="G269" s="27" t="s">
        <v>104</v>
      </c>
      <c r="H269" s="30" t="s">
        <v>957</v>
      </c>
      <c r="I269" s="31" t="s">
        <v>958</v>
      </c>
      <c r="J269" s="30" t="s">
        <v>959</v>
      </c>
      <c r="K269" s="27">
        <v>12</v>
      </c>
      <c r="L269" s="27">
        <v>72</v>
      </c>
      <c r="M269" s="27"/>
      <c r="N269" s="31" t="s">
        <v>94</v>
      </c>
      <c r="O269" s="27"/>
      <c r="P269" s="30"/>
      <c r="Q269" s="30" t="s">
        <v>66</v>
      </c>
      <c r="R269" s="26">
        <v>46218</v>
      </c>
      <c r="S269" s="26">
        <v>46218</v>
      </c>
      <c r="T269" s="31"/>
      <c r="U269" s="30" t="s">
        <v>68</v>
      </c>
      <c r="V269" s="34" t="s">
        <v>70</v>
      </c>
      <c r="W269" s="27" t="s">
        <v>284</v>
      </c>
      <c r="X269" s="30">
        <v>1</v>
      </c>
      <c r="Y269" s="30">
        <v>1</v>
      </c>
      <c r="Z269" s="30">
        <v>1</v>
      </c>
      <c r="AA269" s="30">
        <v>1</v>
      </c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 t="s">
        <v>69</v>
      </c>
      <c r="AM269" s="30"/>
      <c r="AN269" s="30"/>
      <c r="AO269" s="30" t="s">
        <v>94</v>
      </c>
      <c r="AP269" s="30" t="s">
        <v>41</v>
      </c>
      <c r="AQ269" s="30"/>
      <c r="AR269" s="36"/>
      <c r="AS269" s="36"/>
      <c r="AT269" s="36"/>
      <c r="AU269" s="36"/>
      <c r="AV269" s="36"/>
      <c r="AW269" s="36"/>
      <c r="AX269" s="36"/>
      <c r="AY269" s="36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27"/>
      <c r="BL269" s="27"/>
    </row>
    <row r="270" spans="1:64">
      <c r="A270" s="25" t="s">
        <v>54</v>
      </c>
      <c r="B270" s="26">
        <v>46214</v>
      </c>
      <c r="C270" s="27"/>
      <c r="D270" s="27">
        <v>139060</v>
      </c>
      <c r="E270" s="27" t="s">
        <v>284</v>
      </c>
      <c r="F270" s="27" t="s">
        <v>59</v>
      </c>
      <c r="G270" s="27" t="s">
        <v>104</v>
      </c>
      <c r="H270" s="30" t="s">
        <v>484</v>
      </c>
      <c r="I270" s="31" t="s">
        <v>960</v>
      </c>
      <c r="J270" s="30" t="s">
        <v>961</v>
      </c>
      <c r="K270" s="27">
        <v>9</v>
      </c>
      <c r="L270" s="27">
        <v>54</v>
      </c>
      <c r="M270" s="27"/>
      <c r="N270" s="31" t="s">
        <v>94</v>
      </c>
      <c r="O270" s="27"/>
      <c r="P270" s="30"/>
      <c r="Q270" s="30" t="s">
        <v>66</v>
      </c>
      <c r="R270" s="26">
        <v>46218</v>
      </c>
      <c r="S270" s="26">
        <v>46218</v>
      </c>
      <c r="T270" s="31"/>
      <c r="U270" s="30" t="s">
        <v>68</v>
      </c>
      <c r="V270" s="34" t="s">
        <v>70</v>
      </c>
      <c r="W270" s="27" t="s">
        <v>284</v>
      </c>
      <c r="X270" s="30">
        <v>1</v>
      </c>
      <c r="Y270" s="30">
        <v>1</v>
      </c>
      <c r="Z270" s="30">
        <v>1</v>
      </c>
      <c r="AA270" s="30">
        <v>1</v>
      </c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 t="s">
        <v>69</v>
      </c>
      <c r="AM270" s="30"/>
      <c r="AN270" s="30"/>
      <c r="AO270" s="30" t="s">
        <v>94</v>
      </c>
      <c r="AP270" s="30" t="s">
        <v>41</v>
      </c>
      <c r="AQ270" s="30"/>
      <c r="AR270" s="36"/>
      <c r="AS270" s="36"/>
      <c r="AT270" s="36"/>
      <c r="AU270" s="36"/>
      <c r="AV270" s="36"/>
      <c r="AW270" s="36"/>
      <c r="AX270" s="36"/>
      <c r="AY270" s="36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27"/>
      <c r="BL270" s="27"/>
    </row>
    <row r="271" spans="1:64">
      <c r="A271" s="25" t="s">
        <v>54</v>
      </c>
      <c r="B271" s="26">
        <v>46214</v>
      </c>
      <c r="C271" s="27"/>
      <c r="D271" s="27">
        <v>139057</v>
      </c>
      <c r="E271" s="27" t="s">
        <v>284</v>
      </c>
      <c r="F271" s="27" t="s">
        <v>59</v>
      </c>
      <c r="G271" s="27" t="s">
        <v>104</v>
      </c>
      <c r="H271" s="30" t="s">
        <v>243</v>
      </c>
      <c r="I271" s="31" t="s">
        <v>963</v>
      </c>
      <c r="J271" s="30" t="s">
        <v>964</v>
      </c>
      <c r="K271" s="27">
        <v>15</v>
      </c>
      <c r="L271" s="27">
        <v>90</v>
      </c>
      <c r="M271" s="27"/>
      <c r="N271" s="31" t="s">
        <v>94</v>
      </c>
      <c r="O271" s="27"/>
      <c r="P271" s="30"/>
      <c r="Q271" s="30" t="s">
        <v>965</v>
      </c>
      <c r="R271" s="26">
        <v>46217</v>
      </c>
      <c r="S271" s="26">
        <v>46218</v>
      </c>
      <c r="T271" s="31"/>
      <c r="U271" s="30" t="s">
        <v>68</v>
      </c>
      <c r="V271" s="34" t="s">
        <v>70</v>
      </c>
      <c r="W271" s="27" t="s">
        <v>284</v>
      </c>
      <c r="X271" s="30">
        <v>1</v>
      </c>
      <c r="Y271" s="30">
        <v>1</v>
      </c>
      <c r="Z271" s="30">
        <v>1</v>
      </c>
      <c r="AA271" s="30">
        <v>1</v>
      </c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 t="s">
        <v>69</v>
      </c>
      <c r="AM271" s="30"/>
      <c r="AN271" s="30"/>
      <c r="AO271" s="30" t="s">
        <v>105</v>
      </c>
      <c r="AP271" s="30"/>
      <c r="AQ271" s="30"/>
      <c r="AR271" s="36"/>
      <c r="AS271" s="36"/>
      <c r="AT271" s="36"/>
      <c r="AU271" s="36"/>
      <c r="AV271" s="36"/>
      <c r="AW271" s="36"/>
      <c r="AX271" s="36"/>
      <c r="AY271" s="36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27"/>
      <c r="BL271" s="27"/>
    </row>
    <row r="272" spans="1:64">
      <c r="A272" s="25" t="s">
        <v>54</v>
      </c>
      <c r="B272" s="26">
        <v>46214</v>
      </c>
      <c r="C272" s="27"/>
      <c r="D272" s="27">
        <v>138994</v>
      </c>
      <c r="E272" s="27" t="s">
        <v>284</v>
      </c>
      <c r="F272" s="27" t="s">
        <v>59</v>
      </c>
      <c r="G272" s="27" t="s">
        <v>104</v>
      </c>
      <c r="H272" s="30" t="s">
        <v>28</v>
      </c>
      <c r="I272" s="31" t="s">
        <v>966</v>
      </c>
      <c r="J272" s="30" t="s">
        <v>967</v>
      </c>
      <c r="K272" s="27">
        <v>24</v>
      </c>
      <c r="L272" s="27">
        <v>144</v>
      </c>
      <c r="M272" s="27"/>
      <c r="N272" s="31" t="s">
        <v>384</v>
      </c>
      <c r="O272" s="27"/>
      <c r="P272" s="30"/>
      <c r="Q272" s="30" t="s">
        <v>66</v>
      </c>
      <c r="R272" s="26">
        <v>46217</v>
      </c>
      <c r="S272" s="26">
        <v>46218</v>
      </c>
      <c r="T272" s="31"/>
      <c r="U272" s="30" t="s">
        <v>68</v>
      </c>
      <c r="V272" s="34" t="s">
        <v>70</v>
      </c>
      <c r="W272" s="27" t="s">
        <v>284</v>
      </c>
      <c r="X272" s="30">
        <v>1</v>
      </c>
      <c r="Y272" s="30">
        <v>1</v>
      </c>
      <c r="Z272" s="30">
        <v>1</v>
      </c>
      <c r="AA272" s="30">
        <v>1</v>
      </c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 t="s">
        <v>69</v>
      </c>
      <c r="AM272" s="30"/>
      <c r="AN272" s="30"/>
      <c r="AO272" s="30" t="s">
        <v>968</v>
      </c>
      <c r="AP272" s="30"/>
      <c r="AQ272" s="30"/>
      <c r="AR272" s="36"/>
      <c r="AS272" s="36"/>
      <c r="AT272" s="36"/>
      <c r="AU272" s="36"/>
      <c r="AV272" s="36"/>
      <c r="AW272" s="36"/>
      <c r="AX272" s="36"/>
      <c r="AY272" s="36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27"/>
      <c r="BL272" s="27"/>
    </row>
    <row r="273" spans="1:64">
      <c r="A273" s="25" t="s">
        <v>54</v>
      </c>
      <c r="B273" s="26">
        <v>46214</v>
      </c>
      <c r="C273" s="27"/>
      <c r="D273" s="27">
        <v>139037</v>
      </c>
      <c r="E273" s="27" t="s">
        <v>284</v>
      </c>
      <c r="F273" s="27" t="s">
        <v>59</v>
      </c>
      <c r="G273" s="27" t="s">
        <v>104</v>
      </c>
      <c r="H273" s="30" t="s">
        <v>104</v>
      </c>
      <c r="I273" s="31" t="s">
        <v>969</v>
      </c>
      <c r="J273" s="30" t="s">
        <v>970</v>
      </c>
      <c r="K273" s="27">
        <v>35</v>
      </c>
      <c r="L273" s="27">
        <v>210</v>
      </c>
      <c r="M273" s="27"/>
      <c r="N273" s="31" t="s">
        <v>94</v>
      </c>
      <c r="O273" s="27"/>
      <c r="P273" s="30"/>
      <c r="Q273" s="30" t="s">
        <v>971</v>
      </c>
      <c r="R273" s="26">
        <v>46217</v>
      </c>
      <c r="S273" s="26">
        <v>46218</v>
      </c>
      <c r="T273" s="31"/>
      <c r="U273" s="30" t="s">
        <v>68</v>
      </c>
      <c r="V273" s="34" t="s">
        <v>70</v>
      </c>
      <c r="W273" s="27" t="s">
        <v>284</v>
      </c>
      <c r="X273" s="30">
        <v>1</v>
      </c>
      <c r="Y273" s="30">
        <v>1</v>
      </c>
      <c r="Z273" s="30">
        <v>1</v>
      </c>
      <c r="AA273" s="30">
        <v>1</v>
      </c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 t="s">
        <v>69</v>
      </c>
      <c r="AM273" s="30"/>
      <c r="AN273" s="30"/>
      <c r="AO273" s="30" t="s">
        <v>105</v>
      </c>
      <c r="AP273" s="30"/>
      <c r="AQ273" s="30"/>
      <c r="AR273" s="36"/>
      <c r="AS273" s="36"/>
      <c r="AT273" s="36"/>
      <c r="AU273" s="36"/>
      <c r="AV273" s="36"/>
      <c r="AW273" s="36"/>
      <c r="AX273" s="36"/>
      <c r="AY273" s="36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27"/>
      <c r="BL273" s="27"/>
    </row>
    <row r="274" spans="1:64">
      <c r="A274" s="25" t="s">
        <v>54</v>
      </c>
      <c r="B274" s="26">
        <v>46214</v>
      </c>
      <c r="C274" s="27"/>
      <c r="D274" s="27">
        <v>138995</v>
      </c>
      <c r="E274" s="27" t="s">
        <v>284</v>
      </c>
      <c r="F274" s="27" t="s">
        <v>59</v>
      </c>
      <c r="G274" s="27" t="s">
        <v>104</v>
      </c>
      <c r="H274" s="30" t="s">
        <v>144</v>
      </c>
      <c r="I274" s="31" t="s">
        <v>973</v>
      </c>
      <c r="J274" s="30" t="s">
        <v>974</v>
      </c>
      <c r="K274" s="27">
        <v>15</v>
      </c>
      <c r="L274" s="27">
        <v>90</v>
      </c>
      <c r="M274" s="27"/>
      <c r="N274" s="31" t="s">
        <v>455</v>
      </c>
      <c r="O274" s="27"/>
      <c r="P274" s="30"/>
      <c r="Q274" s="30" t="s">
        <v>503</v>
      </c>
      <c r="R274" s="26">
        <v>46220</v>
      </c>
      <c r="S274" s="26">
        <v>46223</v>
      </c>
      <c r="T274" s="31"/>
      <c r="U274" s="30" t="s">
        <v>68</v>
      </c>
      <c r="V274" s="34" t="s">
        <v>70</v>
      </c>
      <c r="W274" s="27" t="s">
        <v>284</v>
      </c>
      <c r="X274" s="30">
        <v>1</v>
      </c>
      <c r="Y274" s="30">
        <v>1</v>
      </c>
      <c r="Z274" s="30">
        <v>1</v>
      </c>
      <c r="AA274" s="30">
        <v>1</v>
      </c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 t="s">
        <v>69</v>
      </c>
      <c r="AM274" s="30"/>
      <c r="AN274" s="30"/>
      <c r="AO274" s="30"/>
      <c r="AP274" s="30"/>
      <c r="AQ274" s="30" t="s">
        <v>455</v>
      </c>
      <c r="AR274" s="36" t="s">
        <v>41</v>
      </c>
      <c r="AS274" s="36"/>
      <c r="AT274" s="36"/>
      <c r="AU274" s="36"/>
      <c r="AV274" s="36"/>
      <c r="AW274" s="36"/>
      <c r="AX274" s="36"/>
      <c r="AY274" s="36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27"/>
      <c r="BL274" s="27"/>
    </row>
    <row r="275" spans="1:64">
      <c r="A275" s="25" t="s">
        <v>54</v>
      </c>
      <c r="B275" s="26">
        <v>46214</v>
      </c>
      <c r="C275" s="27"/>
      <c r="D275" s="27">
        <v>138997</v>
      </c>
      <c r="E275" s="27" t="s">
        <v>284</v>
      </c>
      <c r="F275" s="27" t="s">
        <v>59</v>
      </c>
      <c r="G275" s="27" t="s">
        <v>104</v>
      </c>
      <c r="H275" s="30" t="s">
        <v>976</v>
      </c>
      <c r="I275" s="31" t="s">
        <v>977</v>
      </c>
      <c r="J275" s="30" t="s">
        <v>978</v>
      </c>
      <c r="K275" s="27">
        <v>3</v>
      </c>
      <c r="L275" s="27">
        <v>18</v>
      </c>
      <c r="M275" s="27"/>
      <c r="N275" s="31" t="s">
        <v>95</v>
      </c>
      <c r="O275" s="27"/>
      <c r="P275" s="30"/>
      <c r="Q275" s="30" t="s">
        <v>66</v>
      </c>
      <c r="R275" s="26">
        <v>46218</v>
      </c>
      <c r="S275" s="26">
        <v>46221</v>
      </c>
      <c r="T275" s="31"/>
      <c r="U275" s="30" t="s">
        <v>68</v>
      </c>
      <c r="V275" s="34" t="s">
        <v>70</v>
      </c>
      <c r="W275" s="27" t="s">
        <v>284</v>
      </c>
      <c r="X275" s="30">
        <v>1</v>
      </c>
      <c r="Y275" s="30">
        <v>1</v>
      </c>
      <c r="Z275" s="30">
        <v>1</v>
      </c>
      <c r="AA275" s="30">
        <v>1</v>
      </c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 t="s">
        <v>69</v>
      </c>
      <c r="AM275" s="30"/>
      <c r="AN275" s="30"/>
      <c r="AO275" s="30"/>
      <c r="AP275" s="30" t="s">
        <v>979</v>
      </c>
      <c r="AQ275" s="30"/>
      <c r="AR275" s="36"/>
      <c r="AS275" s="36"/>
      <c r="AT275" s="36"/>
      <c r="AU275" s="36"/>
      <c r="AV275" s="36"/>
      <c r="AW275" s="36"/>
      <c r="AX275" s="36"/>
      <c r="AY275" s="36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27"/>
      <c r="BL275" s="27"/>
    </row>
    <row r="276" spans="1:64">
      <c r="A276" s="25" t="s">
        <v>54</v>
      </c>
      <c r="B276" s="26">
        <v>46214</v>
      </c>
      <c r="C276" s="27"/>
      <c r="D276" s="27">
        <v>139055</v>
      </c>
      <c r="E276" s="27" t="s">
        <v>284</v>
      </c>
      <c r="F276" s="27" t="s">
        <v>59</v>
      </c>
      <c r="G276" s="27" t="s">
        <v>104</v>
      </c>
      <c r="H276" s="30" t="s">
        <v>767</v>
      </c>
      <c r="I276" s="31" t="s">
        <v>980</v>
      </c>
      <c r="J276" s="30" t="s">
        <v>981</v>
      </c>
      <c r="K276" s="27">
        <v>14</v>
      </c>
      <c r="L276" s="27">
        <v>84</v>
      </c>
      <c r="M276" s="27"/>
      <c r="N276" s="31" t="s">
        <v>695</v>
      </c>
      <c r="O276" s="27"/>
      <c r="P276" s="30"/>
      <c r="Q276" s="30" t="s">
        <v>982</v>
      </c>
      <c r="R276" s="26">
        <v>46217</v>
      </c>
      <c r="S276" s="26">
        <v>46218</v>
      </c>
      <c r="T276" s="31"/>
      <c r="U276" s="30" t="s">
        <v>68</v>
      </c>
      <c r="V276" s="34" t="s">
        <v>70</v>
      </c>
      <c r="W276" s="27" t="s">
        <v>284</v>
      </c>
      <c r="X276" s="30">
        <v>1</v>
      </c>
      <c r="Y276" s="30">
        <v>1</v>
      </c>
      <c r="Z276" s="30">
        <v>1</v>
      </c>
      <c r="AA276" s="30">
        <v>1</v>
      </c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 t="s">
        <v>69</v>
      </c>
      <c r="AM276" s="30"/>
      <c r="AN276" s="30"/>
      <c r="AO276" s="30" t="s">
        <v>925</v>
      </c>
      <c r="AP276" s="30"/>
      <c r="AQ276" s="30"/>
      <c r="AR276" s="36"/>
      <c r="AS276" s="36"/>
      <c r="AT276" s="36"/>
      <c r="AU276" s="36"/>
      <c r="AV276" s="36"/>
      <c r="AW276" s="36"/>
      <c r="AX276" s="36"/>
      <c r="AY276" s="36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27"/>
      <c r="BL276" s="27"/>
    </row>
    <row r="277" spans="1:64">
      <c r="A277" s="25" t="s">
        <v>54</v>
      </c>
      <c r="B277" s="26">
        <v>46214</v>
      </c>
      <c r="C277" s="27"/>
      <c r="D277" s="27">
        <v>139052</v>
      </c>
      <c r="E277" s="27" t="s">
        <v>284</v>
      </c>
      <c r="F277" s="27" t="s">
        <v>59</v>
      </c>
      <c r="G277" s="27" t="s">
        <v>104</v>
      </c>
      <c r="H277" s="30" t="s">
        <v>538</v>
      </c>
      <c r="I277" s="31" t="s">
        <v>983</v>
      </c>
      <c r="J277" s="30" t="s">
        <v>984</v>
      </c>
      <c r="K277" s="27">
        <v>12</v>
      </c>
      <c r="L277" s="27">
        <v>72</v>
      </c>
      <c r="M277" s="27"/>
      <c r="N277" s="31" t="s">
        <v>695</v>
      </c>
      <c r="O277" s="27"/>
      <c r="P277" s="30"/>
      <c r="Q277" s="30" t="s">
        <v>985</v>
      </c>
      <c r="R277" s="26">
        <v>46217</v>
      </c>
      <c r="S277" s="26">
        <v>46220</v>
      </c>
      <c r="T277" s="31"/>
      <c r="U277" s="30" t="s">
        <v>68</v>
      </c>
      <c r="V277" s="34" t="s">
        <v>70</v>
      </c>
      <c r="W277" s="27" t="s">
        <v>284</v>
      </c>
      <c r="X277" s="30">
        <v>1</v>
      </c>
      <c r="Y277" s="30">
        <v>1</v>
      </c>
      <c r="Z277" s="30">
        <v>1</v>
      </c>
      <c r="AA277" s="30">
        <v>1</v>
      </c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 t="s">
        <v>69</v>
      </c>
      <c r="AM277" s="30"/>
      <c r="AN277" s="30"/>
      <c r="AO277" s="30" t="s">
        <v>925</v>
      </c>
      <c r="AP277" s="30"/>
      <c r="AQ277" s="30"/>
      <c r="AR277" s="36"/>
      <c r="AS277" s="36"/>
      <c r="AT277" s="36"/>
      <c r="AU277" s="36"/>
      <c r="AV277" s="36"/>
      <c r="AW277" s="36"/>
      <c r="AX277" s="36"/>
      <c r="AY277" s="36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27"/>
      <c r="BL277" s="27"/>
    </row>
    <row r="278" spans="1:64">
      <c r="A278" s="25" t="s">
        <v>54</v>
      </c>
      <c r="B278" s="26">
        <v>46214</v>
      </c>
      <c r="C278" s="27"/>
      <c r="D278" s="27">
        <v>139058</v>
      </c>
      <c r="E278" s="27" t="s">
        <v>284</v>
      </c>
      <c r="F278" s="27" t="s">
        <v>59</v>
      </c>
      <c r="G278" s="27" t="s">
        <v>104</v>
      </c>
      <c r="H278" s="30" t="s">
        <v>60</v>
      </c>
      <c r="I278" s="31" t="s">
        <v>986</v>
      </c>
      <c r="J278" s="30" t="s">
        <v>987</v>
      </c>
      <c r="K278" s="27">
        <v>15</v>
      </c>
      <c r="L278" s="27">
        <v>90</v>
      </c>
      <c r="M278" s="27"/>
      <c r="N278" s="31" t="s">
        <v>695</v>
      </c>
      <c r="O278" s="27"/>
      <c r="P278" s="30"/>
      <c r="Q278" s="30" t="s">
        <v>988</v>
      </c>
      <c r="R278" s="26">
        <v>46217</v>
      </c>
      <c r="S278" s="26">
        <v>46218</v>
      </c>
      <c r="T278" s="31"/>
      <c r="U278" s="30" t="s">
        <v>68</v>
      </c>
      <c r="V278" s="34" t="s">
        <v>70</v>
      </c>
      <c r="W278" s="27" t="s">
        <v>284</v>
      </c>
      <c r="X278" s="30">
        <v>1</v>
      </c>
      <c r="Y278" s="30">
        <v>1</v>
      </c>
      <c r="Z278" s="30">
        <v>1</v>
      </c>
      <c r="AA278" s="30">
        <v>1</v>
      </c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 t="s">
        <v>69</v>
      </c>
      <c r="AM278" s="30"/>
      <c r="AN278" s="30"/>
      <c r="AO278" s="30" t="s">
        <v>925</v>
      </c>
      <c r="AP278" s="30"/>
      <c r="AQ278" s="30"/>
      <c r="AR278" s="36"/>
      <c r="AS278" s="36"/>
      <c r="AT278" s="36"/>
      <c r="AU278" s="36"/>
      <c r="AV278" s="36"/>
      <c r="AW278" s="36"/>
      <c r="AX278" s="36"/>
      <c r="AY278" s="36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27"/>
      <c r="BL278" s="27"/>
    </row>
    <row r="279" spans="1:64">
      <c r="A279" s="25" t="s">
        <v>187</v>
      </c>
      <c r="B279" s="26">
        <v>46214</v>
      </c>
      <c r="C279" s="27">
        <v>30167</v>
      </c>
      <c r="D279" s="27"/>
      <c r="E279" s="27" t="s">
        <v>58</v>
      </c>
      <c r="F279" s="27" t="s">
        <v>59</v>
      </c>
      <c r="G279" s="27" t="s">
        <v>365</v>
      </c>
      <c r="H279" s="30" t="s">
        <v>989</v>
      </c>
      <c r="I279" s="31" t="s">
        <v>990</v>
      </c>
      <c r="J279" s="30" t="s">
        <v>991</v>
      </c>
      <c r="K279" s="27">
        <v>40</v>
      </c>
      <c r="L279" s="27">
        <v>192</v>
      </c>
      <c r="M279" s="27"/>
      <c r="N279" s="31" t="s">
        <v>81</v>
      </c>
      <c r="O279" s="27"/>
      <c r="P279" s="30"/>
      <c r="Q279" s="30" t="s">
        <v>434</v>
      </c>
      <c r="R279" s="26">
        <v>46219</v>
      </c>
      <c r="S279" s="26">
        <v>46220</v>
      </c>
      <c r="T279" s="31"/>
      <c r="U279" s="30" t="s">
        <v>68</v>
      </c>
      <c r="V279" s="34" t="s">
        <v>70</v>
      </c>
      <c r="W279" s="27" t="s">
        <v>71</v>
      </c>
      <c r="X279" s="30">
        <v>1</v>
      </c>
      <c r="Y279" s="30">
        <v>1</v>
      </c>
      <c r="Z279" s="30">
        <v>1</v>
      </c>
      <c r="AA279" s="30">
        <v>1</v>
      </c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 t="s">
        <v>69</v>
      </c>
      <c r="AM279" s="30"/>
      <c r="AN279" s="30"/>
      <c r="AO279" s="30"/>
      <c r="AP279" s="30" t="s">
        <v>81</v>
      </c>
      <c r="AQ279" s="30" t="s">
        <v>90</v>
      </c>
      <c r="AR279" s="36"/>
      <c r="AS279" s="36"/>
      <c r="AT279" s="36"/>
      <c r="AU279" s="36"/>
      <c r="AV279" s="36"/>
      <c r="AW279" s="36"/>
      <c r="AX279" s="36"/>
      <c r="AY279" s="36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27"/>
      <c r="BL279" s="27"/>
    </row>
    <row r="280" spans="1:64">
      <c r="A280" s="25" t="s">
        <v>54</v>
      </c>
      <c r="B280" s="26">
        <v>46214</v>
      </c>
      <c r="C280" s="27"/>
      <c r="D280" s="27">
        <v>139043</v>
      </c>
      <c r="E280" s="27" t="s">
        <v>574</v>
      </c>
      <c r="F280" s="27" t="s">
        <v>59</v>
      </c>
      <c r="G280" s="27" t="s">
        <v>294</v>
      </c>
      <c r="H280" s="30" t="s">
        <v>992</v>
      </c>
      <c r="I280" s="31" t="s">
        <v>993</v>
      </c>
      <c r="J280" s="30" t="s">
        <v>992</v>
      </c>
      <c r="K280" s="27">
        <v>17</v>
      </c>
      <c r="L280" s="27">
        <v>102</v>
      </c>
      <c r="M280" s="27"/>
      <c r="N280" s="31" t="s">
        <v>154</v>
      </c>
      <c r="O280" s="27"/>
      <c r="P280" s="30"/>
      <c r="Q280" s="30" t="s">
        <v>994</v>
      </c>
      <c r="R280" s="26">
        <v>46216</v>
      </c>
      <c r="S280" s="26">
        <v>46227</v>
      </c>
      <c r="T280" s="31"/>
      <c r="U280" s="30" t="s">
        <v>68</v>
      </c>
      <c r="V280" s="34" t="s">
        <v>70</v>
      </c>
      <c r="W280" s="27" t="s">
        <v>284</v>
      </c>
      <c r="X280" s="30">
        <v>1</v>
      </c>
      <c r="Y280" s="30">
        <v>1</v>
      </c>
      <c r="Z280" s="30">
        <v>1</v>
      </c>
      <c r="AA280" s="30">
        <v>1</v>
      </c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 t="s">
        <v>69</v>
      </c>
      <c r="AM280" s="30"/>
      <c r="AN280" s="30" t="s">
        <v>934</v>
      </c>
      <c r="AO280" s="30"/>
      <c r="AP280" s="30"/>
      <c r="AQ280" s="30"/>
      <c r="AR280" s="36"/>
      <c r="AS280" s="36"/>
      <c r="AT280" s="36"/>
      <c r="AU280" s="36"/>
      <c r="AV280" s="36"/>
      <c r="AW280" s="36"/>
      <c r="AX280" s="36"/>
      <c r="AY280" s="36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27"/>
      <c r="BL280" s="27"/>
    </row>
    <row r="281" spans="1:64">
      <c r="A281" s="25" t="s">
        <v>54</v>
      </c>
      <c r="B281" s="26">
        <v>46214</v>
      </c>
      <c r="C281" s="27"/>
      <c r="D281" s="27">
        <v>139040</v>
      </c>
      <c r="E281" s="27" t="s">
        <v>574</v>
      </c>
      <c r="F281" s="27" t="s">
        <v>59</v>
      </c>
      <c r="G281" s="27" t="s">
        <v>294</v>
      </c>
      <c r="H281" s="30" t="s">
        <v>992</v>
      </c>
      <c r="I281" s="31" t="s">
        <v>995</v>
      </c>
      <c r="J281" s="30" t="s">
        <v>992</v>
      </c>
      <c r="K281" s="27">
        <v>3</v>
      </c>
      <c r="L281" s="27">
        <v>18</v>
      </c>
      <c r="M281" s="27"/>
      <c r="N281" s="31" t="s">
        <v>154</v>
      </c>
      <c r="O281" s="27"/>
      <c r="P281" s="30"/>
      <c r="Q281" s="30" t="s">
        <v>996</v>
      </c>
      <c r="R281" s="26">
        <v>46216</v>
      </c>
      <c r="S281" s="26">
        <v>46219</v>
      </c>
      <c r="T281" s="31"/>
      <c r="U281" s="30" t="s">
        <v>68</v>
      </c>
      <c r="V281" s="34" t="s">
        <v>70</v>
      </c>
      <c r="W281" s="27" t="s">
        <v>284</v>
      </c>
      <c r="X281" s="30">
        <v>1</v>
      </c>
      <c r="Y281" s="30">
        <v>1</v>
      </c>
      <c r="Z281" s="30">
        <v>1</v>
      </c>
      <c r="AA281" s="30">
        <v>1</v>
      </c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 t="s">
        <v>69</v>
      </c>
      <c r="AM281" s="30"/>
      <c r="AN281" s="30" t="s">
        <v>934</v>
      </c>
      <c r="AO281" s="30"/>
      <c r="AP281" s="30"/>
      <c r="AQ281" s="30"/>
      <c r="AR281" s="36"/>
      <c r="AS281" s="36"/>
      <c r="AT281" s="36"/>
      <c r="AU281" s="36"/>
      <c r="AV281" s="36"/>
      <c r="AW281" s="36"/>
      <c r="AX281" s="36"/>
      <c r="AY281" s="36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27"/>
      <c r="BL281" s="27"/>
    </row>
    <row r="282" spans="1:64">
      <c r="A282" s="25" t="s">
        <v>54</v>
      </c>
      <c r="B282" s="26">
        <v>46214</v>
      </c>
      <c r="C282" s="27"/>
      <c r="D282" s="27">
        <v>139036</v>
      </c>
      <c r="E282" s="27" t="s">
        <v>574</v>
      </c>
      <c r="F282" s="27" t="s">
        <v>59</v>
      </c>
      <c r="G282" s="27" t="s">
        <v>294</v>
      </c>
      <c r="H282" s="30" t="s">
        <v>862</v>
      </c>
      <c r="I282" s="31" t="s">
        <v>997</v>
      </c>
      <c r="J282" s="30" t="s">
        <v>862</v>
      </c>
      <c r="K282" s="27">
        <v>4</v>
      </c>
      <c r="L282" s="27">
        <v>24</v>
      </c>
      <c r="M282" s="27"/>
      <c r="N282" s="31" t="s">
        <v>154</v>
      </c>
      <c r="O282" s="27"/>
      <c r="P282" s="30"/>
      <c r="Q282" s="30" t="s">
        <v>66</v>
      </c>
      <c r="R282" s="26">
        <v>46216</v>
      </c>
      <c r="S282" s="26">
        <v>46223</v>
      </c>
      <c r="T282" s="31"/>
      <c r="U282" s="30" t="s">
        <v>68</v>
      </c>
      <c r="V282" s="34" t="s">
        <v>70</v>
      </c>
      <c r="W282" s="27" t="s">
        <v>284</v>
      </c>
      <c r="X282" s="30">
        <v>1</v>
      </c>
      <c r="Y282" s="30">
        <v>1</v>
      </c>
      <c r="Z282" s="30">
        <v>1</v>
      </c>
      <c r="AA282" s="30">
        <v>1</v>
      </c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 t="s">
        <v>69</v>
      </c>
      <c r="AM282" s="30"/>
      <c r="AN282" s="30" t="s">
        <v>934</v>
      </c>
      <c r="AO282" s="30"/>
      <c r="AP282" s="30"/>
      <c r="AQ282" s="30"/>
      <c r="AR282" s="36"/>
      <c r="AS282" s="36"/>
      <c r="AT282" s="36"/>
      <c r="AU282" s="36"/>
      <c r="AV282" s="36"/>
      <c r="AW282" s="36"/>
      <c r="AX282" s="36"/>
      <c r="AY282" s="36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27"/>
      <c r="BL282" s="27"/>
    </row>
    <row r="283" spans="1:64">
      <c r="A283" s="25" t="s">
        <v>54</v>
      </c>
      <c r="B283" s="26">
        <v>46214</v>
      </c>
      <c r="C283" s="27"/>
      <c r="D283" s="27">
        <v>139044</v>
      </c>
      <c r="E283" s="27" t="s">
        <v>574</v>
      </c>
      <c r="F283" s="27" t="s">
        <v>59</v>
      </c>
      <c r="G283" s="27" t="s">
        <v>294</v>
      </c>
      <c r="H283" s="30" t="s">
        <v>151</v>
      </c>
      <c r="I283" s="31" t="s">
        <v>998</v>
      </c>
      <c r="J283" s="30" t="s">
        <v>378</v>
      </c>
      <c r="K283" s="27">
        <v>13</v>
      </c>
      <c r="L283" s="27">
        <v>78</v>
      </c>
      <c r="M283" s="27"/>
      <c r="N283" s="31" t="s">
        <v>154</v>
      </c>
      <c r="O283" s="27"/>
      <c r="P283" s="30"/>
      <c r="Q283" s="30" t="s">
        <v>999</v>
      </c>
      <c r="R283" s="26">
        <v>46217</v>
      </c>
      <c r="S283" s="26">
        <v>46223</v>
      </c>
      <c r="T283" s="31"/>
      <c r="U283" s="30" t="s">
        <v>68</v>
      </c>
      <c r="V283" s="34" t="s">
        <v>70</v>
      </c>
      <c r="W283" s="27" t="s">
        <v>284</v>
      </c>
      <c r="X283" s="30">
        <v>1</v>
      </c>
      <c r="Y283" s="30">
        <v>1</v>
      </c>
      <c r="Z283" s="30">
        <v>1</v>
      </c>
      <c r="AA283" s="30">
        <v>1</v>
      </c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 t="s">
        <v>69</v>
      </c>
      <c r="AM283" s="30"/>
      <c r="AN283" s="30" t="s">
        <v>595</v>
      </c>
      <c r="AO283" s="30" t="s">
        <v>41</v>
      </c>
      <c r="AP283" s="30"/>
      <c r="AQ283" s="30"/>
      <c r="AR283" s="36"/>
      <c r="AS283" s="36"/>
      <c r="AT283" s="36"/>
      <c r="AU283" s="36"/>
      <c r="AV283" s="36"/>
      <c r="AW283" s="36"/>
      <c r="AX283" s="36"/>
      <c r="AY283" s="36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27"/>
      <c r="BL283" s="27"/>
    </row>
    <row r="284" spans="1:64">
      <c r="A284" s="25" t="s">
        <v>54</v>
      </c>
      <c r="B284" s="26">
        <v>46214</v>
      </c>
      <c r="C284" s="27"/>
      <c r="D284" s="27">
        <v>139029</v>
      </c>
      <c r="E284" s="27" t="s">
        <v>574</v>
      </c>
      <c r="F284" s="27" t="s">
        <v>59</v>
      </c>
      <c r="G284" s="27" t="s">
        <v>294</v>
      </c>
      <c r="H284" s="30" t="s">
        <v>151</v>
      </c>
      <c r="I284" s="31" t="s">
        <v>1000</v>
      </c>
      <c r="J284" s="30" t="s">
        <v>378</v>
      </c>
      <c r="K284" s="27">
        <v>32</v>
      </c>
      <c r="L284" s="27">
        <v>192</v>
      </c>
      <c r="M284" s="27"/>
      <c r="N284" s="31" t="s">
        <v>154</v>
      </c>
      <c r="O284" s="27"/>
      <c r="P284" s="30"/>
      <c r="Q284" s="30" t="s">
        <v>82</v>
      </c>
      <c r="R284" s="26">
        <v>46217</v>
      </c>
      <c r="S284" s="26">
        <v>46227</v>
      </c>
      <c r="T284" s="31"/>
      <c r="U284" s="30" t="s">
        <v>68</v>
      </c>
      <c r="V284" s="34" t="s">
        <v>70</v>
      </c>
      <c r="W284" s="27" t="s">
        <v>284</v>
      </c>
      <c r="X284" s="30">
        <v>1</v>
      </c>
      <c r="Y284" s="30">
        <v>1</v>
      </c>
      <c r="Z284" s="30">
        <v>1</v>
      </c>
      <c r="AA284" s="30">
        <v>1</v>
      </c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 t="s">
        <v>69</v>
      </c>
      <c r="AM284" s="30"/>
      <c r="AN284" s="30" t="s">
        <v>595</v>
      </c>
      <c r="AO284" s="30" t="s">
        <v>41</v>
      </c>
      <c r="AP284" s="30"/>
      <c r="AQ284" s="30"/>
      <c r="AR284" s="36"/>
      <c r="AS284" s="36"/>
      <c r="AT284" s="36"/>
      <c r="AU284" s="36"/>
      <c r="AV284" s="36"/>
      <c r="AW284" s="36"/>
      <c r="AX284" s="36"/>
      <c r="AY284" s="36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27"/>
      <c r="BL284" s="27"/>
    </row>
    <row r="285" spans="1:64">
      <c r="A285" s="25" t="s">
        <v>54</v>
      </c>
      <c r="B285" s="26">
        <v>46214</v>
      </c>
      <c r="C285" s="27"/>
      <c r="D285" s="27">
        <v>139045</v>
      </c>
      <c r="E285" s="27" t="s">
        <v>574</v>
      </c>
      <c r="F285" s="27" t="s">
        <v>59</v>
      </c>
      <c r="G285" s="27" t="s">
        <v>294</v>
      </c>
      <c r="H285" s="30" t="s">
        <v>249</v>
      </c>
      <c r="I285" s="31" t="s">
        <v>1001</v>
      </c>
      <c r="J285" s="30" t="s">
        <v>249</v>
      </c>
      <c r="K285" s="27">
        <v>5</v>
      </c>
      <c r="L285" s="27">
        <v>30</v>
      </c>
      <c r="M285" s="27"/>
      <c r="N285" s="31" t="s">
        <v>154</v>
      </c>
      <c r="O285" s="27"/>
      <c r="P285" s="30"/>
      <c r="Q285" s="30" t="s">
        <v>1002</v>
      </c>
      <c r="R285" s="26">
        <v>46217</v>
      </c>
      <c r="S285" s="26">
        <v>46219</v>
      </c>
      <c r="T285" s="31"/>
      <c r="U285" s="30" t="s">
        <v>68</v>
      </c>
      <c r="V285" s="34" t="s">
        <v>70</v>
      </c>
      <c r="W285" s="27" t="s">
        <v>284</v>
      </c>
      <c r="X285" s="30">
        <v>1</v>
      </c>
      <c r="Y285" s="30">
        <v>1</v>
      </c>
      <c r="Z285" s="30">
        <v>1</v>
      </c>
      <c r="AA285" s="30">
        <v>1</v>
      </c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 t="s">
        <v>69</v>
      </c>
      <c r="AM285" s="30"/>
      <c r="AN285" s="30" t="s">
        <v>595</v>
      </c>
      <c r="AO285" s="30" t="s">
        <v>41</v>
      </c>
      <c r="AP285" s="30"/>
      <c r="AQ285" s="30"/>
      <c r="AR285" s="36"/>
      <c r="AS285" s="36"/>
      <c r="AT285" s="36"/>
      <c r="AU285" s="36"/>
      <c r="AV285" s="36"/>
      <c r="AW285" s="36"/>
      <c r="AX285" s="36"/>
      <c r="AY285" s="36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27"/>
      <c r="BL285" s="27"/>
    </row>
    <row r="286" spans="1:64">
      <c r="A286" s="25" t="s">
        <v>54</v>
      </c>
      <c r="B286" s="26">
        <v>46214</v>
      </c>
      <c r="C286" s="27"/>
      <c r="D286" s="27">
        <v>139050</v>
      </c>
      <c r="E286" s="27" t="s">
        <v>574</v>
      </c>
      <c r="F286" s="27" t="s">
        <v>59</v>
      </c>
      <c r="G286" s="27" t="s">
        <v>294</v>
      </c>
      <c r="H286" s="30" t="s">
        <v>249</v>
      </c>
      <c r="I286" s="31" t="s">
        <v>1003</v>
      </c>
      <c r="J286" s="30" t="s">
        <v>249</v>
      </c>
      <c r="K286" s="27">
        <v>13</v>
      </c>
      <c r="L286" s="27">
        <v>78</v>
      </c>
      <c r="M286" s="27"/>
      <c r="N286" s="31" t="s">
        <v>154</v>
      </c>
      <c r="O286" s="27"/>
      <c r="P286" s="30"/>
      <c r="Q286" s="30" t="s">
        <v>1004</v>
      </c>
      <c r="R286" s="26">
        <v>46217</v>
      </c>
      <c r="S286" s="26">
        <v>46219</v>
      </c>
      <c r="T286" s="31"/>
      <c r="U286" s="30" t="s">
        <v>68</v>
      </c>
      <c r="V286" s="34" t="s">
        <v>70</v>
      </c>
      <c r="W286" s="27" t="s">
        <v>284</v>
      </c>
      <c r="X286" s="30">
        <v>1</v>
      </c>
      <c r="Y286" s="30">
        <v>1</v>
      </c>
      <c r="Z286" s="30">
        <v>1</v>
      </c>
      <c r="AA286" s="30">
        <v>1</v>
      </c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 t="s">
        <v>69</v>
      </c>
      <c r="AM286" s="30"/>
      <c r="AN286" s="30" t="s">
        <v>595</v>
      </c>
      <c r="AO286" s="30" t="s">
        <v>41</v>
      </c>
      <c r="AP286" s="30"/>
      <c r="AQ286" s="30"/>
      <c r="AR286" s="36"/>
      <c r="AS286" s="36"/>
      <c r="AT286" s="36"/>
      <c r="AU286" s="36"/>
      <c r="AV286" s="36"/>
      <c r="AW286" s="36"/>
      <c r="AX286" s="36"/>
      <c r="AY286" s="36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27"/>
      <c r="BL286" s="27"/>
    </row>
    <row r="287" spans="1:64">
      <c r="A287" s="25" t="s">
        <v>54</v>
      </c>
      <c r="B287" s="26">
        <v>46214</v>
      </c>
      <c r="C287" s="27"/>
      <c r="D287" s="27">
        <v>139048</v>
      </c>
      <c r="E287" s="27" t="s">
        <v>574</v>
      </c>
      <c r="F287" s="27" t="s">
        <v>59</v>
      </c>
      <c r="G287" s="27" t="s">
        <v>294</v>
      </c>
      <c r="H287" s="30" t="s">
        <v>714</v>
      </c>
      <c r="I287" s="31" t="s">
        <v>1005</v>
      </c>
      <c r="J287" s="30" t="s">
        <v>714</v>
      </c>
      <c r="K287" s="27">
        <v>13</v>
      </c>
      <c r="L287" s="27">
        <v>78</v>
      </c>
      <c r="M287" s="27"/>
      <c r="N287" s="31" t="s">
        <v>154</v>
      </c>
      <c r="O287" s="27"/>
      <c r="P287" s="30"/>
      <c r="Q287" s="30" t="s">
        <v>1006</v>
      </c>
      <c r="R287" s="26">
        <v>46217</v>
      </c>
      <c r="S287" s="26">
        <v>46219</v>
      </c>
      <c r="T287" s="31"/>
      <c r="U287" s="30" t="s">
        <v>68</v>
      </c>
      <c r="V287" s="34" t="s">
        <v>70</v>
      </c>
      <c r="W287" s="27" t="s">
        <v>284</v>
      </c>
      <c r="X287" s="30">
        <v>1</v>
      </c>
      <c r="Y287" s="30">
        <v>1</v>
      </c>
      <c r="Z287" s="30">
        <v>1</v>
      </c>
      <c r="AA287" s="30">
        <v>1</v>
      </c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 t="s">
        <v>69</v>
      </c>
      <c r="AM287" s="30"/>
      <c r="AN287" s="30" t="s">
        <v>595</v>
      </c>
      <c r="AO287" s="30" t="s">
        <v>41</v>
      </c>
      <c r="AP287" s="30"/>
      <c r="AQ287" s="30"/>
      <c r="AR287" s="36"/>
      <c r="AS287" s="36"/>
      <c r="AT287" s="36"/>
      <c r="AU287" s="36"/>
      <c r="AV287" s="36"/>
      <c r="AW287" s="36"/>
      <c r="AX287" s="36"/>
      <c r="AY287" s="36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27"/>
      <c r="BL287" s="27"/>
    </row>
    <row r="288" spans="1:64">
      <c r="A288" s="25" t="s">
        <v>54</v>
      </c>
      <c r="B288" s="26">
        <v>46214</v>
      </c>
      <c r="C288" s="27"/>
      <c r="D288" s="27">
        <v>139049</v>
      </c>
      <c r="E288" s="27" t="s">
        <v>574</v>
      </c>
      <c r="F288" s="27" t="s">
        <v>59</v>
      </c>
      <c r="G288" s="27" t="s">
        <v>294</v>
      </c>
      <c r="H288" s="30" t="s">
        <v>606</v>
      </c>
      <c r="I288" s="31" t="s">
        <v>1008</v>
      </c>
      <c r="J288" s="30" t="s">
        <v>606</v>
      </c>
      <c r="K288" s="27">
        <v>9</v>
      </c>
      <c r="L288" s="27">
        <v>54</v>
      </c>
      <c r="M288" s="27"/>
      <c r="N288" s="31" t="s">
        <v>154</v>
      </c>
      <c r="O288" s="27"/>
      <c r="P288" s="30"/>
      <c r="Q288" s="30" t="s">
        <v>66</v>
      </c>
      <c r="R288" s="26">
        <v>46218</v>
      </c>
      <c r="S288" s="26">
        <v>46219</v>
      </c>
      <c r="T288" s="31"/>
      <c r="U288" s="30" t="s">
        <v>68</v>
      </c>
      <c r="V288" s="34" t="s">
        <v>70</v>
      </c>
      <c r="W288" s="27" t="s">
        <v>284</v>
      </c>
      <c r="X288" s="30">
        <v>1</v>
      </c>
      <c r="Y288" s="30">
        <v>1</v>
      </c>
      <c r="Z288" s="30">
        <v>1</v>
      </c>
      <c r="AA288" s="30">
        <v>1</v>
      </c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 t="s">
        <v>69</v>
      </c>
      <c r="AM288" s="30"/>
      <c r="AN288" s="30" t="s">
        <v>595</v>
      </c>
      <c r="AO288" s="30"/>
      <c r="AP288" s="30" t="s">
        <v>41</v>
      </c>
      <c r="AQ288" s="30"/>
      <c r="AR288" s="36"/>
      <c r="AS288" s="36"/>
      <c r="AT288" s="36"/>
      <c r="AU288" s="36"/>
      <c r="AV288" s="36"/>
      <c r="AW288" s="36"/>
      <c r="AX288" s="36"/>
      <c r="AY288" s="36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27"/>
      <c r="BL288" s="27"/>
    </row>
    <row r="289" spans="1:64">
      <c r="A289" s="25" t="s">
        <v>54</v>
      </c>
      <c r="B289" s="26">
        <v>46214</v>
      </c>
      <c r="C289" s="27"/>
      <c r="D289" s="27">
        <v>139046</v>
      </c>
      <c r="E289" s="27" t="s">
        <v>574</v>
      </c>
      <c r="F289" s="27" t="s">
        <v>59</v>
      </c>
      <c r="G289" s="27" t="s">
        <v>294</v>
      </c>
      <c r="H289" s="30" t="s">
        <v>369</v>
      </c>
      <c r="I289" s="31" t="s">
        <v>1009</v>
      </c>
      <c r="J289" s="30" t="s">
        <v>1010</v>
      </c>
      <c r="K289" s="27">
        <v>7</v>
      </c>
      <c r="L289" s="27">
        <v>42</v>
      </c>
      <c r="M289" s="27"/>
      <c r="N289" s="31" t="s">
        <v>154</v>
      </c>
      <c r="O289" s="27"/>
      <c r="P289" s="30"/>
      <c r="Q289" s="30" t="s">
        <v>1011</v>
      </c>
      <c r="R289" s="26">
        <v>46218</v>
      </c>
      <c r="S289" s="26">
        <v>46219</v>
      </c>
      <c r="T289" s="31"/>
      <c r="U289" s="30" t="s">
        <v>68</v>
      </c>
      <c r="V289" s="34" t="s">
        <v>70</v>
      </c>
      <c r="W289" s="27" t="s">
        <v>284</v>
      </c>
      <c r="X289" s="30">
        <v>1</v>
      </c>
      <c r="Y289" s="30">
        <v>1</v>
      </c>
      <c r="Z289" s="30">
        <v>1</v>
      </c>
      <c r="AA289" s="30">
        <v>1</v>
      </c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 t="s">
        <v>69</v>
      </c>
      <c r="AM289" s="30"/>
      <c r="AN289" s="30" t="s">
        <v>595</v>
      </c>
      <c r="AO289" s="30"/>
      <c r="AP289" s="30" t="s">
        <v>41</v>
      </c>
      <c r="AQ289" s="30"/>
      <c r="AR289" s="36"/>
      <c r="AS289" s="36"/>
      <c r="AT289" s="36"/>
      <c r="AU289" s="36"/>
      <c r="AV289" s="36"/>
      <c r="AW289" s="36"/>
      <c r="AX289" s="36"/>
      <c r="AY289" s="36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27"/>
      <c r="BL289" s="27"/>
    </row>
    <row r="290" spans="1:64">
      <c r="A290" s="25" t="s">
        <v>54</v>
      </c>
      <c r="B290" s="26">
        <v>46214</v>
      </c>
      <c r="C290" s="27"/>
      <c r="D290" s="27">
        <v>139028</v>
      </c>
      <c r="E290" s="27" t="s">
        <v>574</v>
      </c>
      <c r="F290" s="27" t="s">
        <v>59</v>
      </c>
      <c r="G290" s="27" t="s">
        <v>294</v>
      </c>
      <c r="H290" s="30" t="s">
        <v>369</v>
      </c>
      <c r="I290" s="31" t="s">
        <v>1012</v>
      </c>
      <c r="J290" s="30" t="s">
        <v>175</v>
      </c>
      <c r="K290" s="27">
        <v>19</v>
      </c>
      <c r="L290" s="27">
        <v>114</v>
      </c>
      <c r="M290" s="27"/>
      <c r="N290" s="31" t="s">
        <v>154</v>
      </c>
      <c r="O290" s="27"/>
      <c r="P290" s="30"/>
      <c r="Q290" s="30" t="s">
        <v>838</v>
      </c>
      <c r="R290" s="26">
        <v>46218</v>
      </c>
      <c r="S290" s="26">
        <v>46219</v>
      </c>
      <c r="T290" s="31"/>
      <c r="U290" s="30" t="s">
        <v>68</v>
      </c>
      <c r="V290" s="34" t="s">
        <v>70</v>
      </c>
      <c r="W290" s="27" t="s">
        <v>284</v>
      </c>
      <c r="X290" s="30">
        <v>1</v>
      </c>
      <c r="Y290" s="30">
        <v>1</v>
      </c>
      <c r="Z290" s="30">
        <v>1</v>
      </c>
      <c r="AA290" s="30">
        <v>1</v>
      </c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 t="s">
        <v>69</v>
      </c>
      <c r="AM290" s="30"/>
      <c r="AN290" s="30" t="s">
        <v>595</v>
      </c>
      <c r="AO290" s="30"/>
      <c r="AP290" s="30" t="s">
        <v>41</v>
      </c>
      <c r="AQ290" s="30"/>
      <c r="AR290" s="36"/>
      <c r="AS290" s="36"/>
      <c r="AT290" s="36"/>
      <c r="AU290" s="36"/>
      <c r="AV290" s="36"/>
      <c r="AW290" s="36"/>
      <c r="AX290" s="36"/>
      <c r="AY290" s="36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27"/>
      <c r="BL290" s="27"/>
    </row>
    <row r="291" spans="1:64">
      <c r="A291" s="25" t="s">
        <v>54</v>
      </c>
      <c r="B291" s="26">
        <v>46214</v>
      </c>
      <c r="C291" s="27"/>
      <c r="D291" s="27">
        <v>139026</v>
      </c>
      <c r="E291" s="27" t="s">
        <v>574</v>
      </c>
      <c r="F291" s="27" t="s">
        <v>59</v>
      </c>
      <c r="G291" s="27" t="s">
        <v>294</v>
      </c>
      <c r="H291" s="30" t="s">
        <v>1013</v>
      </c>
      <c r="I291" s="31" t="s">
        <v>1014</v>
      </c>
      <c r="J291" s="30" t="s">
        <v>120</v>
      </c>
      <c r="K291" s="27">
        <v>10</v>
      </c>
      <c r="L291" s="27">
        <v>60</v>
      </c>
      <c r="M291" s="27">
        <v>62</v>
      </c>
      <c r="N291" s="31" t="s">
        <v>81</v>
      </c>
      <c r="O291" s="27"/>
      <c r="P291" s="30"/>
      <c r="Q291" s="30" t="s">
        <v>1015</v>
      </c>
      <c r="R291" s="26">
        <v>46217</v>
      </c>
      <c r="S291" s="26">
        <v>46218</v>
      </c>
      <c r="T291" s="31"/>
      <c r="U291" s="30" t="s">
        <v>68</v>
      </c>
      <c r="V291" s="34" t="s">
        <v>70</v>
      </c>
      <c r="W291" s="27" t="s">
        <v>284</v>
      </c>
      <c r="X291" s="30">
        <v>1</v>
      </c>
      <c r="Y291" s="30">
        <v>1</v>
      </c>
      <c r="Z291" s="30">
        <v>1</v>
      </c>
      <c r="AA291" s="30">
        <v>1</v>
      </c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 t="s">
        <v>69</v>
      </c>
      <c r="AM291" s="30"/>
      <c r="AN291" s="31" t="s">
        <v>81</v>
      </c>
      <c r="AO291" s="30" t="s">
        <v>41</v>
      </c>
      <c r="AP291" s="30"/>
      <c r="AQ291" s="30"/>
      <c r="AR291" s="36"/>
      <c r="AS291" s="36"/>
      <c r="AT291" s="36"/>
      <c r="AU291" s="36"/>
      <c r="AV291" s="36"/>
      <c r="AW291" s="36"/>
      <c r="AX291" s="36"/>
      <c r="AY291" s="36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27"/>
      <c r="BL291" s="27"/>
    </row>
    <row r="292" spans="1:64">
      <c r="A292" s="25" t="s">
        <v>54</v>
      </c>
      <c r="B292" s="26">
        <v>46214</v>
      </c>
      <c r="C292" s="27"/>
      <c r="D292" s="27">
        <v>138998</v>
      </c>
      <c r="E292" s="27" t="s">
        <v>574</v>
      </c>
      <c r="F292" s="27" t="s">
        <v>59</v>
      </c>
      <c r="G292" s="27" t="s">
        <v>294</v>
      </c>
      <c r="H292" s="30" t="s">
        <v>79</v>
      </c>
      <c r="I292" s="31" t="s">
        <v>1016</v>
      </c>
      <c r="J292" s="30" t="s">
        <v>79</v>
      </c>
      <c r="K292" s="27">
        <v>9</v>
      </c>
      <c r="L292" s="27">
        <v>54</v>
      </c>
      <c r="M292" s="27">
        <v>56</v>
      </c>
      <c r="N292" s="31" t="s">
        <v>81</v>
      </c>
      <c r="O292" s="27"/>
      <c r="P292" s="30"/>
      <c r="Q292" s="30" t="s">
        <v>1017</v>
      </c>
      <c r="R292" s="26">
        <v>46217</v>
      </c>
      <c r="S292" s="26">
        <v>46218</v>
      </c>
      <c r="T292" s="31"/>
      <c r="U292" s="30" t="s">
        <v>68</v>
      </c>
      <c r="V292" s="34" t="s">
        <v>70</v>
      </c>
      <c r="W292" s="27" t="s">
        <v>284</v>
      </c>
      <c r="X292" s="30">
        <v>1</v>
      </c>
      <c r="Y292" s="30">
        <v>1</v>
      </c>
      <c r="Z292" s="30">
        <v>1</v>
      </c>
      <c r="AA292" s="30">
        <v>1</v>
      </c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 t="s">
        <v>69</v>
      </c>
      <c r="AM292" s="30"/>
      <c r="AN292" s="31" t="s">
        <v>81</v>
      </c>
      <c r="AO292" s="30" t="s">
        <v>41</v>
      </c>
      <c r="AP292" s="30"/>
      <c r="AQ292" s="30"/>
      <c r="AR292" s="36"/>
      <c r="AS292" s="36"/>
      <c r="AT292" s="36"/>
      <c r="AU292" s="36"/>
      <c r="AV292" s="36"/>
      <c r="AW292" s="36"/>
      <c r="AX292" s="36"/>
      <c r="AY292" s="36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27"/>
      <c r="BL292" s="27"/>
    </row>
    <row r="293" spans="1:64">
      <c r="A293" s="25" t="s">
        <v>54</v>
      </c>
      <c r="B293" s="26">
        <v>46214</v>
      </c>
      <c r="C293" s="27"/>
      <c r="D293" s="27">
        <v>139039</v>
      </c>
      <c r="E293" s="27" t="s">
        <v>574</v>
      </c>
      <c r="F293" s="27" t="s">
        <v>59</v>
      </c>
      <c r="G293" s="27" t="s">
        <v>294</v>
      </c>
      <c r="H293" s="30" t="s">
        <v>409</v>
      </c>
      <c r="I293" s="31" t="s">
        <v>923</v>
      </c>
      <c r="J293" s="30" t="s">
        <v>409</v>
      </c>
      <c r="K293" s="27">
        <v>4</v>
      </c>
      <c r="L293" s="27">
        <v>24</v>
      </c>
      <c r="M293" s="27">
        <v>25</v>
      </c>
      <c r="N293" s="31" t="s">
        <v>81</v>
      </c>
      <c r="O293" s="27"/>
      <c r="P293" s="30"/>
      <c r="Q293" s="30" t="s">
        <v>838</v>
      </c>
      <c r="R293" s="26">
        <v>46217</v>
      </c>
      <c r="S293" s="26">
        <v>46233</v>
      </c>
      <c r="T293" s="31"/>
      <c r="U293" s="30" t="s">
        <v>68</v>
      </c>
      <c r="V293" s="34" t="s">
        <v>70</v>
      </c>
      <c r="W293" s="27" t="s">
        <v>284</v>
      </c>
      <c r="X293" s="30">
        <v>1</v>
      </c>
      <c r="Y293" s="30">
        <v>1</v>
      </c>
      <c r="Z293" s="30">
        <v>1</v>
      </c>
      <c r="AA293" s="30">
        <v>1</v>
      </c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 t="s">
        <v>69</v>
      </c>
      <c r="AM293" s="30"/>
      <c r="AN293" s="31" t="s">
        <v>81</v>
      </c>
      <c r="AO293" s="30" t="s">
        <v>41</v>
      </c>
      <c r="AP293" s="30"/>
      <c r="AQ293" s="30"/>
      <c r="AR293" s="36"/>
      <c r="AS293" s="36"/>
      <c r="AT293" s="36"/>
      <c r="AU293" s="36"/>
      <c r="AV293" s="36"/>
      <c r="AW293" s="36"/>
      <c r="AX293" s="36"/>
      <c r="AY293" s="36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27"/>
      <c r="BL293" s="27"/>
    </row>
    <row r="294" spans="1:64">
      <c r="A294" s="25" t="s">
        <v>54</v>
      </c>
      <c r="B294" s="26">
        <v>46214</v>
      </c>
      <c r="C294" s="27"/>
      <c r="D294" s="27">
        <v>138991</v>
      </c>
      <c r="E294" s="27" t="s">
        <v>574</v>
      </c>
      <c r="F294" s="27" t="s">
        <v>59</v>
      </c>
      <c r="G294" s="27" t="s">
        <v>294</v>
      </c>
      <c r="H294" s="30" t="s">
        <v>721</v>
      </c>
      <c r="I294" s="31" t="s">
        <v>1018</v>
      </c>
      <c r="J294" s="30" t="s">
        <v>721</v>
      </c>
      <c r="K294" s="27">
        <v>3</v>
      </c>
      <c r="L294" s="27">
        <v>18</v>
      </c>
      <c r="M294" s="27">
        <v>18.73</v>
      </c>
      <c r="N294" s="31" t="s">
        <v>577</v>
      </c>
      <c r="O294" s="27"/>
      <c r="P294" s="30"/>
      <c r="Q294" s="30" t="s">
        <v>838</v>
      </c>
      <c r="R294" s="26">
        <v>46216</v>
      </c>
      <c r="S294" s="26">
        <v>46221</v>
      </c>
      <c r="T294" s="31"/>
      <c r="U294" s="30" t="s">
        <v>68</v>
      </c>
      <c r="V294" s="34" t="s">
        <v>70</v>
      </c>
      <c r="W294" s="27" t="s">
        <v>284</v>
      </c>
      <c r="X294" s="30">
        <v>1</v>
      </c>
      <c r="Y294" s="30">
        <v>1</v>
      </c>
      <c r="Z294" s="30">
        <v>1</v>
      </c>
      <c r="AA294" s="30">
        <v>1</v>
      </c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 t="s">
        <v>69</v>
      </c>
      <c r="AM294" s="30"/>
      <c r="AN294" s="31" t="s">
        <v>1019</v>
      </c>
      <c r="AO294" s="30"/>
      <c r="AP294" s="30"/>
      <c r="AQ294" s="30"/>
      <c r="AR294" s="36"/>
      <c r="AS294" s="36"/>
      <c r="AT294" s="36"/>
      <c r="AU294" s="36"/>
      <c r="AV294" s="36"/>
      <c r="AW294" s="36"/>
      <c r="AX294" s="36"/>
      <c r="AY294" s="36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27"/>
      <c r="BL294" s="27"/>
    </row>
    <row r="295" spans="1:64">
      <c r="A295" s="25" t="s">
        <v>54</v>
      </c>
      <c r="B295" s="26">
        <v>46214</v>
      </c>
      <c r="C295" s="27"/>
      <c r="D295" s="27">
        <v>138977</v>
      </c>
      <c r="E295" s="27" t="s">
        <v>574</v>
      </c>
      <c r="F295" s="27" t="s">
        <v>59</v>
      </c>
      <c r="G295" s="27" t="s">
        <v>294</v>
      </c>
      <c r="H295" s="30" t="s">
        <v>1020</v>
      </c>
      <c r="I295" s="31" t="s">
        <v>1021</v>
      </c>
      <c r="J295" s="30" t="s">
        <v>1020</v>
      </c>
      <c r="K295" s="27">
        <v>12</v>
      </c>
      <c r="L295" s="27">
        <v>72</v>
      </c>
      <c r="M295" s="27">
        <v>74.92</v>
      </c>
      <c r="N295" s="31" t="s">
        <v>577</v>
      </c>
      <c r="O295" s="27"/>
      <c r="P295" s="30"/>
      <c r="Q295" s="30" t="s">
        <v>838</v>
      </c>
      <c r="R295" s="26">
        <v>46216</v>
      </c>
      <c r="S295" s="26">
        <v>46221</v>
      </c>
      <c r="T295" s="31"/>
      <c r="U295" s="30" t="s">
        <v>68</v>
      </c>
      <c r="V295" s="34" t="s">
        <v>70</v>
      </c>
      <c r="W295" s="27" t="s">
        <v>284</v>
      </c>
      <c r="X295" s="30">
        <v>1</v>
      </c>
      <c r="Y295" s="30">
        <v>1</v>
      </c>
      <c r="Z295" s="30">
        <v>1</v>
      </c>
      <c r="AA295" s="30">
        <v>1</v>
      </c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 t="s">
        <v>69</v>
      </c>
      <c r="AM295" s="30"/>
      <c r="AN295" s="31" t="s">
        <v>1019</v>
      </c>
      <c r="AO295" s="30"/>
      <c r="AP295" s="30"/>
      <c r="AQ295" s="30"/>
      <c r="AR295" s="36"/>
      <c r="AS295" s="36"/>
      <c r="AT295" s="36"/>
      <c r="AU295" s="36"/>
      <c r="AV295" s="36"/>
      <c r="AW295" s="36"/>
      <c r="AX295" s="36"/>
      <c r="AY295" s="36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27"/>
      <c r="BL295" s="27"/>
    </row>
    <row r="296" spans="1:64">
      <c r="A296" s="25" t="s">
        <v>54</v>
      </c>
      <c r="B296" s="26">
        <v>46214</v>
      </c>
      <c r="C296" s="27"/>
      <c r="D296" s="27">
        <v>138973</v>
      </c>
      <c r="E296" s="27" t="s">
        <v>574</v>
      </c>
      <c r="F296" s="27" t="s">
        <v>59</v>
      </c>
      <c r="G296" s="27" t="s">
        <v>294</v>
      </c>
      <c r="H296" s="30" t="s">
        <v>1022</v>
      </c>
      <c r="I296" s="31" t="s">
        <v>1023</v>
      </c>
      <c r="J296" s="30" t="s">
        <v>1022</v>
      </c>
      <c r="K296" s="27">
        <v>13</v>
      </c>
      <c r="L296" s="27">
        <v>78</v>
      </c>
      <c r="M296" s="27">
        <v>81.16</v>
      </c>
      <c r="N296" s="31" t="s">
        <v>577</v>
      </c>
      <c r="O296" s="27"/>
      <c r="P296" s="30"/>
      <c r="Q296" s="30" t="s">
        <v>1024</v>
      </c>
      <c r="R296" s="26">
        <v>46216</v>
      </c>
      <c r="S296" s="26">
        <v>46221</v>
      </c>
      <c r="T296" s="31"/>
      <c r="U296" s="30" t="s">
        <v>68</v>
      </c>
      <c r="V296" s="34" t="s">
        <v>70</v>
      </c>
      <c r="W296" s="27" t="s">
        <v>284</v>
      </c>
      <c r="X296" s="30">
        <v>1</v>
      </c>
      <c r="Y296" s="30">
        <v>1</v>
      </c>
      <c r="Z296" s="30">
        <v>1</v>
      </c>
      <c r="AA296" s="30">
        <v>1</v>
      </c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 t="s">
        <v>69</v>
      </c>
      <c r="AM296" s="30"/>
      <c r="AN296" s="31" t="s">
        <v>1019</v>
      </c>
      <c r="AO296" s="30"/>
      <c r="AP296" s="30"/>
      <c r="AQ296" s="30"/>
      <c r="AR296" s="36"/>
      <c r="AS296" s="36"/>
      <c r="AT296" s="36"/>
      <c r="AU296" s="36"/>
      <c r="AV296" s="36"/>
      <c r="AW296" s="36"/>
      <c r="AX296" s="36"/>
      <c r="AY296" s="36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27"/>
      <c r="BL296" s="27"/>
    </row>
    <row r="297" spans="1:64">
      <c r="A297" s="25" t="s">
        <v>54</v>
      </c>
      <c r="B297" s="26">
        <v>46214</v>
      </c>
      <c r="C297" s="27"/>
      <c r="D297" s="27">
        <v>138975</v>
      </c>
      <c r="E297" s="27" t="s">
        <v>574</v>
      </c>
      <c r="F297" s="27" t="s">
        <v>59</v>
      </c>
      <c r="G297" s="27" t="s">
        <v>294</v>
      </c>
      <c r="H297" s="30" t="s">
        <v>605</v>
      </c>
      <c r="I297" s="31" t="s">
        <v>1025</v>
      </c>
      <c r="J297" s="30" t="s">
        <v>605</v>
      </c>
      <c r="K297" s="27">
        <v>11</v>
      </c>
      <c r="L297" s="27">
        <v>66</v>
      </c>
      <c r="M297" s="27">
        <v>68.680000000000007</v>
      </c>
      <c r="N297" s="31" t="s">
        <v>577</v>
      </c>
      <c r="O297" s="27"/>
      <c r="P297" s="30"/>
      <c r="Q297" s="30" t="s">
        <v>657</v>
      </c>
      <c r="R297" s="26">
        <v>46216</v>
      </c>
      <c r="S297" s="26">
        <v>46221</v>
      </c>
      <c r="T297" s="31"/>
      <c r="U297" s="30" t="s">
        <v>68</v>
      </c>
      <c r="V297" s="34" t="s">
        <v>70</v>
      </c>
      <c r="W297" s="27" t="s">
        <v>284</v>
      </c>
      <c r="X297" s="30">
        <v>1</v>
      </c>
      <c r="Y297" s="30">
        <v>1</v>
      </c>
      <c r="Z297" s="30">
        <v>1</v>
      </c>
      <c r="AA297" s="30">
        <v>1</v>
      </c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 t="s">
        <v>69</v>
      </c>
      <c r="AM297" s="30"/>
      <c r="AN297" s="31" t="s">
        <v>1019</v>
      </c>
      <c r="AO297" s="30"/>
      <c r="AP297" s="30"/>
      <c r="AQ297" s="30"/>
      <c r="AR297" s="36"/>
      <c r="AS297" s="36"/>
      <c r="AT297" s="36"/>
      <c r="AU297" s="36"/>
      <c r="AV297" s="36"/>
      <c r="AW297" s="36"/>
      <c r="AX297" s="36"/>
      <c r="AY297" s="36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27"/>
      <c r="BL297" s="27"/>
    </row>
    <row r="298" spans="1:64">
      <c r="A298" s="25" t="s">
        <v>54</v>
      </c>
      <c r="B298" s="26">
        <v>46214</v>
      </c>
      <c r="C298" s="27"/>
      <c r="D298" s="27">
        <v>138990</v>
      </c>
      <c r="E298" s="27" t="s">
        <v>574</v>
      </c>
      <c r="F298" s="27" t="s">
        <v>59</v>
      </c>
      <c r="G298" s="27" t="s">
        <v>294</v>
      </c>
      <c r="H298" s="30" t="s">
        <v>1026</v>
      </c>
      <c r="I298" s="31" t="s">
        <v>1027</v>
      </c>
      <c r="J298" s="30" t="s">
        <v>1028</v>
      </c>
      <c r="K298" s="27">
        <v>11</v>
      </c>
      <c r="L298" s="27">
        <v>66</v>
      </c>
      <c r="M298" s="27">
        <v>68.2</v>
      </c>
      <c r="N298" s="31" t="s">
        <v>577</v>
      </c>
      <c r="O298" s="27"/>
      <c r="P298" s="30"/>
      <c r="Q298" s="30" t="s">
        <v>1029</v>
      </c>
      <c r="R298" s="26">
        <v>46217</v>
      </c>
      <c r="S298" s="26">
        <v>46221</v>
      </c>
      <c r="T298" s="31"/>
      <c r="U298" s="30" t="s">
        <v>68</v>
      </c>
      <c r="V298" s="34" t="s">
        <v>70</v>
      </c>
      <c r="W298" s="27" t="s">
        <v>284</v>
      </c>
      <c r="X298" s="30">
        <v>1</v>
      </c>
      <c r="Y298" s="30">
        <v>1</v>
      </c>
      <c r="Z298" s="30">
        <v>1</v>
      </c>
      <c r="AA298" s="30">
        <v>1</v>
      </c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 t="s">
        <v>69</v>
      </c>
      <c r="AM298" s="30"/>
      <c r="AN298" s="31" t="s">
        <v>577</v>
      </c>
      <c r="AO298" s="30" t="s">
        <v>1030</v>
      </c>
      <c r="AP298" s="30"/>
      <c r="AQ298" s="30"/>
      <c r="AR298" s="36"/>
      <c r="AS298" s="36"/>
      <c r="AT298" s="36"/>
      <c r="AU298" s="36"/>
      <c r="AV298" s="36"/>
      <c r="AW298" s="36"/>
      <c r="AX298" s="36"/>
      <c r="AY298" s="36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27"/>
      <c r="BL298" s="27"/>
    </row>
    <row r="299" spans="1:64">
      <c r="A299" s="25" t="s">
        <v>54</v>
      </c>
      <c r="B299" s="26">
        <v>46214</v>
      </c>
      <c r="C299" s="27"/>
      <c r="D299" s="27">
        <v>138976</v>
      </c>
      <c r="E299" s="27" t="s">
        <v>574</v>
      </c>
      <c r="F299" s="27" t="s">
        <v>59</v>
      </c>
      <c r="G299" s="27" t="s">
        <v>294</v>
      </c>
      <c r="H299" s="30" t="s">
        <v>1031</v>
      </c>
      <c r="I299" s="31" t="s">
        <v>1032</v>
      </c>
      <c r="J299" s="30" t="s">
        <v>1033</v>
      </c>
      <c r="K299" s="27">
        <v>11</v>
      </c>
      <c r="L299" s="27">
        <v>66</v>
      </c>
      <c r="M299" s="27">
        <v>68.28</v>
      </c>
      <c r="N299" s="31" t="s">
        <v>577</v>
      </c>
      <c r="O299" s="27"/>
      <c r="P299" s="30"/>
      <c r="Q299" s="30" t="s">
        <v>1034</v>
      </c>
      <c r="R299" s="26">
        <v>46216</v>
      </c>
      <c r="S299" s="26">
        <v>46221</v>
      </c>
      <c r="T299" s="31"/>
      <c r="U299" s="30" t="s">
        <v>68</v>
      </c>
      <c r="V299" s="34" t="s">
        <v>70</v>
      </c>
      <c r="W299" s="27" t="s">
        <v>284</v>
      </c>
      <c r="X299" s="30">
        <v>1</v>
      </c>
      <c r="Y299" s="30">
        <v>1</v>
      </c>
      <c r="Z299" s="30">
        <v>1</v>
      </c>
      <c r="AA299" s="30">
        <v>1</v>
      </c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 t="s">
        <v>69</v>
      </c>
      <c r="AM299" s="30"/>
      <c r="AN299" s="31" t="s">
        <v>577</v>
      </c>
      <c r="AO299" s="30" t="s">
        <v>1030</v>
      </c>
      <c r="AP299" s="30"/>
      <c r="AQ299" s="30"/>
      <c r="AR299" s="36"/>
      <c r="AS299" s="36"/>
      <c r="AT299" s="36"/>
      <c r="AU299" s="36"/>
      <c r="AV299" s="36"/>
      <c r="AW299" s="36"/>
      <c r="AX299" s="36"/>
      <c r="AY299" s="36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27"/>
      <c r="BL299" s="27"/>
    </row>
    <row r="300" spans="1:64">
      <c r="A300" s="25" t="s">
        <v>54</v>
      </c>
      <c r="B300" s="26">
        <v>46214</v>
      </c>
      <c r="C300" s="27"/>
      <c r="D300" s="27">
        <v>139012</v>
      </c>
      <c r="E300" s="27" t="s">
        <v>574</v>
      </c>
      <c r="F300" s="27" t="s">
        <v>59</v>
      </c>
      <c r="G300" s="27" t="s">
        <v>294</v>
      </c>
      <c r="H300" s="30" t="s">
        <v>1035</v>
      </c>
      <c r="I300" s="31" t="s">
        <v>1036</v>
      </c>
      <c r="J300" s="30" t="s">
        <v>1035</v>
      </c>
      <c r="K300" s="27">
        <v>7</v>
      </c>
      <c r="L300" s="27">
        <v>42</v>
      </c>
      <c r="M300" s="27">
        <v>43.4</v>
      </c>
      <c r="N300" s="31" t="s">
        <v>577</v>
      </c>
      <c r="O300" s="27"/>
      <c r="P300" s="30"/>
      <c r="Q300" s="30" t="s">
        <v>66</v>
      </c>
      <c r="R300" s="26">
        <v>46217</v>
      </c>
      <c r="S300" s="26">
        <v>46237</v>
      </c>
      <c r="T300" s="31" t="s">
        <v>1037</v>
      </c>
      <c r="U300" s="30" t="s">
        <v>68</v>
      </c>
      <c r="V300" s="34" t="s">
        <v>70</v>
      </c>
      <c r="W300" s="27" t="s">
        <v>284</v>
      </c>
      <c r="X300" s="30">
        <v>1</v>
      </c>
      <c r="Y300" s="30">
        <v>1</v>
      </c>
      <c r="Z300" s="30">
        <v>1</v>
      </c>
      <c r="AA300" s="30">
        <v>1</v>
      </c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1" t="s">
        <v>577</v>
      </c>
      <c r="AO300" s="30" t="s">
        <v>41</v>
      </c>
      <c r="AP300" s="30"/>
      <c r="AQ300" s="30"/>
      <c r="AR300" s="36"/>
      <c r="AS300" s="36"/>
      <c r="AT300" s="36"/>
      <c r="AU300" s="36"/>
      <c r="AV300" s="36"/>
      <c r="AW300" s="36"/>
      <c r="AX300" s="36"/>
      <c r="AY300" s="36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27"/>
      <c r="BL300" s="27"/>
    </row>
    <row r="301" spans="1:64">
      <c r="A301" s="25" t="s">
        <v>54</v>
      </c>
      <c r="B301" s="26">
        <v>46214</v>
      </c>
      <c r="C301" s="27"/>
      <c r="D301" s="27">
        <v>138999</v>
      </c>
      <c r="E301" s="27" t="s">
        <v>574</v>
      </c>
      <c r="F301" s="27" t="s">
        <v>59</v>
      </c>
      <c r="G301" s="27" t="s">
        <v>294</v>
      </c>
      <c r="H301" s="30" t="s">
        <v>409</v>
      </c>
      <c r="I301" s="31" t="s">
        <v>1038</v>
      </c>
      <c r="J301" s="30" t="s">
        <v>409</v>
      </c>
      <c r="K301" s="27">
        <v>7</v>
      </c>
      <c r="L301" s="27">
        <v>42</v>
      </c>
      <c r="M301" s="27">
        <v>44</v>
      </c>
      <c r="N301" s="31" t="s">
        <v>81</v>
      </c>
      <c r="O301" s="27"/>
      <c r="P301" s="30"/>
      <c r="Q301" s="30" t="s">
        <v>1039</v>
      </c>
      <c r="R301" s="26">
        <v>46217</v>
      </c>
      <c r="S301" s="26">
        <v>46218</v>
      </c>
      <c r="T301" s="31"/>
      <c r="U301" s="30" t="s">
        <v>68</v>
      </c>
      <c r="V301" s="34" t="s">
        <v>70</v>
      </c>
      <c r="W301" s="27" t="s">
        <v>284</v>
      </c>
      <c r="X301" s="30">
        <v>1</v>
      </c>
      <c r="Y301" s="30">
        <v>1</v>
      </c>
      <c r="Z301" s="30">
        <v>1</v>
      </c>
      <c r="AA301" s="30">
        <v>1</v>
      </c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1" t="s">
        <v>81</v>
      </c>
      <c r="AO301" s="30" t="s">
        <v>41</v>
      </c>
      <c r="AP301" s="30"/>
      <c r="AQ301" s="30"/>
      <c r="AR301" s="36"/>
      <c r="AS301" s="36"/>
      <c r="AT301" s="36"/>
      <c r="AU301" s="36"/>
      <c r="AV301" s="36"/>
      <c r="AW301" s="36"/>
      <c r="AX301" s="36"/>
      <c r="AY301" s="36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27"/>
      <c r="BL301" s="27"/>
    </row>
    <row r="302" spans="1:64">
      <c r="A302" s="25" t="s">
        <v>54</v>
      </c>
      <c r="B302" s="26">
        <v>46214</v>
      </c>
      <c r="C302" s="27"/>
      <c r="D302" s="27">
        <v>138974</v>
      </c>
      <c r="E302" s="27" t="s">
        <v>574</v>
      </c>
      <c r="F302" s="27" t="s">
        <v>59</v>
      </c>
      <c r="G302" s="27" t="s">
        <v>294</v>
      </c>
      <c r="H302" s="30" t="s">
        <v>1040</v>
      </c>
      <c r="I302" s="31" t="s">
        <v>1041</v>
      </c>
      <c r="J302" s="30" t="s">
        <v>1040</v>
      </c>
      <c r="K302" s="27">
        <v>14</v>
      </c>
      <c r="L302" s="27">
        <v>84</v>
      </c>
      <c r="M302" s="27">
        <v>87.41</v>
      </c>
      <c r="N302" s="31" t="s">
        <v>577</v>
      </c>
      <c r="O302" s="27"/>
      <c r="P302" s="30"/>
      <c r="Q302" s="30" t="s">
        <v>1042</v>
      </c>
      <c r="R302" s="26">
        <v>46217</v>
      </c>
      <c r="S302" s="26">
        <v>46221</v>
      </c>
      <c r="T302" s="31"/>
      <c r="U302" s="30" t="s">
        <v>68</v>
      </c>
      <c r="V302" s="34" t="s">
        <v>70</v>
      </c>
      <c r="W302" s="27" t="s">
        <v>284</v>
      </c>
      <c r="X302" s="30">
        <v>1</v>
      </c>
      <c r="Y302" s="30">
        <v>1</v>
      </c>
      <c r="Z302" s="30">
        <v>1</v>
      </c>
      <c r="AA302" s="30">
        <v>1</v>
      </c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1" t="s">
        <v>577</v>
      </c>
      <c r="AO302" s="30" t="s">
        <v>41</v>
      </c>
      <c r="AP302" s="30"/>
      <c r="AQ302" s="30"/>
      <c r="AR302" s="36"/>
      <c r="AS302" s="36"/>
      <c r="AT302" s="36"/>
      <c r="AU302" s="36"/>
      <c r="AV302" s="36"/>
      <c r="AW302" s="36"/>
      <c r="AX302" s="36"/>
      <c r="AY302" s="36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27"/>
      <c r="BL302" s="27"/>
    </row>
    <row r="303" spans="1:64">
      <c r="A303" s="25" t="s">
        <v>54</v>
      </c>
      <c r="B303" s="26">
        <v>46214</v>
      </c>
      <c r="C303" s="27"/>
      <c r="D303" s="27">
        <v>139000</v>
      </c>
      <c r="E303" s="27" t="s">
        <v>574</v>
      </c>
      <c r="F303" s="27" t="s">
        <v>59</v>
      </c>
      <c r="G303" s="27" t="s">
        <v>294</v>
      </c>
      <c r="H303" s="30" t="s">
        <v>77</v>
      </c>
      <c r="I303" s="31" t="s">
        <v>1044</v>
      </c>
      <c r="J303" s="30" t="s">
        <v>77</v>
      </c>
      <c r="K303" s="27">
        <v>14</v>
      </c>
      <c r="L303" s="27">
        <v>84</v>
      </c>
      <c r="M303" s="27">
        <v>87</v>
      </c>
      <c r="N303" s="31" t="s">
        <v>81</v>
      </c>
      <c r="O303" s="27"/>
      <c r="P303" s="30"/>
      <c r="Q303" s="30" t="s">
        <v>1045</v>
      </c>
      <c r="R303" s="26">
        <v>46217</v>
      </c>
      <c r="S303" s="26">
        <v>46233</v>
      </c>
      <c r="T303" s="31"/>
      <c r="U303" s="30" t="s">
        <v>68</v>
      </c>
      <c r="V303" s="34" t="s">
        <v>70</v>
      </c>
      <c r="W303" s="27" t="s">
        <v>284</v>
      </c>
      <c r="X303" s="30">
        <v>1</v>
      </c>
      <c r="Y303" s="30">
        <v>1</v>
      </c>
      <c r="Z303" s="30">
        <v>1</v>
      </c>
      <c r="AA303" s="30">
        <v>1</v>
      </c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1" t="s">
        <v>81</v>
      </c>
      <c r="AO303" s="30"/>
      <c r="AP303" s="30"/>
      <c r="AQ303" s="30"/>
      <c r="AR303" s="36"/>
      <c r="AS303" s="36"/>
      <c r="AT303" s="36"/>
      <c r="AU303" s="36"/>
      <c r="AV303" s="36"/>
      <c r="AW303" s="36"/>
      <c r="AX303" s="36"/>
      <c r="AY303" s="36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27"/>
      <c r="BL303" s="27"/>
    </row>
    <row r="304" spans="1:64">
      <c r="A304" s="25" t="s">
        <v>54</v>
      </c>
      <c r="B304" s="26">
        <v>46214</v>
      </c>
      <c r="C304" s="27"/>
      <c r="D304" s="27">
        <v>139010</v>
      </c>
      <c r="E304" s="27" t="s">
        <v>574</v>
      </c>
      <c r="F304" s="27" t="s">
        <v>59</v>
      </c>
      <c r="G304" s="27" t="s">
        <v>294</v>
      </c>
      <c r="H304" s="30" t="s">
        <v>1046</v>
      </c>
      <c r="I304" s="31" t="s">
        <v>1047</v>
      </c>
      <c r="J304" s="30" t="s">
        <v>1046</v>
      </c>
      <c r="K304" s="27">
        <v>13</v>
      </c>
      <c r="L304" s="27">
        <v>78</v>
      </c>
      <c r="M304" s="27">
        <v>81.16</v>
      </c>
      <c r="N304" s="31" t="s">
        <v>577</v>
      </c>
      <c r="O304" s="27"/>
      <c r="P304" s="30"/>
      <c r="Q304" s="30" t="s">
        <v>66</v>
      </c>
      <c r="R304" s="26">
        <v>46217</v>
      </c>
      <c r="S304" s="26">
        <v>46221</v>
      </c>
      <c r="T304" s="31"/>
      <c r="U304" s="30" t="s">
        <v>68</v>
      </c>
      <c r="V304" s="34" t="s">
        <v>70</v>
      </c>
      <c r="W304" s="27" t="s">
        <v>284</v>
      </c>
      <c r="X304" s="30">
        <v>1</v>
      </c>
      <c r="Y304" s="30">
        <v>1</v>
      </c>
      <c r="Z304" s="30">
        <v>1</v>
      </c>
      <c r="AA304" s="30">
        <v>1</v>
      </c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1" t="s">
        <v>577</v>
      </c>
      <c r="AO304" s="30" t="s">
        <v>41</v>
      </c>
      <c r="AP304" s="30"/>
      <c r="AQ304" s="30"/>
      <c r="AR304" s="36"/>
      <c r="AS304" s="36"/>
      <c r="AT304" s="36"/>
      <c r="AU304" s="36"/>
      <c r="AV304" s="36"/>
      <c r="AW304" s="36"/>
      <c r="AX304" s="36"/>
      <c r="AY304" s="36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27"/>
      <c r="BL304" s="27"/>
    </row>
    <row r="305" spans="1:64">
      <c r="A305" s="25" t="s">
        <v>54</v>
      </c>
      <c r="B305" s="26">
        <v>46214</v>
      </c>
      <c r="C305" s="27"/>
      <c r="D305" s="27">
        <v>138996</v>
      </c>
      <c r="E305" s="27" t="s">
        <v>574</v>
      </c>
      <c r="F305" s="27" t="s">
        <v>59</v>
      </c>
      <c r="G305" s="27" t="s">
        <v>294</v>
      </c>
      <c r="H305" s="30" t="s">
        <v>1048</v>
      </c>
      <c r="I305" s="31" t="s">
        <v>1049</v>
      </c>
      <c r="J305" s="30" t="s">
        <v>1048</v>
      </c>
      <c r="K305" s="27">
        <v>22</v>
      </c>
      <c r="L305" s="27">
        <v>132</v>
      </c>
      <c r="M305" s="27">
        <v>137</v>
      </c>
      <c r="N305" s="31" t="s">
        <v>81</v>
      </c>
      <c r="O305" s="27"/>
      <c r="P305" s="30"/>
      <c r="Q305" s="30" t="s">
        <v>66</v>
      </c>
      <c r="R305" s="26">
        <v>46217</v>
      </c>
      <c r="S305" s="26">
        <v>46218</v>
      </c>
      <c r="T305" s="31"/>
      <c r="U305" s="30" t="s">
        <v>32</v>
      </c>
      <c r="V305" s="34" t="s">
        <v>33</v>
      </c>
      <c r="W305" s="27" t="s">
        <v>284</v>
      </c>
      <c r="X305" s="30">
        <v>1</v>
      </c>
      <c r="Y305" s="30">
        <v>1</v>
      </c>
      <c r="Z305" s="30">
        <v>1</v>
      </c>
      <c r="AA305" s="30">
        <v>1</v>
      </c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1" t="s">
        <v>81</v>
      </c>
      <c r="AO305" s="30" t="s">
        <v>41</v>
      </c>
      <c r="AP305" s="30"/>
      <c r="AQ305" s="30"/>
      <c r="AR305" s="36"/>
      <c r="AS305" s="36"/>
      <c r="AT305" s="36"/>
      <c r="AU305" s="36"/>
      <c r="AV305" s="36"/>
      <c r="AW305" s="36"/>
      <c r="AX305" s="36"/>
      <c r="AY305" s="36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27"/>
      <c r="BL305" s="27"/>
    </row>
    <row r="306" spans="1:64">
      <c r="A306" s="25" t="s">
        <v>54</v>
      </c>
      <c r="B306" s="26">
        <v>46214</v>
      </c>
      <c r="C306" s="27"/>
      <c r="D306" s="27">
        <v>139013</v>
      </c>
      <c r="E306" s="27" t="s">
        <v>574</v>
      </c>
      <c r="F306" s="27" t="s">
        <v>59</v>
      </c>
      <c r="G306" s="27" t="s">
        <v>294</v>
      </c>
      <c r="H306" s="30" t="s">
        <v>1050</v>
      </c>
      <c r="I306" s="31" t="s">
        <v>1051</v>
      </c>
      <c r="J306" s="30" t="s">
        <v>1050</v>
      </c>
      <c r="K306" s="27">
        <v>8</v>
      </c>
      <c r="L306" s="27">
        <v>48</v>
      </c>
      <c r="M306" s="27">
        <v>49.95</v>
      </c>
      <c r="N306" s="31" t="s">
        <v>577</v>
      </c>
      <c r="O306" s="27"/>
      <c r="P306" s="30"/>
      <c r="Q306" s="30" t="s">
        <v>1052</v>
      </c>
      <c r="R306" s="26">
        <v>46217</v>
      </c>
      <c r="S306" s="26">
        <v>46221</v>
      </c>
      <c r="T306" s="31"/>
      <c r="U306" s="30" t="s">
        <v>68</v>
      </c>
      <c r="V306" s="34" t="s">
        <v>70</v>
      </c>
      <c r="W306" s="27" t="s">
        <v>284</v>
      </c>
      <c r="X306" s="30">
        <v>1</v>
      </c>
      <c r="Y306" s="30">
        <v>1</v>
      </c>
      <c r="Z306" s="30">
        <v>1</v>
      </c>
      <c r="AA306" s="30">
        <v>1</v>
      </c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1" t="s">
        <v>577</v>
      </c>
      <c r="AO306" s="30" t="s">
        <v>41</v>
      </c>
      <c r="AP306" s="30"/>
      <c r="AQ306" s="30"/>
      <c r="AR306" s="36"/>
      <c r="AS306" s="36"/>
      <c r="AT306" s="36"/>
      <c r="AU306" s="36"/>
      <c r="AV306" s="36"/>
      <c r="AW306" s="36"/>
      <c r="AX306" s="36"/>
      <c r="AY306" s="36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27"/>
      <c r="BL306" s="27"/>
    </row>
    <row r="307" spans="1:64">
      <c r="A307" s="25" t="s">
        <v>54</v>
      </c>
      <c r="B307" s="26">
        <v>46214</v>
      </c>
      <c r="C307" s="27"/>
      <c r="D307" s="27">
        <v>139038</v>
      </c>
      <c r="E307" s="27" t="s">
        <v>574</v>
      </c>
      <c r="F307" s="27" t="s">
        <v>59</v>
      </c>
      <c r="G307" s="27" t="s">
        <v>294</v>
      </c>
      <c r="H307" s="30" t="s">
        <v>293</v>
      </c>
      <c r="I307" s="31" t="s">
        <v>1054</v>
      </c>
      <c r="J307" s="30" t="s">
        <v>144</v>
      </c>
      <c r="K307" s="27">
        <v>3</v>
      </c>
      <c r="L307" s="27">
        <v>18</v>
      </c>
      <c r="M307" s="27">
        <v>18</v>
      </c>
      <c r="N307" s="31" t="s">
        <v>81</v>
      </c>
      <c r="O307" s="27"/>
      <c r="P307" s="30"/>
      <c r="Q307" s="30" t="s">
        <v>1055</v>
      </c>
      <c r="R307" s="26">
        <v>46216</v>
      </c>
      <c r="S307" s="26">
        <v>46223</v>
      </c>
      <c r="T307" s="31"/>
      <c r="U307" s="30" t="s">
        <v>68</v>
      </c>
      <c r="V307" s="34" t="s">
        <v>70</v>
      </c>
      <c r="W307" s="27" t="s">
        <v>284</v>
      </c>
      <c r="X307" s="30">
        <v>1</v>
      </c>
      <c r="Y307" s="30">
        <v>1</v>
      </c>
      <c r="Z307" s="30">
        <v>1</v>
      </c>
      <c r="AA307" s="30">
        <v>1</v>
      </c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1" t="s">
        <v>88</v>
      </c>
      <c r="AO307" s="30"/>
      <c r="AP307" s="30"/>
      <c r="AQ307" s="30"/>
      <c r="AR307" s="36" t="s">
        <v>1056</v>
      </c>
      <c r="AS307" s="36"/>
      <c r="AT307" s="36"/>
      <c r="AU307" s="36"/>
      <c r="AV307" s="36"/>
      <c r="AW307" s="36"/>
      <c r="AX307" s="36"/>
      <c r="AY307" s="36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27"/>
      <c r="BL307" s="27"/>
    </row>
    <row r="308" spans="1:64">
      <c r="A308" s="25" t="s">
        <v>54</v>
      </c>
      <c r="B308" s="26">
        <v>46214</v>
      </c>
      <c r="C308" s="27"/>
      <c r="D308" s="27">
        <v>139011</v>
      </c>
      <c r="E308" s="27" t="s">
        <v>574</v>
      </c>
      <c r="F308" s="27" t="s">
        <v>59</v>
      </c>
      <c r="G308" s="27" t="s">
        <v>294</v>
      </c>
      <c r="H308" s="30" t="s">
        <v>1057</v>
      </c>
      <c r="I308" s="31" t="s">
        <v>1058</v>
      </c>
      <c r="J308" s="30" t="s">
        <v>1059</v>
      </c>
      <c r="K308" s="27">
        <v>8</v>
      </c>
      <c r="L308" s="27">
        <v>48</v>
      </c>
      <c r="M308" s="27">
        <v>49.6</v>
      </c>
      <c r="N308" s="31" t="s">
        <v>577</v>
      </c>
      <c r="O308" s="27"/>
      <c r="P308" s="30"/>
      <c r="Q308" s="30" t="s">
        <v>66</v>
      </c>
      <c r="R308" s="26">
        <v>46217</v>
      </c>
      <c r="S308" s="26">
        <v>46241</v>
      </c>
      <c r="T308" s="31" t="s">
        <v>1037</v>
      </c>
      <c r="U308" s="30" t="s">
        <v>68</v>
      </c>
      <c r="V308" s="34" t="s">
        <v>70</v>
      </c>
      <c r="W308" s="27" t="s">
        <v>284</v>
      </c>
      <c r="X308" s="30">
        <v>1</v>
      </c>
      <c r="Y308" s="30">
        <v>1</v>
      </c>
      <c r="Z308" s="30">
        <v>1</v>
      </c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1" t="s">
        <v>577</v>
      </c>
      <c r="AO308" s="30" t="s">
        <v>41</v>
      </c>
      <c r="AP308" s="30"/>
      <c r="AQ308" s="30"/>
      <c r="AR308" s="36"/>
      <c r="AS308" s="36"/>
      <c r="AT308" s="36"/>
      <c r="AU308" s="36"/>
      <c r="AV308" s="36"/>
      <c r="AW308" s="36"/>
      <c r="AX308" s="36"/>
      <c r="AY308" s="36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27"/>
      <c r="BL308" s="27"/>
    </row>
    <row r="309" spans="1:64">
      <c r="A309" s="25" t="s">
        <v>54</v>
      </c>
      <c r="B309" s="26">
        <v>46214</v>
      </c>
      <c r="C309" s="27"/>
      <c r="D309" s="27">
        <v>138992</v>
      </c>
      <c r="E309" s="27" t="s">
        <v>574</v>
      </c>
      <c r="F309" s="27" t="s">
        <v>59</v>
      </c>
      <c r="G309" s="27" t="s">
        <v>294</v>
      </c>
      <c r="H309" s="30" t="s">
        <v>315</v>
      </c>
      <c r="I309" s="31" t="s">
        <v>1060</v>
      </c>
      <c r="J309" s="30" t="s">
        <v>315</v>
      </c>
      <c r="K309" s="27">
        <v>20</v>
      </c>
      <c r="L309" s="27">
        <v>120</v>
      </c>
      <c r="M309" s="27">
        <v>124</v>
      </c>
      <c r="N309" s="31" t="s">
        <v>740</v>
      </c>
      <c r="O309" s="27"/>
      <c r="P309" s="30"/>
      <c r="Q309" s="30" t="s">
        <v>66</v>
      </c>
      <c r="R309" s="26">
        <v>46217</v>
      </c>
      <c r="S309" s="26">
        <v>46218</v>
      </c>
      <c r="T309" s="31"/>
      <c r="U309" s="30" t="s">
        <v>32</v>
      </c>
      <c r="V309" s="34" t="s">
        <v>33</v>
      </c>
      <c r="W309" s="27" t="s">
        <v>284</v>
      </c>
      <c r="X309" s="30">
        <v>1</v>
      </c>
      <c r="Y309" s="30">
        <v>1</v>
      </c>
      <c r="Z309" s="30">
        <v>1</v>
      </c>
      <c r="AA309" s="30">
        <v>1</v>
      </c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1" t="s">
        <v>740</v>
      </c>
      <c r="AO309" s="30" t="s">
        <v>41</v>
      </c>
      <c r="AP309" s="30"/>
      <c r="AQ309" s="30"/>
      <c r="AR309" s="36"/>
      <c r="AS309" s="36"/>
      <c r="AT309" s="36"/>
      <c r="AU309" s="36"/>
      <c r="AV309" s="36"/>
      <c r="AW309" s="36"/>
      <c r="AX309" s="36"/>
      <c r="AY309" s="36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27"/>
      <c r="BL309" s="27"/>
    </row>
    <row r="310" spans="1:64">
      <c r="A310" s="25" t="s">
        <v>54</v>
      </c>
      <c r="B310" s="26">
        <v>46214</v>
      </c>
      <c r="C310" s="27"/>
      <c r="D310" s="27">
        <v>138966</v>
      </c>
      <c r="E310" s="27" t="s">
        <v>574</v>
      </c>
      <c r="F310" s="27" t="s">
        <v>59</v>
      </c>
      <c r="G310" s="27" t="s">
        <v>294</v>
      </c>
      <c r="H310" s="30" t="s">
        <v>1061</v>
      </c>
      <c r="I310" s="31" t="s">
        <v>1062</v>
      </c>
      <c r="J310" s="30" t="s">
        <v>1061</v>
      </c>
      <c r="K310" s="27">
        <v>21</v>
      </c>
      <c r="L310" s="27">
        <v>131.11000000000001</v>
      </c>
      <c r="M310" s="27">
        <v>131.11000000000001</v>
      </c>
      <c r="N310" s="31" t="s">
        <v>577</v>
      </c>
      <c r="O310" s="27"/>
      <c r="P310" s="30"/>
      <c r="Q310" s="30" t="s">
        <v>66</v>
      </c>
      <c r="R310" s="26">
        <v>46218</v>
      </c>
      <c r="S310" s="26">
        <v>46221</v>
      </c>
      <c r="T310" s="31"/>
      <c r="U310" s="30" t="s">
        <v>68</v>
      </c>
      <c r="V310" s="34" t="s">
        <v>70</v>
      </c>
      <c r="W310" s="27" t="s">
        <v>284</v>
      </c>
      <c r="X310" s="30">
        <v>1</v>
      </c>
      <c r="Y310" s="30">
        <v>1</v>
      </c>
      <c r="Z310" s="30">
        <v>1</v>
      </c>
      <c r="AA310" s="30">
        <v>1</v>
      </c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1" t="s">
        <v>577</v>
      </c>
      <c r="AO310" s="30"/>
      <c r="AP310" s="30" t="s">
        <v>41</v>
      </c>
      <c r="AQ310" s="30"/>
      <c r="AR310" s="36"/>
      <c r="AS310" s="36"/>
      <c r="AT310" s="36"/>
      <c r="AU310" s="36"/>
      <c r="AV310" s="36"/>
      <c r="AW310" s="36"/>
      <c r="AX310" s="36"/>
      <c r="AY310" s="36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27"/>
      <c r="BL310" s="27"/>
    </row>
    <row r="311" spans="1:64">
      <c r="A311" s="25" t="s">
        <v>54</v>
      </c>
      <c r="B311" s="26">
        <v>46214</v>
      </c>
      <c r="C311" s="27"/>
      <c r="D311" s="27">
        <v>138971</v>
      </c>
      <c r="E311" s="27" t="s">
        <v>574</v>
      </c>
      <c r="F311" s="27" t="s">
        <v>59</v>
      </c>
      <c r="G311" s="27" t="s">
        <v>294</v>
      </c>
      <c r="H311" s="30" t="s">
        <v>513</v>
      </c>
      <c r="I311" s="31" t="s">
        <v>1063</v>
      </c>
      <c r="J311" s="30" t="s">
        <v>1064</v>
      </c>
      <c r="K311" s="27">
        <v>11</v>
      </c>
      <c r="L311" s="27">
        <v>66</v>
      </c>
      <c r="M311" s="27">
        <v>68.680000000000007</v>
      </c>
      <c r="N311" s="31" t="s">
        <v>577</v>
      </c>
      <c r="O311" s="27"/>
      <c r="P311" s="30"/>
      <c r="Q311" s="30" t="s">
        <v>66</v>
      </c>
      <c r="R311" s="26">
        <v>46219</v>
      </c>
      <c r="S311" s="26">
        <v>46221</v>
      </c>
      <c r="T311" s="31"/>
      <c r="U311" s="30" t="s">
        <v>68</v>
      </c>
      <c r="V311" s="34" t="s">
        <v>70</v>
      </c>
      <c r="W311" s="27" t="s">
        <v>284</v>
      </c>
      <c r="X311" s="30">
        <v>1</v>
      </c>
      <c r="Y311" s="30">
        <v>1</v>
      </c>
      <c r="Z311" s="30">
        <v>1</v>
      </c>
      <c r="AA311" s="30">
        <v>1</v>
      </c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1" t="s">
        <v>577</v>
      </c>
      <c r="AO311" s="30"/>
      <c r="AP311" s="30"/>
      <c r="AQ311" s="30" t="s">
        <v>41</v>
      </c>
      <c r="AR311" s="36"/>
      <c r="AS311" s="36"/>
      <c r="AT311" s="36"/>
      <c r="AU311" s="36"/>
      <c r="AV311" s="36"/>
      <c r="AW311" s="36"/>
      <c r="AX311" s="36"/>
      <c r="AY311" s="36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27"/>
      <c r="BL311" s="27"/>
    </row>
    <row r="312" spans="1:64">
      <c r="A312" s="25" t="s">
        <v>54</v>
      </c>
      <c r="B312" s="26">
        <v>46214</v>
      </c>
      <c r="C312" s="27"/>
      <c r="D312" s="27">
        <v>138978</v>
      </c>
      <c r="E312" s="27" t="s">
        <v>574</v>
      </c>
      <c r="F312" s="27" t="s">
        <v>59</v>
      </c>
      <c r="G312" s="27" t="s">
        <v>294</v>
      </c>
      <c r="H312" s="30" t="s">
        <v>1065</v>
      </c>
      <c r="I312" s="31" t="s">
        <v>1067</v>
      </c>
      <c r="J312" s="30" t="s">
        <v>1068</v>
      </c>
      <c r="K312" s="27">
        <v>17</v>
      </c>
      <c r="L312" s="27">
        <v>102</v>
      </c>
      <c r="M312" s="27">
        <v>105.4</v>
      </c>
      <c r="N312" s="31" t="s">
        <v>740</v>
      </c>
      <c r="O312" s="27"/>
      <c r="P312" s="30"/>
      <c r="Q312" s="30" t="s">
        <v>838</v>
      </c>
      <c r="R312" s="26">
        <v>46216</v>
      </c>
      <c r="S312" s="26">
        <v>46218</v>
      </c>
      <c r="T312" s="31"/>
      <c r="U312" s="30" t="s">
        <v>32</v>
      </c>
      <c r="V312" s="34" t="s">
        <v>33</v>
      </c>
      <c r="W312" s="27" t="s">
        <v>284</v>
      </c>
      <c r="X312" s="30">
        <v>1</v>
      </c>
      <c r="Y312" s="30">
        <v>1</v>
      </c>
      <c r="Z312" s="30">
        <v>1</v>
      </c>
      <c r="AA312" s="30">
        <v>1</v>
      </c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1" t="s">
        <v>1069</v>
      </c>
      <c r="AO312" s="30"/>
      <c r="AP312" s="30"/>
      <c r="AQ312" s="30"/>
      <c r="AR312" s="36"/>
      <c r="AS312" s="36"/>
      <c r="AT312" s="36"/>
      <c r="AU312" s="36"/>
      <c r="AV312" s="36"/>
      <c r="AW312" s="36"/>
      <c r="AX312" s="36"/>
      <c r="AY312" s="36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27"/>
      <c r="BL312" s="27"/>
    </row>
    <row r="313" spans="1:64">
      <c r="A313" s="25" t="s">
        <v>54</v>
      </c>
      <c r="B313" s="26">
        <v>46214</v>
      </c>
      <c r="C313" s="27"/>
      <c r="D313" s="27">
        <v>138246</v>
      </c>
      <c r="E313" s="27" t="s">
        <v>574</v>
      </c>
      <c r="F313" s="27" t="s">
        <v>59</v>
      </c>
      <c r="G313" s="27" t="s">
        <v>294</v>
      </c>
      <c r="H313" s="30" t="s">
        <v>1070</v>
      </c>
      <c r="I313" s="31" t="s">
        <v>1071</v>
      </c>
      <c r="J313" s="30" t="s">
        <v>1070</v>
      </c>
      <c r="K313" s="27">
        <v>10</v>
      </c>
      <c r="L313" s="27">
        <v>60</v>
      </c>
      <c r="M313" s="27">
        <v>62.43</v>
      </c>
      <c r="N313" s="31" t="s">
        <v>577</v>
      </c>
      <c r="O313" s="27"/>
      <c r="P313" s="30"/>
      <c r="Q313" s="30" t="s">
        <v>838</v>
      </c>
      <c r="R313" s="26">
        <v>46219</v>
      </c>
      <c r="S313" s="26">
        <v>46221</v>
      </c>
      <c r="T313" s="31"/>
      <c r="U313" s="30" t="s">
        <v>68</v>
      </c>
      <c r="V313" s="34" t="s">
        <v>70</v>
      </c>
      <c r="W313" s="27" t="s">
        <v>284</v>
      </c>
      <c r="X313" s="30">
        <v>1</v>
      </c>
      <c r="Y313" s="30">
        <v>1</v>
      </c>
      <c r="Z313" s="30">
        <v>1</v>
      </c>
      <c r="AA313" s="30">
        <v>1</v>
      </c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1" t="s">
        <v>577</v>
      </c>
      <c r="AO313" s="30"/>
      <c r="AP313" s="30"/>
      <c r="AQ313" s="30" t="s">
        <v>41</v>
      </c>
      <c r="AR313" s="36"/>
      <c r="AS313" s="36"/>
      <c r="AT313" s="36"/>
      <c r="AU313" s="36"/>
      <c r="AV313" s="36"/>
      <c r="AW313" s="36"/>
      <c r="AX313" s="36"/>
      <c r="AY313" s="36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27"/>
      <c r="BL313" s="27"/>
    </row>
    <row r="314" spans="1:64">
      <c r="A314" s="25" t="s">
        <v>54</v>
      </c>
      <c r="B314" s="26">
        <v>46214</v>
      </c>
      <c r="C314" s="27"/>
      <c r="D314" s="27">
        <v>138972</v>
      </c>
      <c r="E314" s="27" t="s">
        <v>574</v>
      </c>
      <c r="F314" s="27" t="s">
        <v>59</v>
      </c>
      <c r="G314" s="27" t="s">
        <v>294</v>
      </c>
      <c r="H314" s="30" t="s">
        <v>1073</v>
      </c>
      <c r="I314" s="31" t="s">
        <v>1074</v>
      </c>
      <c r="J314" s="30" t="s">
        <v>1073</v>
      </c>
      <c r="K314" s="27">
        <v>15</v>
      </c>
      <c r="L314" s="27">
        <v>90</v>
      </c>
      <c r="M314" s="27">
        <v>93</v>
      </c>
      <c r="N314" s="31" t="s">
        <v>577</v>
      </c>
      <c r="O314" s="27"/>
      <c r="P314" s="30"/>
      <c r="Q314" s="30" t="s">
        <v>838</v>
      </c>
      <c r="R314" s="26">
        <v>46219</v>
      </c>
      <c r="S314" s="26">
        <v>46223</v>
      </c>
      <c r="T314" s="31"/>
      <c r="U314" s="30" t="s">
        <v>32</v>
      </c>
      <c r="V314" s="34" t="s">
        <v>1075</v>
      </c>
      <c r="W314" s="27" t="s">
        <v>284</v>
      </c>
      <c r="X314" s="30">
        <v>1</v>
      </c>
      <c r="Y314" s="30">
        <v>1</v>
      </c>
      <c r="Z314" s="30">
        <v>1</v>
      </c>
      <c r="AA314" s="30">
        <v>1</v>
      </c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1" t="s">
        <v>577</v>
      </c>
      <c r="AO314" s="30"/>
      <c r="AP314" s="30"/>
      <c r="AQ314" s="30" t="s">
        <v>41</v>
      </c>
      <c r="AR314" s="36"/>
      <c r="AS314" s="36"/>
      <c r="AT314" s="36"/>
      <c r="AU314" s="36"/>
      <c r="AV314" s="36"/>
      <c r="AW314" s="36"/>
      <c r="AX314" s="36"/>
      <c r="AY314" s="36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27"/>
      <c r="BL314" s="27"/>
    </row>
    <row r="315" spans="1:64">
      <c r="A315" s="25" t="s">
        <v>54</v>
      </c>
      <c r="B315" s="26">
        <v>46214</v>
      </c>
      <c r="C315" s="27"/>
      <c r="D315" s="27">
        <v>138983</v>
      </c>
      <c r="E315" s="27" t="s">
        <v>574</v>
      </c>
      <c r="F315" s="27" t="s">
        <v>59</v>
      </c>
      <c r="G315" s="27" t="s">
        <v>294</v>
      </c>
      <c r="H315" s="30" t="s">
        <v>1076</v>
      </c>
      <c r="I315" s="31" t="s">
        <v>1077</v>
      </c>
      <c r="J315" s="30" t="s">
        <v>1078</v>
      </c>
      <c r="K315" s="27">
        <v>15</v>
      </c>
      <c r="L315" s="27">
        <v>90</v>
      </c>
      <c r="M315" s="27">
        <v>93</v>
      </c>
      <c r="N315" s="31" t="s">
        <v>1079</v>
      </c>
      <c r="O315" s="27"/>
      <c r="P315" s="30"/>
      <c r="Q315" s="30" t="s">
        <v>1080</v>
      </c>
      <c r="R315" s="26">
        <v>46217</v>
      </c>
      <c r="S315" s="26">
        <v>46218</v>
      </c>
      <c r="T315" s="31"/>
      <c r="U315" s="30" t="s">
        <v>32</v>
      </c>
      <c r="V315" s="34" t="s">
        <v>33</v>
      </c>
      <c r="W315" s="27" t="s">
        <v>284</v>
      </c>
      <c r="X315" s="30">
        <v>1</v>
      </c>
      <c r="Y315" s="30">
        <v>1</v>
      </c>
      <c r="Z315" s="30">
        <v>1</v>
      </c>
      <c r="AA315" s="30">
        <v>1</v>
      </c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1" t="s">
        <v>1079</v>
      </c>
      <c r="AO315" s="30" t="s">
        <v>41</v>
      </c>
      <c r="AP315" s="30"/>
      <c r="AQ315" s="30"/>
      <c r="AR315" s="36"/>
      <c r="AS315" s="36"/>
      <c r="AT315" s="36"/>
      <c r="AU315" s="36"/>
      <c r="AV315" s="36"/>
      <c r="AW315" s="36"/>
      <c r="AX315" s="36"/>
      <c r="AY315" s="36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27"/>
      <c r="BL315" s="27"/>
    </row>
    <row r="316" spans="1:64">
      <c r="A316" s="25" t="s">
        <v>54</v>
      </c>
      <c r="B316" s="26">
        <v>46214</v>
      </c>
      <c r="C316" s="27"/>
      <c r="D316" s="27">
        <v>138989</v>
      </c>
      <c r="E316" s="27" t="s">
        <v>574</v>
      </c>
      <c r="F316" s="27" t="s">
        <v>59</v>
      </c>
      <c r="G316" s="27" t="s">
        <v>294</v>
      </c>
      <c r="H316" s="30" t="s">
        <v>1073</v>
      </c>
      <c r="I316" s="31" t="s">
        <v>1081</v>
      </c>
      <c r="J316" s="30" t="s">
        <v>1073</v>
      </c>
      <c r="K316" s="27">
        <v>4</v>
      </c>
      <c r="L316" s="27">
        <v>24</v>
      </c>
      <c r="M316" s="27">
        <v>24.97</v>
      </c>
      <c r="N316" s="31" t="s">
        <v>577</v>
      </c>
      <c r="O316" s="27"/>
      <c r="P316" s="30"/>
      <c r="Q316" s="30" t="s">
        <v>66</v>
      </c>
      <c r="R316" s="26">
        <v>46219</v>
      </c>
      <c r="S316" s="26">
        <v>46221</v>
      </c>
      <c r="T316" s="31"/>
      <c r="U316" s="30" t="s">
        <v>68</v>
      </c>
      <c r="V316" s="34" t="s">
        <v>70</v>
      </c>
      <c r="W316" s="27" t="s">
        <v>284</v>
      </c>
      <c r="X316" s="30">
        <v>1</v>
      </c>
      <c r="Y316" s="30">
        <v>1</v>
      </c>
      <c r="Z316" s="30">
        <v>1</v>
      </c>
      <c r="AA316" s="30">
        <v>1</v>
      </c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1" t="s">
        <v>577</v>
      </c>
      <c r="AO316" s="30"/>
      <c r="AP316" s="30"/>
      <c r="AQ316" s="30" t="s">
        <v>41</v>
      </c>
      <c r="AR316" s="36"/>
      <c r="AS316" s="36"/>
      <c r="AT316" s="36"/>
      <c r="AU316" s="36"/>
      <c r="AV316" s="36"/>
      <c r="AW316" s="36"/>
      <c r="AX316" s="36"/>
      <c r="AY316" s="36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27"/>
      <c r="BL316" s="27"/>
    </row>
    <row r="317" spans="1:64">
      <c r="A317" s="25" t="s">
        <v>54</v>
      </c>
      <c r="B317" s="26">
        <v>46214</v>
      </c>
      <c r="C317" s="27"/>
      <c r="D317" s="27">
        <v>138982</v>
      </c>
      <c r="E317" s="27" t="s">
        <v>574</v>
      </c>
      <c r="F317" s="27" t="s">
        <v>59</v>
      </c>
      <c r="G317" s="27" t="s">
        <v>294</v>
      </c>
      <c r="H317" s="30" t="s">
        <v>116</v>
      </c>
      <c r="I317" s="31" t="s">
        <v>1082</v>
      </c>
      <c r="J317" s="30" t="s">
        <v>116</v>
      </c>
      <c r="K317" s="27">
        <v>11</v>
      </c>
      <c r="L317" s="27">
        <v>66</v>
      </c>
      <c r="M317" s="27" t="s">
        <v>1083</v>
      </c>
      <c r="N317" s="31" t="s">
        <v>247</v>
      </c>
      <c r="O317" s="27"/>
      <c r="P317" s="30"/>
      <c r="Q317" s="30" t="s">
        <v>1084</v>
      </c>
      <c r="R317" s="26">
        <v>46216</v>
      </c>
      <c r="S317" s="26">
        <v>46218</v>
      </c>
      <c r="T317" s="31"/>
      <c r="U317" s="30" t="s">
        <v>32</v>
      </c>
      <c r="V317" s="34" t="s">
        <v>33</v>
      </c>
      <c r="W317" s="27" t="s">
        <v>284</v>
      </c>
      <c r="X317" s="30">
        <v>1</v>
      </c>
      <c r="Y317" s="30">
        <v>1</v>
      </c>
      <c r="Z317" s="30">
        <v>1</v>
      </c>
      <c r="AA317" s="30">
        <v>1</v>
      </c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1" t="s">
        <v>251</v>
      </c>
      <c r="AO317" s="30"/>
      <c r="AP317" s="30"/>
      <c r="AQ317" s="30"/>
      <c r="AR317" s="36"/>
      <c r="AS317" s="36"/>
      <c r="AT317" s="36"/>
      <c r="AU317" s="36"/>
      <c r="AV317" s="36"/>
      <c r="AW317" s="36"/>
      <c r="AX317" s="36"/>
      <c r="AY317" s="36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27"/>
      <c r="BL317" s="27"/>
    </row>
    <row r="318" spans="1:64">
      <c r="A318" s="25" t="s">
        <v>54</v>
      </c>
      <c r="B318" s="26">
        <v>46214</v>
      </c>
      <c r="C318" s="27"/>
      <c r="D318" s="27">
        <v>138970</v>
      </c>
      <c r="E318" s="27" t="s">
        <v>574</v>
      </c>
      <c r="F318" s="27" t="s">
        <v>59</v>
      </c>
      <c r="G318" s="27" t="s">
        <v>294</v>
      </c>
      <c r="H318" s="30" t="s">
        <v>1085</v>
      </c>
      <c r="I318" s="31" t="s">
        <v>1086</v>
      </c>
      <c r="J318" s="30" t="s">
        <v>1085</v>
      </c>
      <c r="K318" s="27">
        <v>9</v>
      </c>
      <c r="L318" s="27">
        <v>54</v>
      </c>
      <c r="M318" s="27">
        <v>55.8</v>
      </c>
      <c r="N318" s="31" t="s">
        <v>577</v>
      </c>
      <c r="O318" s="27"/>
      <c r="P318" s="30"/>
      <c r="Q318" s="30" t="s">
        <v>66</v>
      </c>
      <c r="R318" s="26">
        <v>46217</v>
      </c>
      <c r="S318" s="26">
        <v>46230</v>
      </c>
      <c r="T318" s="31"/>
      <c r="U318" s="30" t="s">
        <v>68</v>
      </c>
      <c r="V318" s="34" t="s">
        <v>70</v>
      </c>
      <c r="W318" s="27" t="s">
        <v>284</v>
      </c>
      <c r="X318" s="30">
        <v>1</v>
      </c>
      <c r="Y318" s="30">
        <v>1</v>
      </c>
      <c r="Z318" s="30">
        <v>1</v>
      </c>
      <c r="AA318" s="30">
        <v>1</v>
      </c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1" t="s">
        <v>577</v>
      </c>
      <c r="AO318" s="30" t="s">
        <v>41</v>
      </c>
      <c r="AP318" s="30"/>
      <c r="AQ318" s="30"/>
      <c r="AR318" s="36"/>
      <c r="AS318" s="36"/>
      <c r="AT318" s="36"/>
      <c r="AU318" s="36"/>
      <c r="AV318" s="36"/>
      <c r="AW318" s="36"/>
      <c r="AX318" s="36"/>
      <c r="AY318" s="36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27"/>
      <c r="BL318" s="27"/>
    </row>
    <row r="319" spans="1:64">
      <c r="A319" s="25" t="s">
        <v>54</v>
      </c>
      <c r="B319" s="26">
        <v>46214</v>
      </c>
      <c r="C319" s="27"/>
      <c r="D319" s="27">
        <v>138981</v>
      </c>
      <c r="E319" s="27" t="s">
        <v>574</v>
      </c>
      <c r="F319" s="27" t="s">
        <v>59</v>
      </c>
      <c r="G319" s="27" t="s">
        <v>294</v>
      </c>
      <c r="H319" s="30" t="s">
        <v>1087</v>
      </c>
      <c r="I319" s="31" t="s">
        <v>1088</v>
      </c>
      <c r="J319" s="30" t="s">
        <v>1087</v>
      </c>
      <c r="K319" s="27">
        <v>15</v>
      </c>
      <c r="L319" s="27">
        <v>90</v>
      </c>
      <c r="M319" s="27">
        <v>93</v>
      </c>
      <c r="N319" s="31" t="s">
        <v>740</v>
      </c>
      <c r="O319" s="27"/>
      <c r="P319" s="30"/>
      <c r="Q319" s="30" t="s">
        <v>1089</v>
      </c>
      <c r="R319" s="26">
        <v>46216</v>
      </c>
      <c r="S319" s="26">
        <v>46218</v>
      </c>
      <c r="T319" s="31"/>
      <c r="U319" s="30" t="s">
        <v>32</v>
      </c>
      <c r="V319" s="34" t="s">
        <v>33</v>
      </c>
      <c r="W319" s="27" t="s">
        <v>284</v>
      </c>
      <c r="X319" s="30">
        <v>1</v>
      </c>
      <c r="Y319" s="30">
        <v>1</v>
      </c>
      <c r="Z319" s="30">
        <v>1</v>
      </c>
      <c r="AA319" s="30">
        <v>1</v>
      </c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1" t="s">
        <v>1090</v>
      </c>
      <c r="AO319" s="30"/>
      <c r="AP319" s="30"/>
      <c r="AQ319" s="30"/>
      <c r="AR319" s="36"/>
      <c r="AS319" s="36"/>
      <c r="AT319" s="36"/>
      <c r="AU319" s="36"/>
      <c r="AV319" s="36"/>
      <c r="AW319" s="36"/>
      <c r="AX319" s="36"/>
      <c r="AY319" s="36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27"/>
      <c r="BL319" s="27"/>
    </row>
    <row r="320" spans="1:64">
      <c r="A320" s="25" t="s">
        <v>54</v>
      </c>
      <c r="B320" s="26">
        <v>46214</v>
      </c>
      <c r="C320" s="27"/>
      <c r="D320" s="27">
        <v>138980</v>
      </c>
      <c r="E320" s="27" t="s">
        <v>574</v>
      </c>
      <c r="F320" s="27" t="s">
        <v>59</v>
      </c>
      <c r="G320" s="27" t="s">
        <v>294</v>
      </c>
      <c r="H320" s="30" t="s">
        <v>1091</v>
      </c>
      <c r="I320" s="31" t="s">
        <v>1092</v>
      </c>
      <c r="J320" s="30" t="s">
        <v>1091</v>
      </c>
      <c r="K320" s="27">
        <v>9</v>
      </c>
      <c r="L320" s="27">
        <v>54</v>
      </c>
      <c r="M320" s="27" t="s">
        <v>1093</v>
      </c>
      <c r="N320" s="31" t="s">
        <v>740</v>
      </c>
      <c r="O320" s="27"/>
      <c r="P320" s="30"/>
      <c r="Q320" s="30" t="s">
        <v>1094</v>
      </c>
      <c r="R320" s="26">
        <v>46216</v>
      </c>
      <c r="S320" s="26">
        <v>46218</v>
      </c>
      <c r="T320" s="31"/>
      <c r="U320" s="30" t="s">
        <v>32</v>
      </c>
      <c r="V320" s="34" t="s">
        <v>33</v>
      </c>
      <c r="W320" s="27" t="s">
        <v>284</v>
      </c>
      <c r="X320" s="30">
        <v>1</v>
      </c>
      <c r="Y320" s="30">
        <v>1</v>
      </c>
      <c r="Z320" s="30">
        <v>1</v>
      </c>
      <c r="AA320" s="30">
        <v>1</v>
      </c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1" t="s">
        <v>1069</v>
      </c>
      <c r="AO320" s="30"/>
      <c r="AP320" s="30"/>
      <c r="AQ320" s="30"/>
      <c r="AR320" s="36"/>
      <c r="AS320" s="36"/>
      <c r="AT320" s="36"/>
      <c r="AU320" s="36"/>
      <c r="AV320" s="36"/>
      <c r="AW320" s="36"/>
      <c r="AX320" s="36"/>
      <c r="AY320" s="36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27"/>
      <c r="BL320" s="27"/>
    </row>
    <row r="321" spans="1:64">
      <c r="A321" s="25" t="s">
        <v>54</v>
      </c>
      <c r="B321" s="26">
        <v>46214</v>
      </c>
      <c r="C321" s="27"/>
      <c r="D321" s="27">
        <v>138979</v>
      </c>
      <c r="E321" s="27" t="s">
        <v>574</v>
      </c>
      <c r="F321" s="27" t="s">
        <v>59</v>
      </c>
      <c r="G321" s="27" t="s">
        <v>294</v>
      </c>
      <c r="H321" s="30" t="s">
        <v>470</v>
      </c>
      <c r="I321" s="31" t="s">
        <v>1095</v>
      </c>
      <c r="J321" s="30" t="s">
        <v>470</v>
      </c>
      <c r="K321" s="27">
        <v>10</v>
      </c>
      <c r="L321" s="27">
        <v>60</v>
      </c>
      <c r="M321" s="27">
        <v>62</v>
      </c>
      <c r="N321" s="31" t="s">
        <v>740</v>
      </c>
      <c r="O321" s="27"/>
      <c r="P321" s="30"/>
      <c r="Q321" s="30" t="s">
        <v>1096</v>
      </c>
      <c r="R321" s="26">
        <v>46216</v>
      </c>
      <c r="S321" s="26">
        <v>46218</v>
      </c>
      <c r="T321" s="31"/>
      <c r="U321" s="30" t="s">
        <v>32</v>
      </c>
      <c r="V321" s="34" t="s">
        <v>33</v>
      </c>
      <c r="W321" s="27" t="s">
        <v>284</v>
      </c>
      <c r="X321" s="30">
        <v>1</v>
      </c>
      <c r="Y321" s="30">
        <v>1</v>
      </c>
      <c r="Z321" s="30">
        <v>1</v>
      </c>
      <c r="AA321" s="30">
        <v>1</v>
      </c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1" t="s">
        <v>1069</v>
      </c>
      <c r="AO321" s="30"/>
      <c r="AP321" s="30"/>
      <c r="AQ321" s="30"/>
      <c r="AR321" s="36"/>
      <c r="AS321" s="36"/>
      <c r="AT321" s="36"/>
      <c r="AU321" s="36"/>
      <c r="AV321" s="36"/>
      <c r="AW321" s="36"/>
      <c r="AX321" s="36"/>
      <c r="AY321" s="36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27"/>
      <c r="BL321" s="27"/>
    </row>
    <row r="322" spans="1:64">
      <c r="A322" s="25" t="s">
        <v>54</v>
      </c>
      <c r="B322" s="26">
        <v>46214</v>
      </c>
      <c r="C322" s="27"/>
      <c r="D322" s="27">
        <v>139163</v>
      </c>
      <c r="E322" s="27" t="s">
        <v>574</v>
      </c>
      <c r="F322" s="27" t="s">
        <v>59</v>
      </c>
      <c r="G322" s="27" t="s">
        <v>294</v>
      </c>
      <c r="H322" s="30" t="s">
        <v>1091</v>
      </c>
      <c r="I322" s="31" t="s">
        <v>1098</v>
      </c>
      <c r="J322" s="30" t="s">
        <v>1091</v>
      </c>
      <c r="K322" s="27">
        <v>1</v>
      </c>
      <c r="L322" s="27">
        <v>18</v>
      </c>
      <c r="M322" s="27" t="s">
        <v>1099</v>
      </c>
      <c r="N322" s="31" t="s">
        <v>740</v>
      </c>
      <c r="O322" s="27"/>
      <c r="P322" s="30"/>
      <c r="Q322" s="30" t="s">
        <v>1100</v>
      </c>
      <c r="R322" s="26">
        <v>46216</v>
      </c>
      <c r="S322" s="26">
        <v>46218</v>
      </c>
      <c r="T322" s="31"/>
      <c r="U322" s="30" t="s">
        <v>32</v>
      </c>
      <c r="V322" s="34" t="s">
        <v>33</v>
      </c>
      <c r="W322" s="27" t="s">
        <v>284</v>
      </c>
      <c r="X322" s="30">
        <v>1</v>
      </c>
      <c r="Y322" s="30">
        <v>1</v>
      </c>
      <c r="Z322" s="30">
        <v>1</v>
      </c>
      <c r="AA322" s="30">
        <v>1</v>
      </c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1" t="s">
        <v>1069</v>
      </c>
      <c r="AO322" s="30"/>
      <c r="AP322" s="30"/>
      <c r="AQ322" s="30"/>
      <c r="AR322" s="36"/>
      <c r="AS322" s="36"/>
      <c r="AT322" s="36"/>
      <c r="AU322" s="36"/>
      <c r="AV322" s="36"/>
      <c r="AW322" s="36"/>
      <c r="AX322" s="36"/>
      <c r="AY322" s="36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27"/>
      <c r="BL322" s="27"/>
    </row>
    <row r="323" spans="1:64">
      <c r="A323" s="25" t="s">
        <v>54</v>
      </c>
      <c r="B323" s="26">
        <v>46214</v>
      </c>
      <c r="C323" s="27"/>
      <c r="D323" s="27">
        <v>138969</v>
      </c>
      <c r="E323" s="27" t="s">
        <v>574</v>
      </c>
      <c r="F323" s="27" t="s">
        <v>59</v>
      </c>
      <c r="G323" s="27" t="s">
        <v>294</v>
      </c>
      <c r="H323" s="30" t="s">
        <v>1101</v>
      </c>
      <c r="I323" s="31" t="s">
        <v>1102</v>
      </c>
      <c r="J323" s="30" t="s">
        <v>1101</v>
      </c>
      <c r="K323" s="27">
        <v>16</v>
      </c>
      <c r="L323" s="27">
        <v>96</v>
      </c>
      <c r="M323" s="27">
        <v>99.9</v>
      </c>
      <c r="N323" s="31" t="s">
        <v>577</v>
      </c>
      <c r="O323" s="27"/>
      <c r="P323" s="30"/>
      <c r="Q323" s="30" t="s">
        <v>66</v>
      </c>
      <c r="R323" s="26">
        <v>46218</v>
      </c>
      <c r="S323" s="26">
        <v>46221</v>
      </c>
      <c r="T323" s="31"/>
      <c r="U323" s="30" t="s">
        <v>68</v>
      </c>
      <c r="V323" s="34" t="s">
        <v>70</v>
      </c>
      <c r="W323" s="27" t="s">
        <v>284</v>
      </c>
      <c r="X323" s="30">
        <v>1</v>
      </c>
      <c r="Y323" s="30">
        <v>1</v>
      </c>
      <c r="Z323" s="30">
        <v>1</v>
      </c>
      <c r="AA323" s="30">
        <v>1</v>
      </c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1" t="s">
        <v>577</v>
      </c>
      <c r="AO323" s="30"/>
      <c r="AP323" s="30" t="s">
        <v>41</v>
      </c>
      <c r="AQ323" s="30"/>
      <c r="AR323" s="36"/>
      <c r="AS323" s="36"/>
      <c r="AT323" s="36"/>
      <c r="AU323" s="36"/>
      <c r="AV323" s="36"/>
      <c r="AW323" s="36"/>
      <c r="AX323" s="36"/>
      <c r="AY323" s="36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27"/>
      <c r="BL323" s="27"/>
    </row>
    <row r="324" spans="1:64">
      <c r="A324" s="25" t="s">
        <v>54</v>
      </c>
      <c r="B324" s="26">
        <v>46214</v>
      </c>
      <c r="C324" s="27"/>
      <c r="D324" s="27">
        <v>138984</v>
      </c>
      <c r="E324" s="27" t="s">
        <v>574</v>
      </c>
      <c r="F324" s="27" t="s">
        <v>59</v>
      </c>
      <c r="G324" s="27" t="s">
        <v>294</v>
      </c>
      <c r="H324" s="30" t="s">
        <v>1103</v>
      </c>
      <c r="I324" s="31" t="s">
        <v>1104</v>
      </c>
      <c r="J324" s="30" t="s">
        <v>510</v>
      </c>
      <c r="K324" s="27">
        <v>15</v>
      </c>
      <c r="L324" s="27">
        <v>90</v>
      </c>
      <c r="M324" s="27">
        <v>93</v>
      </c>
      <c r="N324" s="31" t="s">
        <v>740</v>
      </c>
      <c r="O324" s="27"/>
      <c r="P324" s="30"/>
      <c r="Q324" s="30" t="s">
        <v>965</v>
      </c>
      <c r="R324" s="26">
        <v>46217</v>
      </c>
      <c r="S324" s="26">
        <v>46221</v>
      </c>
      <c r="T324" s="31"/>
      <c r="U324" s="30" t="s">
        <v>32</v>
      </c>
      <c r="V324" s="34" t="s">
        <v>33</v>
      </c>
      <c r="W324" s="27" t="s">
        <v>284</v>
      </c>
      <c r="X324" s="30">
        <v>1</v>
      </c>
      <c r="Y324" s="30">
        <v>1</v>
      </c>
      <c r="Z324" s="30">
        <v>1</v>
      </c>
      <c r="AA324" s="30">
        <v>1</v>
      </c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1" t="s">
        <v>740</v>
      </c>
      <c r="AO324" s="30" t="s">
        <v>906</v>
      </c>
      <c r="AP324" s="30"/>
      <c r="AQ324" s="30"/>
      <c r="AR324" s="36"/>
      <c r="AS324" s="36"/>
      <c r="AT324" s="36"/>
      <c r="AU324" s="36"/>
      <c r="AV324" s="36"/>
      <c r="AW324" s="36"/>
      <c r="AX324" s="36"/>
      <c r="AY324" s="36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27"/>
      <c r="BL324" s="27"/>
    </row>
    <row r="325" spans="1:64">
      <c r="A325" s="25" t="s">
        <v>54</v>
      </c>
      <c r="B325" s="26">
        <v>46214</v>
      </c>
      <c r="C325" s="27"/>
      <c r="D325" s="27">
        <v>138967</v>
      </c>
      <c r="E325" s="27" t="s">
        <v>574</v>
      </c>
      <c r="F325" s="27" t="s">
        <v>59</v>
      </c>
      <c r="G325" s="27" t="s">
        <v>294</v>
      </c>
      <c r="H325" s="30" t="s">
        <v>1105</v>
      </c>
      <c r="I325" s="31" t="s">
        <v>1106</v>
      </c>
      <c r="J325" s="30" t="s">
        <v>1105</v>
      </c>
      <c r="K325" s="27">
        <v>13</v>
      </c>
      <c r="L325" s="27">
        <v>78</v>
      </c>
      <c r="M325" s="27">
        <v>81.16</v>
      </c>
      <c r="N325" s="31" t="s">
        <v>1107</v>
      </c>
      <c r="O325" s="27"/>
      <c r="P325" s="30"/>
      <c r="Q325" s="30" t="s">
        <v>66</v>
      </c>
      <c r="R325" s="26">
        <v>46218</v>
      </c>
      <c r="S325" s="26">
        <v>46218</v>
      </c>
      <c r="T325" s="31"/>
      <c r="U325" s="30" t="s">
        <v>68</v>
      </c>
      <c r="V325" s="34" t="s">
        <v>70</v>
      </c>
      <c r="W325" s="27" t="s">
        <v>284</v>
      </c>
      <c r="X325" s="30">
        <v>1</v>
      </c>
      <c r="Y325" s="30">
        <v>1</v>
      </c>
      <c r="Z325" s="30">
        <v>1</v>
      </c>
      <c r="AA325" s="30">
        <v>1</v>
      </c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1" t="s">
        <v>1107</v>
      </c>
      <c r="AO325" s="30"/>
      <c r="AP325" s="30" t="s">
        <v>41</v>
      </c>
      <c r="AQ325" s="30"/>
      <c r="AR325" s="36"/>
      <c r="AS325" s="36"/>
      <c r="AT325" s="36"/>
      <c r="AU325" s="36"/>
      <c r="AV325" s="36"/>
      <c r="AW325" s="36"/>
      <c r="AX325" s="36"/>
      <c r="AY325" s="36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27"/>
      <c r="BL325" s="27"/>
    </row>
    <row r="326" spans="1:64">
      <c r="A326" s="25" t="s">
        <v>54</v>
      </c>
      <c r="B326" s="26">
        <v>46214</v>
      </c>
      <c r="C326" s="27"/>
      <c r="D326" s="27">
        <v>138968</v>
      </c>
      <c r="E326" s="27" t="s">
        <v>574</v>
      </c>
      <c r="F326" s="27" t="s">
        <v>59</v>
      </c>
      <c r="G326" s="27" t="s">
        <v>294</v>
      </c>
      <c r="H326" s="30" t="s">
        <v>1108</v>
      </c>
      <c r="I326" s="31" t="s">
        <v>1109</v>
      </c>
      <c r="J326" s="30" t="s">
        <v>1110</v>
      </c>
      <c r="K326" s="27">
        <v>13</v>
      </c>
      <c r="L326" s="27">
        <v>78</v>
      </c>
      <c r="M326" s="27">
        <v>81.16</v>
      </c>
      <c r="N326" s="31" t="s">
        <v>1107</v>
      </c>
      <c r="O326" s="27"/>
      <c r="P326" s="30"/>
      <c r="Q326" s="30" t="s">
        <v>66</v>
      </c>
      <c r="R326" s="26">
        <v>46218</v>
      </c>
      <c r="S326" s="26">
        <v>46221</v>
      </c>
      <c r="T326" s="31"/>
      <c r="U326" s="30" t="s">
        <v>68</v>
      </c>
      <c r="V326" s="34" t="s">
        <v>70</v>
      </c>
      <c r="W326" s="27" t="s">
        <v>284</v>
      </c>
      <c r="X326" s="30">
        <v>1</v>
      </c>
      <c r="Y326" s="30">
        <v>1</v>
      </c>
      <c r="Z326" s="30">
        <v>1</v>
      </c>
      <c r="AA326" s="30">
        <v>1</v>
      </c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1" t="s">
        <v>1107</v>
      </c>
      <c r="AO326" s="30"/>
      <c r="AP326" s="30" t="s">
        <v>41</v>
      </c>
      <c r="AQ326" s="30"/>
      <c r="AR326" s="36"/>
      <c r="AS326" s="36"/>
      <c r="AT326" s="36"/>
      <c r="AU326" s="36"/>
      <c r="AV326" s="36"/>
      <c r="AW326" s="36"/>
      <c r="AX326" s="36"/>
      <c r="AY326" s="36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27"/>
      <c r="BL326" s="27"/>
    </row>
    <row r="327" spans="1:64">
      <c r="A327" s="25" t="s">
        <v>54</v>
      </c>
      <c r="B327" s="26">
        <v>46214</v>
      </c>
      <c r="C327" s="27"/>
      <c r="D327" s="27">
        <v>138965</v>
      </c>
      <c r="E327" s="27" t="s">
        <v>574</v>
      </c>
      <c r="F327" s="27" t="s">
        <v>59</v>
      </c>
      <c r="G327" s="27" t="s">
        <v>294</v>
      </c>
      <c r="H327" s="30" t="s">
        <v>1111</v>
      </c>
      <c r="I327" s="31" t="s">
        <v>1112</v>
      </c>
      <c r="J327" s="30" t="s">
        <v>1111</v>
      </c>
      <c r="K327" s="27">
        <v>22</v>
      </c>
      <c r="L327" s="27">
        <v>132</v>
      </c>
      <c r="M327" s="27">
        <v>137.36000000000001</v>
      </c>
      <c r="N327" s="31" t="s">
        <v>1107</v>
      </c>
      <c r="O327" s="27"/>
      <c r="P327" s="30"/>
      <c r="Q327" s="30" t="s">
        <v>66</v>
      </c>
      <c r="R327" s="26">
        <v>46218</v>
      </c>
      <c r="S327" s="26">
        <v>46221</v>
      </c>
      <c r="T327" s="31"/>
      <c r="U327" s="30" t="s">
        <v>68</v>
      </c>
      <c r="V327" s="34" t="s">
        <v>70</v>
      </c>
      <c r="W327" s="27" t="s">
        <v>284</v>
      </c>
      <c r="X327" s="30">
        <v>1</v>
      </c>
      <c r="Y327" s="30">
        <v>1</v>
      </c>
      <c r="Z327" s="30">
        <v>1</v>
      </c>
      <c r="AA327" s="30">
        <v>1</v>
      </c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1" t="s">
        <v>1107</v>
      </c>
      <c r="AO327" s="30"/>
      <c r="AP327" s="30" t="s">
        <v>41</v>
      </c>
      <c r="AQ327" s="30"/>
      <c r="AR327" s="36"/>
      <c r="AS327" s="36"/>
      <c r="AT327" s="36"/>
      <c r="AU327" s="36"/>
      <c r="AV327" s="36"/>
      <c r="AW327" s="36"/>
      <c r="AX327" s="36"/>
      <c r="AY327" s="36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27"/>
      <c r="BL327" s="27"/>
    </row>
    <row r="328" spans="1:64">
      <c r="A328" s="25" t="s">
        <v>54</v>
      </c>
      <c r="B328" s="26">
        <v>46214</v>
      </c>
      <c r="C328" s="27"/>
      <c r="D328" s="27">
        <v>38338</v>
      </c>
      <c r="E328" s="27" t="s">
        <v>574</v>
      </c>
      <c r="F328" s="27" t="s">
        <v>59</v>
      </c>
      <c r="G328" s="27" t="s">
        <v>294</v>
      </c>
      <c r="H328" s="30" t="s">
        <v>412</v>
      </c>
      <c r="I328" s="31" t="s">
        <v>1113</v>
      </c>
      <c r="J328" s="30" t="s">
        <v>412</v>
      </c>
      <c r="K328" s="27">
        <v>2</v>
      </c>
      <c r="L328" s="27">
        <v>24</v>
      </c>
      <c r="M328" s="27"/>
      <c r="N328" s="31" t="s">
        <v>1114</v>
      </c>
      <c r="O328" s="27"/>
      <c r="P328" s="30"/>
      <c r="Q328" s="30" t="s">
        <v>619</v>
      </c>
      <c r="R328" s="26">
        <v>46217</v>
      </c>
      <c r="S328" s="26">
        <v>46219</v>
      </c>
      <c r="T328" s="31"/>
      <c r="U328" s="30" t="s">
        <v>68</v>
      </c>
      <c r="V328" s="34" t="s">
        <v>70</v>
      </c>
      <c r="W328" s="27" t="s">
        <v>284</v>
      </c>
      <c r="X328" s="30">
        <v>1</v>
      </c>
      <c r="Y328" s="30">
        <v>1</v>
      </c>
      <c r="Z328" s="30">
        <v>1</v>
      </c>
      <c r="AA328" s="30">
        <v>1</v>
      </c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 t="s">
        <v>507</v>
      </c>
      <c r="AO328" s="30" t="s">
        <v>41</v>
      </c>
      <c r="AP328" s="30"/>
      <c r="AQ328" s="30"/>
      <c r="AR328" s="36"/>
      <c r="AS328" s="36"/>
      <c r="AT328" s="36"/>
      <c r="AU328" s="36"/>
      <c r="AV328" s="36"/>
      <c r="AW328" s="36"/>
      <c r="AX328" s="36"/>
      <c r="AY328" s="36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27"/>
      <c r="BL328" s="27"/>
    </row>
    <row r="329" spans="1:64">
      <c r="A329" s="25" t="s">
        <v>54</v>
      </c>
      <c r="B329" s="26">
        <v>46214</v>
      </c>
      <c r="C329" s="27"/>
      <c r="D329" s="27">
        <v>139009</v>
      </c>
      <c r="E329" s="27" t="s">
        <v>574</v>
      </c>
      <c r="F329" s="27" t="s">
        <v>59</v>
      </c>
      <c r="G329" s="27" t="s">
        <v>294</v>
      </c>
      <c r="H329" s="30" t="s">
        <v>1115</v>
      </c>
      <c r="I329" s="31" t="s">
        <v>1116</v>
      </c>
      <c r="J329" s="30" t="s">
        <v>629</v>
      </c>
      <c r="K329" s="27">
        <v>12</v>
      </c>
      <c r="L329" s="27">
        <v>72</v>
      </c>
      <c r="M329" s="27" t="s">
        <v>1117</v>
      </c>
      <c r="N329" s="31" t="s">
        <v>318</v>
      </c>
      <c r="O329" s="27"/>
      <c r="P329" s="30"/>
      <c r="Q329" s="30" t="s">
        <v>66</v>
      </c>
      <c r="R329" s="26">
        <v>46220</v>
      </c>
      <c r="S329" s="26">
        <v>46223</v>
      </c>
      <c r="T329" s="31"/>
      <c r="U329" s="30" t="s">
        <v>32</v>
      </c>
      <c r="V329" s="34" t="s">
        <v>33</v>
      </c>
      <c r="W329" s="27" t="s">
        <v>284</v>
      </c>
      <c r="X329" s="30">
        <v>1</v>
      </c>
      <c r="Y329" s="30">
        <v>1</v>
      </c>
      <c r="Z329" s="30">
        <v>1</v>
      </c>
      <c r="AA329" s="30">
        <v>1</v>
      </c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 t="s">
        <v>576</v>
      </c>
      <c r="AM329" s="30"/>
      <c r="AN329" s="30"/>
      <c r="AO329" s="30"/>
      <c r="AP329" s="30"/>
      <c r="AQ329" s="30"/>
      <c r="AR329" s="36" t="s">
        <v>322</v>
      </c>
      <c r="AS329" s="36"/>
      <c r="AT329" s="36"/>
      <c r="AU329" s="36"/>
      <c r="AV329" s="36"/>
      <c r="AW329" s="36"/>
      <c r="AX329" s="36"/>
      <c r="AY329" s="36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27"/>
      <c r="BL329" s="27"/>
    </row>
    <row r="330" spans="1:64">
      <c r="A330" s="25" t="s">
        <v>54</v>
      </c>
      <c r="B330" s="26">
        <v>46214</v>
      </c>
      <c r="C330" s="27"/>
      <c r="D330" s="27">
        <v>139056</v>
      </c>
      <c r="E330" s="27" t="s">
        <v>574</v>
      </c>
      <c r="F330" s="27" t="s">
        <v>59</v>
      </c>
      <c r="G330" s="27" t="s">
        <v>294</v>
      </c>
      <c r="H330" s="30" t="s">
        <v>1118</v>
      </c>
      <c r="I330" s="31" t="s">
        <v>1119</v>
      </c>
      <c r="J330" s="30" t="s">
        <v>1120</v>
      </c>
      <c r="K330" s="27">
        <v>5</v>
      </c>
      <c r="L330" s="27">
        <v>30</v>
      </c>
      <c r="M330" s="27">
        <v>31</v>
      </c>
      <c r="N330" s="31" t="s">
        <v>844</v>
      </c>
      <c r="O330" s="27"/>
      <c r="P330" s="30"/>
      <c r="Q330" s="30" t="s">
        <v>66</v>
      </c>
      <c r="R330" s="26">
        <v>46223</v>
      </c>
      <c r="S330" s="27"/>
      <c r="T330" s="31" t="s">
        <v>1037</v>
      </c>
      <c r="U330" s="30" t="s">
        <v>1121</v>
      </c>
      <c r="V330" s="34" t="s">
        <v>1122</v>
      </c>
      <c r="W330" s="27" t="s">
        <v>284</v>
      </c>
      <c r="X330" s="30">
        <v>2</v>
      </c>
      <c r="Y330" s="30">
        <v>1</v>
      </c>
      <c r="Z330" s="30">
        <v>1</v>
      </c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 t="s">
        <v>576</v>
      </c>
      <c r="AM330" s="30"/>
      <c r="AN330" s="30"/>
      <c r="AO330" s="30"/>
      <c r="AP330" s="30"/>
      <c r="AQ330" s="30"/>
      <c r="AR330" s="36" t="s">
        <v>318</v>
      </c>
      <c r="AS330" s="36"/>
      <c r="AT330" s="36"/>
      <c r="AU330" s="36" t="s">
        <v>41</v>
      </c>
      <c r="AV330" s="36"/>
      <c r="AW330" s="36"/>
      <c r="AX330" s="36"/>
      <c r="AY330" s="36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27"/>
      <c r="BL330" s="27"/>
    </row>
    <row r="331" spans="1:64">
      <c r="A331" s="25" t="s">
        <v>54</v>
      </c>
      <c r="B331" s="26">
        <v>46214</v>
      </c>
      <c r="C331" s="27"/>
      <c r="D331" s="27">
        <v>139024</v>
      </c>
      <c r="E331" s="27" t="s">
        <v>574</v>
      </c>
      <c r="F331" s="27" t="s">
        <v>59</v>
      </c>
      <c r="G331" s="27" t="s">
        <v>294</v>
      </c>
      <c r="H331" s="30" t="s">
        <v>1123</v>
      </c>
      <c r="I331" s="31" t="s">
        <v>1124</v>
      </c>
      <c r="J331" s="30" t="s">
        <v>1123</v>
      </c>
      <c r="K331" s="27">
        <v>5</v>
      </c>
      <c r="L331" s="27">
        <v>30</v>
      </c>
      <c r="M331" s="27">
        <v>31</v>
      </c>
      <c r="N331" s="31" t="s">
        <v>844</v>
      </c>
      <c r="O331" s="27"/>
      <c r="P331" s="30"/>
      <c r="Q331" s="30" t="s">
        <v>66</v>
      </c>
      <c r="R331" s="26">
        <v>46223</v>
      </c>
      <c r="S331" s="26">
        <v>46227</v>
      </c>
      <c r="T331" s="31"/>
      <c r="U331" s="30" t="s">
        <v>68</v>
      </c>
      <c r="V331" s="34" t="s">
        <v>70</v>
      </c>
      <c r="W331" s="27" t="s">
        <v>284</v>
      </c>
      <c r="X331" s="30">
        <v>2</v>
      </c>
      <c r="Y331" s="30">
        <v>1</v>
      </c>
      <c r="Z331" s="30">
        <v>1</v>
      </c>
      <c r="AA331" s="30">
        <v>1</v>
      </c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 t="s">
        <v>576</v>
      </c>
      <c r="AM331" s="30"/>
      <c r="AN331" s="30"/>
      <c r="AO331" s="30"/>
      <c r="AP331" s="30"/>
      <c r="AQ331" s="30"/>
      <c r="AR331" s="36" t="s">
        <v>318</v>
      </c>
      <c r="AS331" s="36"/>
      <c r="AT331" s="36"/>
      <c r="AU331" s="36" t="s">
        <v>41</v>
      </c>
      <c r="AV331" s="36"/>
      <c r="AW331" s="36"/>
      <c r="AX331" s="36"/>
      <c r="AY331" s="36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27"/>
      <c r="BL331" s="27"/>
    </row>
    <row r="332" spans="1:64">
      <c r="A332" s="25" t="s">
        <v>54</v>
      </c>
      <c r="B332" s="26">
        <v>46214</v>
      </c>
      <c r="C332" s="27"/>
      <c r="D332" s="27">
        <v>138248</v>
      </c>
      <c r="E332" s="27" t="s">
        <v>574</v>
      </c>
      <c r="F332" s="27" t="s">
        <v>59</v>
      </c>
      <c r="G332" s="27" t="s">
        <v>294</v>
      </c>
      <c r="H332" s="30" t="s">
        <v>1125</v>
      </c>
      <c r="I332" s="31" t="s">
        <v>1126</v>
      </c>
      <c r="J332" s="30" t="s">
        <v>1125</v>
      </c>
      <c r="K332" s="27">
        <v>10</v>
      </c>
      <c r="L332" s="27">
        <v>60</v>
      </c>
      <c r="M332" s="27">
        <v>62</v>
      </c>
      <c r="N332" s="31" t="s">
        <v>318</v>
      </c>
      <c r="O332" s="27"/>
      <c r="P332" s="30"/>
      <c r="Q332" s="30" t="s">
        <v>66</v>
      </c>
      <c r="R332" s="26">
        <v>46223</v>
      </c>
      <c r="S332" s="26">
        <v>46237</v>
      </c>
      <c r="T332" s="31" t="s">
        <v>1037</v>
      </c>
      <c r="U332" s="30" t="s">
        <v>68</v>
      </c>
      <c r="V332" s="34" t="s">
        <v>70</v>
      </c>
      <c r="W332" s="27" t="s">
        <v>284</v>
      </c>
      <c r="X332" s="30">
        <v>2</v>
      </c>
      <c r="Y332" s="30">
        <v>1</v>
      </c>
      <c r="Z332" s="30">
        <v>1</v>
      </c>
      <c r="AA332" s="30">
        <v>1</v>
      </c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 t="s">
        <v>576</v>
      </c>
      <c r="AM332" s="30"/>
      <c r="AN332" s="30"/>
      <c r="AO332" s="30"/>
      <c r="AP332" s="30"/>
      <c r="AQ332" s="30"/>
      <c r="AR332" s="36" t="s">
        <v>318</v>
      </c>
      <c r="AS332" s="36"/>
      <c r="AT332" s="36"/>
      <c r="AU332" s="36" t="s">
        <v>41</v>
      </c>
      <c r="AV332" s="36"/>
      <c r="AW332" s="36"/>
      <c r="AX332" s="36"/>
      <c r="AY332" s="36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27"/>
      <c r="BL332" s="27"/>
    </row>
    <row r="333" spans="1:64">
      <c r="A333" s="25" t="s">
        <v>54</v>
      </c>
      <c r="B333" s="26">
        <v>46214</v>
      </c>
      <c r="C333" s="27"/>
      <c r="D333" s="27">
        <v>138985</v>
      </c>
      <c r="E333" s="27" t="s">
        <v>574</v>
      </c>
      <c r="F333" s="27" t="s">
        <v>59</v>
      </c>
      <c r="G333" s="27" t="s">
        <v>294</v>
      </c>
      <c r="H333" s="30" t="s">
        <v>1118</v>
      </c>
      <c r="I333" s="31" t="s">
        <v>1127</v>
      </c>
      <c r="J333" s="30" t="s">
        <v>1120</v>
      </c>
      <c r="K333" s="27">
        <v>14</v>
      </c>
      <c r="L333" s="27">
        <v>84</v>
      </c>
      <c r="M333" s="27" t="s">
        <v>1128</v>
      </c>
      <c r="N333" s="31" t="s">
        <v>318</v>
      </c>
      <c r="O333" s="27"/>
      <c r="P333" s="30"/>
      <c r="Q333" s="30" t="s">
        <v>66</v>
      </c>
      <c r="R333" s="26">
        <v>46223</v>
      </c>
      <c r="S333" s="26">
        <v>46227</v>
      </c>
      <c r="T333" s="31"/>
      <c r="U333" s="30" t="s">
        <v>68</v>
      </c>
      <c r="V333" s="34" t="s">
        <v>70</v>
      </c>
      <c r="W333" s="27" t="s">
        <v>284</v>
      </c>
      <c r="X333" s="30">
        <v>2</v>
      </c>
      <c r="Y333" s="30">
        <v>1</v>
      </c>
      <c r="Z333" s="30">
        <v>1</v>
      </c>
      <c r="AA333" s="30">
        <v>1</v>
      </c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 t="s">
        <v>576</v>
      </c>
      <c r="AM333" s="30"/>
      <c r="AN333" s="30"/>
      <c r="AO333" s="30"/>
      <c r="AP333" s="30"/>
      <c r="AQ333" s="30"/>
      <c r="AR333" s="36" t="s">
        <v>318</v>
      </c>
      <c r="AS333" s="36"/>
      <c r="AT333" s="36"/>
      <c r="AU333" s="36" t="s">
        <v>41</v>
      </c>
      <c r="AV333" s="36"/>
      <c r="AW333" s="36"/>
      <c r="AX333" s="36"/>
      <c r="AY333" s="36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27"/>
      <c r="BL333" s="27"/>
    </row>
    <row r="334" spans="1:64">
      <c r="A334" s="25" t="s">
        <v>54</v>
      </c>
      <c r="B334" s="26">
        <v>46214</v>
      </c>
      <c r="C334" s="27"/>
      <c r="D334" s="27">
        <v>138987</v>
      </c>
      <c r="E334" s="27" t="s">
        <v>574</v>
      </c>
      <c r="F334" s="27" t="s">
        <v>59</v>
      </c>
      <c r="G334" s="27" t="s">
        <v>294</v>
      </c>
      <c r="H334" s="30" t="s">
        <v>1123</v>
      </c>
      <c r="I334" s="31" t="s">
        <v>1129</v>
      </c>
      <c r="J334" s="30" t="s">
        <v>1123</v>
      </c>
      <c r="K334" s="27">
        <v>21</v>
      </c>
      <c r="L334" s="27">
        <v>126</v>
      </c>
      <c r="M334" s="27" t="s">
        <v>1130</v>
      </c>
      <c r="N334" s="31" t="s">
        <v>318</v>
      </c>
      <c r="O334" s="27"/>
      <c r="P334" s="30"/>
      <c r="Q334" s="30" t="s">
        <v>66</v>
      </c>
      <c r="R334" s="26">
        <v>46223</v>
      </c>
      <c r="S334" s="26">
        <v>46227</v>
      </c>
      <c r="T334" s="31"/>
      <c r="U334" s="30" t="s">
        <v>68</v>
      </c>
      <c r="V334" s="34" t="s">
        <v>70</v>
      </c>
      <c r="W334" s="27" t="s">
        <v>284</v>
      </c>
      <c r="X334" s="30">
        <v>2</v>
      </c>
      <c r="Y334" s="30">
        <v>1</v>
      </c>
      <c r="Z334" s="30">
        <v>1</v>
      </c>
      <c r="AA334" s="30">
        <v>1</v>
      </c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 t="s">
        <v>576</v>
      </c>
      <c r="AM334" s="30"/>
      <c r="AN334" s="30"/>
      <c r="AO334" s="30"/>
      <c r="AP334" s="30"/>
      <c r="AQ334" s="30"/>
      <c r="AR334" s="36" t="s">
        <v>318</v>
      </c>
      <c r="AS334" s="36"/>
      <c r="AT334" s="36"/>
      <c r="AU334" s="36" t="s">
        <v>41</v>
      </c>
      <c r="AV334" s="36"/>
      <c r="AW334" s="36"/>
      <c r="AX334" s="36"/>
      <c r="AY334" s="36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27"/>
      <c r="BL334" s="27"/>
    </row>
    <row r="335" spans="1:64">
      <c r="A335" s="25" t="s">
        <v>54</v>
      </c>
      <c r="B335" s="26">
        <v>46214</v>
      </c>
      <c r="C335" s="27"/>
      <c r="D335" s="27">
        <v>138247</v>
      </c>
      <c r="E335" s="27" t="s">
        <v>574</v>
      </c>
      <c r="F335" s="27" t="s">
        <v>59</v>
      </c>
      <c r="G335" s="27" t="s">
        <v>294</v>
      </c>
      <c r="H335" s="30" t="s">
        <v>1131</v>
      </c>
      <c r="I335" s="31" t="s">
        <v>1132</v>
      </c>
      <c r="J335" s="30" t="s">
        <v>1131</v>
      </c>
      <c r="K335" s="27">
        <v>37</v>
      </c>
      <c r="L335" s="27">
        <v>222</v>
      </c>
      <c r="M335" s="27" t="s">
        <v>1133</v>
      </c>
      <c r="N335" s="31" t="s">
        <v>318</v>
      </c>
      <c r="O335" s="27"/>
      <c r="P335" s="30"/>
      <c r="Q335" s="30" t="s">
        <v>66</v>
      </c>
      <c r="R335" s="26">
        <v>46223</v>
      </c>
      <c r="S335" s="26">
        <v>46237</v>
      </c>
      <c r="T335" s="31" t="s">
        <v>1037</v>
      </c>
      <c r="U335" s="30" t="s">
        <v>68</v>
      </c>
      <c r="V335" s="34" t="s">
        <v>70</v>
      </c>
      <c r="W335" s="27" t="s">
        <v>284</v>
      </c>
      <c r="X335" s="30">
        <v>2</v>
      </c>
      <c r="Y335" s="30">
        <v>1</v>
      </c>
      <c r="Z335" s="30">
        <v>1</v>
      </c>
      <c r="AA335" s="30">
        <v>1</v>
      </c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 t="s">
        <v>576</v>
      </c>
      <c r="AM335" s="30"/>
      <c r="AN335" s="30"/>
      <c r="AO335" s="30"/>
      <c r="AP335" s="30"/>
      <c r="AQ335" s="30"/>
      <c r="AR335" s="36" t="s">
        <v>318</v>
      </c>
      <c r="AS335" s="36"/>
      <c r="AT335" s="36"/>
      <c r="AU335" s="36" t="s">
        <v>41</v>
      </c>
      <c r="AV335" s="36"/>
      <c r="AW335" s="36"/>
      <c r="AX335" s="36"/>
      <c r="AY335" s="36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27"/>
      <c r="BL335" s="27"/>
    </row>
    <row r="336" spans="1:64">
      <c r="A336" s="25" t="s">
        <v>54</v>
      </c>
      <c r="B336" s="26">
        <v>46214</v>
      </c>
      <c r="C336" s="27"/>
      <c r="D336" s="27">
        <v>138986</v>
      </c>
      <c r="E336" s="27" t="s">
        <v>574</v>
      </c>
      <c r="F336" s="27" t="s">
        <v>59</v>
      </c>
      <c r="G336" s="27" t="s">
        <v>294</v>
      </c>
      <c r="H336" s="30" t="s">
        <v>1134</v>
      </c>
      <c r="I336" s="31" t="s">
        <v>1135</v>
      </c>
      <c r="J336" s="30" t="s">
        <v>1134</v>
      </c>
      <c r="K336" s="27">
        <v>19</v>
      </c>
      <c r="L336" s="27">
        <v>114</v>
      </c>
      <c r="M336" s="27" t="s">
        <v>1136</v>
      </c>
      <c r="N336" s="31" t="s">
        <v>318</v>
      </c>
      <c r="O336" s="27"/>
      <c r="P336" s="30"/>
      <c r="Q336" s="30" t="s">
        <v>66</v>
      </c>
      <c r="R336" s="26">
        <v>46223</v>
      </c>
      <c r="S336" s="26">
        <v>46230</v>
      </c>
      <c r="T336" s="31"/>
      <c r="U336" s="30" t="s">
        <v>68</v>
      </c>
      <c r="V336" s="34" t="s">
        <v>70</v>
      </c>
      <c r="W336" s="27" t="s">
        <v>284</v>
      </c>
      <c r="X336" s="30">
        <v>2</v>
      </c>
      <c r="Y336" s="30">
        <v>1</v>
      </c>
      <c r="Z336" s="30">
        <v>1</v>
      </c>
      <c r="AA336" s="30">
        <v>1</v>
      </c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 t="s">
        <v>576</v>
      </c>
      <c r="AM336" s="30"/>
      <c r="AN336" s="30"/>
      <c r="AO336" s="30"/>
      <c r="AP336" s="30"/>
      <c r="AQ336" s="30"/>
      <c r="AR336" s="36" t="s">
        <v>318</v>
      </c>
      <c r="AS336" s="36"/>
      <c r="AT336" s="36"/>
      <c r="AU336" s="36" t="s">
        <v>41</v>
      </c>
      <c r="AV336" s="36"/>
      <c r="AW336" s="36"/>
      <c r="AX336" s="36"/>
      <c r="AY336" s="36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27"/>
      <c r="BL336" s="27"/>
    </row>
    <row r="337" spans="1:64">
      <c r="A337" s="25" t="s">
        <v>54</v>
      </c>
      <c r="B337" s="26">
        <v>46214</v>
      </c>
      <c r="C337" s="27"/>
      <c r="D337" s="27">
        <v>138988</v>
      </c>
      <c r="E337" s="27" t="s">
        <v>574</v>
      </c>
      <c r="F337" s="27" t="s">
        <v>59</v>
      </c>
      <c r="G337" s="27" t="s">
        <v>294</v>
      </c>
      <c r="H337" s="30" t="s">
        <v>1137</v>
      </c>
      <c r="I337" s="31" t="s">
        <v>1138</v>
      </c>
      <c r="J337" s="30" t="s">
        <v>1137</v>
      </c>
      <c r="K337" s="27">
        <v>22</v>
      </c>
      <c r="L337" s="27">
        <v>132</v>
      </c>
      <c r="M337" s="27" t="s">
        <v>1139</v>
      </c>
      <c r="N337" s="31" t="s">
        <v>318</v>
      </c>
      <c r="O337" s="27"/>
      <c r="P337" s="30"/>
      <c r="Q337" s="30" t="s">
        <v>66</v>
      </c>
      <c r="R337" s="26">
        <v>46223</v>
      </c>
      <c r="S337" s="26">
        <v>46227</v>
      </c>
      <c r="T337" s="31"/>
      <c r="U337" s="30" t="s">
        <v>68</v>
      </c>
      <c r="V337" s="34" t="s">
        <v>70</v>
      </c>
      <c r="W337" s="27" t="s">
        <v>284</v>
      </c>
      <c r="X337" s="30">
        <v>2</v>
      </c>
      <c r="Y337" s="30">
        <v>1</v>
      </c>
      <c r="Z337" s="30">
        <v>1</v>
      </c>
      <c r="AA337" s="30">
        <v>1</v>
      </c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 t="s">
        <v>576</v>
      </c>
      <c r="AM337" s="30"/>
      <c r="AN337" s="30"/>
      <c r="AO337" s="30"/>
      <c r="AP337" s="30"/>
      <c r="AQ337" s="30"/>
      <c r="AR337" s="36" t="s">
        <v>844</v>
      </c>
      <c r="AS337" s="36"/>
      <c r="AT337" s="36"/>
      <c r="AU337" s="36" t="s">
        <v>41</v>
      </c>
      <c r="AV337" s="36"/>
      <c r="AW337" s="36"/>
      <c r="AX337" s="36"/>
      <c r="AY337" s="36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27"/>
      <c r="BL337" s="27"/>
    </row>
    <row r="338" spans="1:64">
      <c r="A338" s="25" t="s">
        <v>54</v>
      </c>
      <c r="B338" s="26">
        <v>46216</v>
      </c>
      <c r="C338" s="27">
        <v>30323</v>
      </c>
      <c r="D338" s="27"/>
      <c r="E338" s="27" t="s">
        <v>133</v>
      </c>
      <c r="F338" s="27" t="s">
        <v>59</v>
      </c>
      <c r="G338" s="27" t="s">
        <v>383</v>
      </c>
      <c r="H338" s="30" t="s">
        <v>170</v>
      </c>
      <c r="I338" s="31" t="s">
        <v>1143</v>
      </c>
      <c r="J338" s="30" t="s">
        <v>1144</v>
      </c>
      <c r="K338" s="27">
        <v>26</v>
      </c>
      <c r="L338" s="27"/>
      <c r="M338" s="27"/>
      <c r="N338" s="31" t="s">
        <v>81</v>
      </c>
      <c r="O338" s="27"/>
      <c r="P338" s="30"/>
      <c r="Q338" s="30" t="s">
        <v>66</v>
      </c>
      <c r="R338" s="26">
        <v>46218</v>
      </c>
      <c r="S338" s="26">
        <v>46220</v>
      </c>
      <c r="T338" s="31" t="s">
        <v>1145</v>
      </c>
      <c r="U338" s="30" t="s">
        <v>68</v>
      </c>
      <c r="V338" s="34" t="s">
        <v>70</v>
      </c>
      <c r="W338" s="27" t="s">
        <v>141</v>
      </c>
      <c r="X338" s="30">
        <v>1</v>
      </c>
      <c r="Y338" s="30">
        <v>1</v>
      </c>
      <c r="Z338" s="30">
        <v>1</v>
      </c>
      <c r="AA338" s="30">
        <v>1</v>
      </c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 t="s">
        <v>69</v>
      </c>
      <c r="AO338" s="30"/>
      <c r="AP338" s="30" t="s">
        <v>88</v>
      </c>
      <c r="AQ338" s="30"/>
      <c r="AR338" s="36"/>
      <c r="AS338" s="36"/>
      <c r="AT338" s="36"/>
      <c r="AU338" s="36"/>
      <c r="AV338" s="36"/>
      <c r="AW338" s="36"/>
      <c r="AX338" s="36"/>
      <c r="AY338" s="36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27"/>
      <c r="BL338" s="27"/>
    </row>
    <row r="339" spans="1:64">
      <c r="A339" s="25" t="s">
        <v>54</v>
      </c>
      <c r="B339" s="26">
        <v>46216</v>
      </c>
      <c r="C339" s="27">
        <v>7434</v>
      </c>
      <c r="D339" s="27"/>
      <c r="E339" s="27" t="s">
        <v>796</v>
      </c>
      <c r="F339" s="27" t="s">
        <v>185</v>
      </c>
      <c r="G339" s="27" t="s">
        <v>383</v>
      </c>
      <c r="H339" s="30" t="s">
        <v>383</v>
      </c>
      <c r="I339" s="31" t="s">
        <v>1146</v>
      </c>
      <c r="J339" s="30" t="s">
        <v>1147</v>
      </c>
      <c r="K339" s="27">
        <v>1</v>
      </c>
      <c r="L339" s="27"/>
      <c r="M339" s="27"/>
      <c r="N339" s="31" t="s">
        <v>384</v>
      </c>
      <c r="O339" s="27"/>
      <c r="P339" s="30"/>
      <c r="Q339" s="30" t="s">
        <v>1148</v>
      </c>
      <c r="R339" s="26">
        <v>46217</v>
      </c>
      <c r="S339" s="26">
        <v>46218</v>
      </c>
      <c r="T339" s="31"/>
      <c r="U339" s="30" t="s">
        <v>68</v>
      </c>
      <c r="V339" s="34" t="s">
        <v>70</v>
      </c>
      <c r="W339" s="27" t="s">
        <v>1149</v>
      </c>
      <c r="X339" s="30">
        <v>1</v>
      </c>
      <c r="Y339" s="30">
        <v>1</v>
      </c>
      <c r="Z339" s="30">
        <v>1</v>
      </c>
      <c r="AA339" s="30">
        <v>1</v>
      </c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 t="s">
        <v>69</v>
      </c>
      <c r="AO339" s="30" t="s">
        <v>968</v>
      </c>
      <c r="AP339" s="30"/>
      <c r="AQ339" s="30"/>
      <c r="AR339" s="36"/>
      <c r="AS339" s="36"/>
      <c r="AT339" s="36"/>
      <c r="AU339" s="36"/>
      <c r="AV339" s="36"/>
      <c r="AW339" s="36"/>
      <c r="AX339" s="36"/>
      <c r="AY339" s="36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27"/>
      <c r="BL339" s="27"/>
    </row>
    <row r="340" spans="1:64">
      <c r="A340" s="25" t="s">
        <v>187</v>
      </c>
      <c r="B340" s="26">
        <v>46216</v>
      </c>
      <c r="C340" s="27">
        <v>30174</v>
      </c>
      <c r="D340" s="27"/>
      <c r="E340" s="27" t="s">
        <v>58</v>
      </c>
      <c r="F340" s="27" t="s">
        <v>59</v>
      </c>
      <c r="G340" s="27" t="s">
        <v>60</v>
      </c>
      <c r="H340" s="30" t="s">
        <v>189</v>
      </c>
      <c r="I340" s="31" t="s">
        <v>1152</v>
      </c>
      <c r="J340" s="30" t="s">
        <v>1153</v>
      </c>
      <c r="K340" s="27">
        <v>22</v>
      </c>
      <c r="L340" s="27" t="s">
        <v>1154</v>
      </c>
      <c r="M340" s="27"/>
      <c r="N340" s="31" t="s">
        <v>81</v>
      </c>
      <c r="O340" s="27"/>
      <c r="P340" s="30"/>
      <c r="Q340" s="30" t="s">
        <v>66</v>
      </c>
      <c r="R340" s="26">
        <v>46219</v>
      </c>
      <c r="S340" s="26">
        <v>46220</v>
      </c>
      <c r="T340" s="31"/>
      <c r="U340" s="30" t="s">
        <v>68</v>
      </c>
      <c r="V340" s="34" t="s">
        <v>70</v>
      </c>
      <c r="W340" s="27" t="s">
        <v>71</v>
      </c>
      <c r="X340" s="30">
        <v>1</v>
      </c>
      <c r="Y340" s="30">
        <v>1</v>
      </c>
      <c r="Z340" s="30">
        <v>1</v>
      </c>
      <c r="AA340" s="30">
        <v>1</v>
      </c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 t="s">
        <v>69</v>
      </c>
      <c r="AO340" s="30"/>
      <c r="AP340" s="30" t="s">
        <v>81</v>
      </c>
      <c r="AQ340" s="30" t="s">
        <v>90</v>
      </c>
      <c r="AR340" s="36"/>
      <c r="AS340" s="36"/>
      <c r="AT340" s="36"/>
      <c r="AU340" s="36"/>
      <c r="AV340" s="36"/>
      <c r="AW340" s="36"/>
      <c r="AX340" s="36"/>
      <c r="AY340" s="36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27"/>
      <c r="BL340" s="27"/>
    </row>
    <row r="341" spans="1:64">
      <c r="A341" s="25" t="s">
        <v>54</v>
      </c>
      <c r="B341" s="26">
        <v>46216</v>
      </c>
      <c r="C341" s="27">
        <v>30200</v>
      </c>
      <c r="D341" s="27"/>
      <c r="E341" s="27" t="s">
        <v>233</v>
      </c>
      <c r="F341" s="27" t="s">
        <v>59</v>
      </c>
      <c r="G341" s="27" t="s">
        <v>294</v>
      </c>
      <c r="H341" s="30" t="s">
        <v>862</v>
      </c>
      <c r="I341" s="31" t="s">
        <v>1155</v>
      </c>
      <c r="J341" s="30" t="s">
        <v>862</v>
      </c>
      <c r="K341" s="27">
        <v>1</v>
      </c>
      <c r="L341" s="27" t="s">
        <v>205</v>
      </c>
      <c r="M341" s="27"/>
      <c r="N341" s="31" t="s">
        <v>455</v>
      </c>
      <c r="O341" s="27"/>
      <c r="P341" s="30"/>
      <c r="Q341" s="30" t="s">
        <v>66</v>
      </c>
      <c r="R341" s="26">
        <v>46219</v>
      </c>
      <c r="S341" s="26">
        <v>46219</v>
      </c>
      <c r="T341" s="31"/>
      <c r="U341" s="30" t="s">
        <v>68</v>
      </c>
      <c r="V341" s="34" t="s">
        <v>70</v>
      </c>
      <c r="W341" s="27" t="s">
        <v>208</v>
      </c>
      <c r="X341" s="30">
        <v>1</v>
      </c>
      <c r="Y341" s="30">
        <v>1</v>
      </c>
      <c r="Z341" s="30">
        <v>1</v>
      </c>
      <c r="AA341" s="30">
        <v>1</v>
      </c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 t="s">
        <v>69</v>
      </c>
      <c r="AO341" s="30"/>
      <c r="AP341" s="30" t="s">
        <v>455</v>
      </c>
      <c r="AQ341" s="30" t="s">
        <v>41</v>
      </c>
      <c r="AR341" s="36"/>
      <c r="AS341" s="36"/>
      <c r="AT341" s="36"/>
      <c r="AU341" s="36"/>
      <c r="AV341" s="36"/>
      <c r="AW341" s="36"/>
      <c r="AX341" s="36"/>
      <c r="AY341" s="36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27"/>
      <c r="BL341" s="27"/>
    </row>
    <row r="342" spans="1:64">
      <c r="A342" s="25" t="s">
        <v>54</v>
      </c>
      <c r="B342" s="26">
        <v>46216</v>
      </c>
      <c r="C342" s="27">
        <v>30199</v>
      </c>
      <c r="D342" s="27"/>
      <c r="E342" s="27" t="s">
        <v>233</v>
      </c>
      <c r="F342" s="27" t="s">
        <v>59</v>
      </c>
      <c r="G342" s="27" t="s">
        <v>294</v>
      </c>
      <c r="H342" s="30" t="s">
        <v>309</v>
      </c>
      <c r="I342" s="31" t="s">
        <v>632</v>
      </c>
      <c r="J342" s="30" t="s">
        <v>309</v>
      </c>
      <c r="K342" s="27">
        <v>1</v>
      </c>
      <c r="L342" s="27" t="s">
        <v>205</v>
      </c>
      <c r="M342" s="27"/>
      <c r="N342" s="31" t="s">
        <v>81</v>
      </c>
      <c r="O342" s="27"/>
      <c r="P342" s="30"/>
      <c r="Q342" s="30" t="s">
        <v>930</v>
      </c>
      <c r="R342" s="26">
        <v>46218</v>
      </c>
      <c r="S342" s="26">
        <v>46220</v>
      </c>
      <c r="T342" s="31"/>
      <c r="U342" s="30" t="s">
        <v>68</v>
      </c>
      <c r="V342" s="34" t="s">
        <v>70</v>
      </c>
      <c r="W342" s="27" t="s">
        <v>208</v>
      </c>
      <c r="X342" s="30">
        <v>1</v>
      </c>
      <c r="Y342" s="30">
        <v>1</v>
      </c>
      <c r="Z342" s="30">
        <v>1</v>
      </c>
      <c r="AA342" s="30">
        <v>1</v>
      </c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 t="s">
        <v>69</v>
      </c>
      <c r="AO342" s="30"/>
      <c r="AP342" s="30" t="s">
        <v>88</v>
      </c>
      <c r="AQ342" s="30"/>
      <c r="AR342" s="36"/>
      <c r="AS342" s="36"/>
      <c r="AT342" s="36"/>
      <c r="AU342" s="36"/>
      <c r="AV342" s="36"/>
      <c r="AW342" s="36"/>
      <c r="AX342" s="36"/>
      <c r="AY342" s="36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27"/>
      <c r="BL342" s="27"/>
    </row>
    <row r="343" spans="1:64">
      <c r="A343" s="25" t="s">
        <v>54</v>
      </c>
      <c r="B343" s="26">
        <v>46216</v>
      </c>
      <c r="C343" s="27">
        <v>30201</v>
      </c>
      <c r="D343" s="27"/>
      <c r="E343" s="27" t="s">
        <v>233</v>
      </c>
      <c r="F343" s="27" t="s">
        <v>59</v>
      </c>
      <c r="G343" s="27" t="s">
        <v>294</v>
      </c>
      <c r="H343" s="30" t="s">
        <v>309</v>
      </c>
      <c r="I343" s="31" t="s">
        <v>1156</v>
      </c>
      <c r="J343" s="30" t="s">
        <v>309</v>
      </c>
      <c r="K343" s="27">
        <v>1</v>
      </c>
      <c r="L343" s="27" t="s">
        <v>205</v>
      </c>
      <c r="M343" s="27"/>
      <c r="N343" s="31" t="s">
        <v>81</v>
      </c>
      <c r="O343" s="27"/>
      <c r="P343" s="30"/>
      <c r="Q343" s="30" t="s">
        <v>66</v>
      </c>
      <c r="R343" s="26">
        <v>46218</v>
      </c>
      <c r="S343" s="26">
        <v>46220</v>
      </c>
      <c r="T343" s="31"/>
      <c r="U343" s="30" t="s">
        <v>68</v>
      </c>
      <c r="V343" s="34" t="s">
        <v>70</v>
      </c>
      <c r="W343" s="27" t="s">
        <v>208</v>
      </c>
      <c r="X343" s="30">
        <v>1</v>
      </c>
      <c r="Y343" s="30">
        <v>1</v>
      </c>
      <c r="Z343" s="30">
        <v>1</v>
      </c>
      <c r="AA343" s="30">
        <v>1</v>
      </c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 t="s">
        <v>69</v>
      </c>
      <c r="AO343" s="30"/>
      <c r="AP343" s="30" t="s">
        <v>88</v>
      </c>
      <c r="AQ343" s="30"/>
      <c r="AR343" s="36"/>
      <c r="AS343" s="36"/>
      <c r="AT343" s="36"/>
      <c r="AU343" s="36"/>
      <c r="AV343" s="36"/>
      <c r="AW343" s="36"/>
      <c r="AX343" s="36"/>
      <c r="AY343" s="36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27"/>
      <c r="BL343" s="27"/>
    </row>
    <row r="344" spans="1:64">
      <c r="A344" s="25" t="s">
        <v>54</v>
      </c>
      <c r="B344" s="26">
        <v>46216</v>
      </c>
      <c r="C344" s="27">
        <v>30198</v>
      </c>
      <c r="D344" s="27"/>
      <c r="E344" s="27" t="s">
        <v>203</v>
      </c>
      <c r="F344" s="27" t="s">
        <v>59</v>
      </c>
      <c r="G344" s="27" t="s">
        <v>294</v>
      </c>
      <c r="H344" s="30" t="s">
        <v>60</v>
      </c>
      <c r="I344" s="31" t="s">
        <v>752</v>
      </c>
      <c r="J344" s="30" t="s">
        <v>60</v>
      </c>
      <c r="K344" s="27">
        <v>1</v>
      </c>
      <c r="L344" s="27" t="s">
        <v>205</v>
      </c>
      <c r="M344" s="27"/>
      <c r="N344" s="31" t="s">
        <v>695</v>
      </c>
      <c r="O344" s="27"/>
      <c r="P344" s="30"/>
      <c r="Q344" s="30" t="s">
        <v>66</v>
      </c>
      <c r="R344" s="26">
        <v>46217</v>
      </c>
      <c r="S344" s="26">
        <v>46218</v>
      </c>
      <c r="T344" s="31"/>
      <c r="U344" s="30" t="s">
        <v>68</v>
      </c>
      <c r="V344" s="34" t="s">
        <v>70</v>
      </c>
      <c r="W344" s="27" t="s">
        <v>208</v>
      </c>
      <c r="X344" s="30">
        <v>1</v>
      </c>
      <c r="Y344" s="30">
        <v>1</v>
      </c>
      <c r="Z344" s="30">
        <v>1</v>
      </c>
      <c r="AA344" s="30">
        <v>1</v>
      </c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 t="s">
        <v>69</v>
      </c>
      <c r="AO344" s="30" t="s">
        <v>1158</v>
      </c>
      <c r="AP344" s="30"/>
      <c r="AQ344" s="30"/>
      <c r="AR344" s="36"/>
      <c r="AS344" s="36"/>
      <c r="AT344" s="36"/>
      <c r="AU344" s="36"/>
      <c r="AV344" s="36"/>
      <c r="AW344" s="36"/>
      <c r="AX344" s="36"/>
      <c r="AY344" s="36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27"/>
      <c r="BL344" s="27"/>
    </row>
    <row r="345" spans="1:64">
      <c r="A345" s="25" t="s">
        <v>54</v>
      </c>
      <c r="B345" s="26">
        <v>46216</v>
      </c>
      <c r="C345" s="27"/>
      <c r="D345" s="27">
        <v>80510297</v>
      </c>
      <c r="E345" s="27" t="s">
        <v>333</v>
      </c>
      <c r="F345" s="27" t="s">
        <v>471</v>
      </c>
      <c r="G345" s="27" t="s">
        <v>28</v>
      </c>
      <c r="H345" s="30" t="s">
        <v>945</v>
      </c>
      <c r="I345" s="31" t="s">
        <v>1161</v>
      </c>
      <c r="J345" s="30" t="s">
        <v>1162</v>
      </c>
      <c r="K345" s="27">
        <v>1</v>
      </c>
      <c r="L345" s="27">
        <v>25</v>
      </c>
      <c r="M345" s="27"/>
      <c r="N345" s="31" t="s">
        <v>81</v>
      </c>
      <c r="O345" s="27"/>
      <c r="P345" s="30"/>
      <c r="Q345" s="30" t="s">
        <v>1163</v>
      </c>
      <c r="R345" s="26">
        <v>46218</v>
      </c>
      <c r="S345" s="26">
        <v>46220</v>
      </c>
      <c r="T345" s="31"/>
      <c r="U345" s="30" t="s">
        <v>68</v>
      </c>
      <c r="V345" s="34" t="s">
        <v>70</v>
      </c>
      <c r="W345" s="27" t="s">
        <v>336</v>
      </c>
      <c r="X345" s="30">
        <v>1</v>
      </c>
      <c r="Y345" s="30">
        <v>1</v>
      </c>
      <c r="Z345" s="30">
        <v>1</v>
      </c>
      <c r="AA345" s="30">
        <v>1</v>
      </c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 t="s">
        <v>69</v>
      </c>
      <c r="AO345" s="30"/>
      <c r="AP345" s="30" t="s">
        <v>88</v>
      </c>
      <c r="AQ345" s="30"/>
      <c r="AR345" s="36"/>
      <c r="AS345" s="36"/>
      <c r="AT345" s="36"/>
      <c r="AU345" s="36"/>
      <c r="AV345" s="36"/>
      <c r="AW345" s="36"/>
      <c r="AX345" s="36"/>
      <c r="AY345" s="36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27"/>
      <c r="BL345" s="27"/>
    </row>
    <row r="346" spans="1:64">
      <c r="A346" s="25" t="s">
        <v>54</v>
      </c>
      <c r="B346" s="26">
        <v>46216</v>
      </c>
      <c r="C346" s="27"/>
      <c r="D346" s="27">
        <v>80510295</v>
      </c>
      <c r="E346" s="27" t="s">
        <v>333</v>
      </c>
      <c r="F346" s="27" t="s">
        <v>471</v>
      </c>
      <c r="G346" s="27" t="s">
        <v>28</v>
      </c>
      <c r="H346" s="30" t="s">
        <v>91</v>
      </c>
      <c r="I346" s="31" t="s">
        <v>1164</v>
      </c>
      <c r="J346" s="30" t="s">
        <v>1165</v>
      </c>
      <c r="K346" s="27">
        <v>1</v>
      </c>
      <c r="L346" s="27">
        <v>19</v>
      </c>
      <c r="M346" s="27"/>
      <c r="N346" s="31" t="s">
        <v>81</v>
      </c>
      <c r="O346" s="27"/>
      <c r="P346" s="30"/>
      <c r="Q346" s="30" t="s">
        <v>1166</v>
      </c>
      <c r="R346" s="26">
        <v>46220</v>
      </c>
      <c r="S346" s="26">
        <v>46220</v>
      </c>
      <c r="T346" s="31"/>
      <c r="U346" s="30" t="s">
        <v>68</v>
      </c>
      <c r="V346" s="34" t="s">
        <v>70</v>
      </c>
      <c r="W346" s="27" t="s">
        <v>336</v>
      </c>
      <c r="X346" s="30">
        <v>1</v>
      </c>
      <c r="Y346" s="30">
        <v>1</v>
      </c>
      <c r="Z346" s="30">
        <v>1</v>
      </c>
      <c r="AA346" s="30">
        <v>1</v>
      </c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 t="s">
        <v>69</v>
      </c>
      <c r="AO346" s="30"/>
      <c r="AP346" s="30" t="s">
        <v>81</v>
      </c>
      <c r="AQ346" s="30"/>
      <c r="AR346" s="36" t="s">
        <v>41</v>
      </c>
      <c r="AS346" s="36"/>
      <c r="AT346" s="36"/>
      <c r="AU346" s="36"/>
      <c r="AV346" s="36"/>
      <c r="AW346" s="36"/>
      <c r="AX346" s="36"/>
      <c r="AY346" s="36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27"/>
      <c r="BL346" s="27"/>
    </row>
    <row r="347" spans="1:64">
      <c r="A347" s="25" t="s">
        <v>54</v>
      </c>
      <c r="B347" s="26">
        <v>46216</v>
      </c>
      <c r="C347" s="27"/>
      <c r="D347" s="27">
        <v>80510276</v>
      </c>
      <c r="E347" s="27" t="s">
        <v>333</v>
      </c>
      <c r="F347" s="27" t="s">
        <v>471</v>
      </c>
      <c r="G347" s="27" t="s">
        <v>28</v>
      </c>
      <c r="H347" s="30" t="s">
        <v>714</v>
      </c>
      <c r="I347" s="31" t="s">
        <v>1167</v>
      </c>
      <c r="J347" s="30" t="s">
        <v>1168</v>
      </c>
      <c r="K347" s="27">
        <v>1</v>
      </c>
      <c r="L347" s="27">
        <v>19</v>
      </c>
      <c r="M347" s="27"/>
      <c r="N347" s="31" t="s">
        <v>455</v>
      </c>
      <c r="O347" s="27"/>
      <c r="P347" s="30"/>
      <c r="Q347" s="30" t="s">
        <v>503</v>
      </c>
      <c r="R347" s="26">
        <v>46220</v>
      </c>
      <c r="S347" s="26">
        <v>46223</v>
      </c>
      <c r="T347" s="31"/>
      <c r="U347" s="30" t="s">
        <v>68</v>
      </c>
      <c r="V347" s="34" t="s">
        <v>70</v>
      </c>
      <c r="W347" s="27" t="s">
        <v>336</v>
      </c>
      <c r="X347" s="30">
        <v>1</v>
      </c>
      <c r="Y347" s="30">
        <v>1</v>
      </c>
      <c r="Z347" s="30">
        <v>1</v>
      </c>
      <c r="AA347" s="30">
        <v>1</v>
      </c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 t="s">
        <v>69</v>
      </c>
      <c r="AO347" s="30"/>
      <c r="AP347" s="30"/>
      <c r="AQ347" s="30" t="s">
        <v>455</v>
      </c>
      <c r="AR347" s="36" t="s">
        <v>41</v>
      </c>
      <c r="AS347" s="36"/>
      <c r="AT347" s="36"/>
      <c r="AU347" s="36"/>
      <c r="AV347" s="36"/>
      <c r="AW347" s="36"/>
      <c r="AX347" s="36"/>
      <c r="AY347" s="36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27"/>
      <c r="BL347" s="27"/>
    </row>
    <row r="348" spans="1:64">
      <c r="A348" s="25" t="s">
        <v>54</v>
      </c>
      <c r="B348" s="26">
        <v>46216</v>
      </c>
      <c r="C348" s="27"/>
      <c r="D348" s="27">
        <v>80510277</v>
      </c>
      <c r="E348" s="27" t="s">
        <v>333</v>
      </c>
      <c r="F348" s="27" t="s">
        <v>471</v>
      </c>
      <c r="G348" s="27" t="s">
        <v>28</v>
      </c>
      <c r="H348" s="30" t="s">
        <v>714</v>
      </c>
      <c r="I348" s="31" t="s">
        <v>1170</v>
      </c>
      <c r="J348" s="30" t="s">
        <v>1171</v>
      </c>
      <c r="K348" s="27">
        <v>1</v>
      </c>
      <c r="L348" s="27">
        <v>19</v>
      </c>
      <c r="M348" s="27"/>
      <c r="N348" s="31" t="s">
        <v>455</v>
      </c>
      <c r="O348" s="27"/>
      <c r="P348" s="30"/>
      <c r="Q348" s="30" t="s">
        <v>1172</v>
      </c>
      <c r="R348" s="26">
        <v>46220</v>
      </c>
      <c r="S348" s="26">
        <v>46223</v>
      </c>
      <c r="T348" s="31"/>
      <c r="U348" s="30" t="s">
        <v>68</v>
      </c>
      <c r="V348" s="34" t="s">
        <v>70</v>
      </c>
      <c r="W348" s="27" t="s">
        <v>336</v>
      </c>
      <c r="X348" s="30">
        <v>1</v>
      </c>
      <c r="Y348" s="30">
        <v>1</v>
      </c>
      <c r="Z348" s="30">
        <v>1</v>
      </c>
      <c r="AA348" s="30">
        <v>1</v>
      </c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 t="s">
        <v>69</v>
      </c>
      <c r="AO348" s="30"/>
      <c r="AP348" s="30"/>
      <c r="AQ348" s="30" t="s">
        <v>455</v>
      </c>
      <c r="AR348" s="36" t="s">
        <v>41</v>
      </c>
      <c r="AS348" s="36"/>
      <c r="AT348" s="36"/>
      <c r="AU348" s="36"/>
      <c r="AV348" s="36"/>
      <c r="AW348" s="36"/>
      <c r="AX348" s="36"/>
      <c r="AY348" s="36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27"/>
      <c r="BL348" s="27"/>
    </row>
    <row r="349" spans="1:64">
      <c r="A349" s="25" t="s">
        <v>54</v>
      </c>
      <c r="B349" s="26">
        <v>46216</v>
      </c>
      <c r="C349" s="27"/>
      <c r="D349" s="27">
        <v>80510294</v>
      </c>
      <c r="E349" s="27" t="s">
        <v>333</v>
      </c>
      <c r="F349" s="27" t="s">
        <v>471</v>
      </c>
      <c r="G349" s="27" t="s">
        <v>28</v>
      </c>
      <c r="H349" s="30" t="s">
        <v>412</v>
      </c>
      <c r="I349" s="31" t="s">
        <v>1173</v>
      </c>
      <c r="J349" s="30" t="s">
        <v>1174</v>
      </c>
      <c r="K349" s="27">
        <v>1</v>
      </c>
      <c r="L349" s="27">
        <v>19</v>
      </c>
      <c r="M349" s="27"/>
      <c r="N349" s="31" t="s">
        <v>81</v>
      </c>
      <c r="O349" s="27"/>
      <c r="P349" s="30"/>
      <c r="Q349" s="30" t="s">
        <v>1175</v>
      </c>
      <c r="R349" s="26">
        <v>46218</v>
      </c>
      <c r="S349" s="26">
        <v>46220</v>
      </c>
      <c r="T349" s="31"/>
      <c r="U349" s="30" t="s">
        <v>68</v>
      </c>
      <c r="V349" s="34" t="s">
        <v>70</v>
      </c>
      <c r="W349" s="27" t="s">
        <v>336</v>
      </c>
      <c r="X349" s="30">
        <v>1</v>
      </c>
      <c r="Y349" s="30">
        <v>1</v>
      </c>
      <c r="Z349" s="30">
        <v>1</v>
      </c>
      <c r="AA349" s="30">
        <v>1</v>
      </c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 t="s">
        <v>69</v>
      </c>
      <c r="AO349" s="30"/>
      <c r="AP349" s="30" t="s">
        <v>88</v>
      </c>
      <c r="AQ349" s="30"/>
      <c r="AR349" s="36"/>
      <c r="AS349" s="36"/>
      <c r="AT349" s="36"/>
      <c r="AU349" s="36"/>
      <c r="AV349" s="36"/>
      <c r="AW349" s="36"/>
      <c r="AX349" s="36"/>
      <c r="AY349" s="36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27"/>
      <c r="BL349" s="27"/>
    </row>
    <row r="350" spans="1:64">
      <c r="A350" s="25" t="s">
        <v>54</v>
      </c>
      <c r="B350" s="26">
        <v>46216</v>
      </c>
      <c r="C350" s="27"/>
      <c r="D350" s="27">
        <v>80510298</v>
      </c>
      <c r="E350" s="27" t="s">
        <v>333</v>
      </c>
      <c r="F350" s="27" t="s">
        <v>471</v>
      </c>
      <c r="G350" s="27" t="s">
        <v>28</v>
      </c>
      <c r="H350" s="30" t="s">
        <v>120</v>
      </c>
      <c r="I350" s="31" t="s">
        <v>1176</v>
      </c>
      <c r="J350" s="66" t="s">
        <v>1177</v>
      </c>
      <c r="K350" s="27">
        <v>1</v>
      </c>
      <c r="L350" s="27">
        <v>19</v>
      </c>
      <c r="M350" s="27"/>
      <c r="N350" s="31" t="s">
        <v>95</v>
      </c>
      <c r="O350" s="27"/>
      <c r="P350" s="30"/>
      <c r="Q350" s="30" t="s">
        <v>1178</v>
      </c>
      <c r="R350" s="26">
        <v>46220</v>
      </c>
      <c r="S350" s="26">
        <v>46221</v>
      </c>
      <c r="T350" s="31"/>
      <c r="U350" s="30" t="s">
        <v>68</v>
      </c>
      <c r="V350" s="34" t="s">
        <v>70</v>
      </c>
      <c r="W350" s="27" t="s">
        <v>336</v>
      </c>
      <c r="X350" s="30">
        <v>1</v>
      </c>
      <c r="Y350" s="30">
        <v>1</v>
      </c>
      <c r="Z350" s="30">
        <v>1</v>
      </c>
      <c r="AA350" s="30">
        <v>1</v>
      </c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 t="s">
        <v>69</v>
      </c>
      <c r="AO350" s="30"/>
      <c r="AP350" s="30" t="s">
        <v>95</v>
      </c>
      <c r="AQ350" s="30"/>
      <c r="AR350" s="36" t="s">
        <v>41</v>
      </c>
      <c r="AS350" s="36"/>
      <c r="AT350" s="36"/>
      <c r="AU350" s="36"/>
      <c r="AV350" s="36"/>
      <c r="AW350" s="36"/>
      <c r="AX350" s="36"/>
      <c r="AY350" s="36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27"/>
      <c r="BL350" s="27"/>
    </row>
    <row r="351" spans="1:64">
      <c r="A351" s="25" t="s">
        <v>54</v>
      </c>
      <c r="B351" s="26">
        <v>46216</v>
      </c>
      <c r="C351" s="27"/>
      <c r="D351" s="27">
        <v>80510281</v>
      </c>
      <c r="E351" s="27" t="s">
        <v>333</v>
      </c>
      <c r="F351" s="27" t="s">
        <v>471</v>
      </c>
      <c r="G351" s="27" t="s">
        <v>28</v>
      </c>
      <c r="H351" s="30" t="s">
        <v>57</v>
      </c>
      <c r="I351" s="31" t="s">
        <v>1179</v>
      </c>
      <c r="J351" s="30" t="s">
        <v>1180</v>
      </c>
      <c r="K351" s="27">
        <v>1</v>
      </c>
      <c r="L351" s="27">
        <v>19</v>
      </c>
      <c r="M351" s="27"/>
      <c r="N351" s="31" t="s">
        <v>455</v>
      </c>
      <c r="O351" s="27"/>
      <c r="P351" s="30"/>
      <c r="Q351" s="30" t="s">
        <v>1181</v>
      </c>
      <c r="R351" s="26">
        <v>46220</v>
      </c>
      <c r="S351" s="26">
        <v>46223</v>
      </c>
      <c r="T351" s="31"/>
      <c r="U351" s="30" t="s">
        <v>68</v>
      </c>
      <c r="V351" s="34" t="s">
        <v>70</v>
      </c>
      <c r="W351" s="27" t="s">
        <v>336</v>
      </c>
      <c r="X351" s="30">
        <v>1</v>
      </c>
      <c r="Y351" s="30">
        <v>1</v>
      </c>
      <c r="Z351" s="30">
        <v>1</v>
      </c>
      <c r="AA351" s="30">
        <v>1</v>
      </c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 t="s">
        <v>69</v>
      </c>
      <c r="AO351" s="30"/>
      <c r="AP351" s="30"/>
      <c r="AQ351" s="30" t="s">
        <v>455</v>
      </c>
      <c r="AR351" s="36" t="s">
        <v>41</v>
      </c>
      <c r="AS351" s="36"/>
      <c r="AT351" s="36"/>
      <c r="AU351" s="36"/>
      <c r="AV351" s="36"/>
      <c r="AW351" s="36"/>
      <c r="AX351" s="36"/>
      <c r="AY351" s="36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27"/>
      <c r="BL351" s="27"/>
    </row>
    <row r="352" spans="1:64">
      <c r="A352" s="25" t="s">
        <v>187</v>
      </c>
      <c r="B352" s="26">
        <v>46216</v>
      </c>
      <c r="C352" s="27">
        <v>30169</v>
      </c>
      <c r="D352" s="27"/>
      <c r="E352" s="27" t="s">
        <v>1185</v>
      </c>
      <c r="F352" s="27" t="s">
        <v>59</v>
      </c>
      <c r="G352" s="27" t="s">
        <v>104</v>
      </c>
      <c r="H352" s="30" t="s">
        <v>1186</v>
      </c>
      <c r="I352" s="31" t="s">
        <v>1187</v>
      </c>
      <c r="J352" s="30" t="s">
        <v>1188</v>
      </c>
      <c r="K352" s="27">
        <v>2</v>
      </c>
      <c r="L352" s="27">
        <v>50</v>
      </c>
      <c r="M352" s="27"/>
      <c r="N352" s="31" t="s">
        <v>81</v>
      </c>
      <c r="O352" s="27"/>
      <c r="P352" s="30"/>
      <c r="Q352" s="30" t="s">
        <v>66</v>
      </c>
      <c r="R352" s="26">
        <v>46219</v>
      </c>
      <c r="S352" s="26">
        <v>46220</v>
      </c>
      <c r="T352" s="31"/>
      <c r="U352" s="30" t="s">
        <v>68</v>
      </c>
      <c r="V352" s="34" t="s">
        <v>70</v>
      </c>
      <c r="W352" s="27" t="s">
        <v>1189</v>
      </c>
      <c r="X352" s="30">
        <v>1</v>
      </c>
      <c r="Y352" s="30">
        <v>1</v>
      </c>
      <c r="Z352" s="30">
        <v>1</v>
      </c>
      <c r="AA352" s="30">
        <v>1</v>
      </c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 t="s">
        <v>69</v>
      </c>
      <c r="AO352" s="30"/>
      <c r="AP352" s="30" t="s">
        <v>81</v>
      </c>
      <c r="AQ352" s="30" t="s">
        <v>90</v>
      </c>
      <c r="AR352" s="36"/>
      <c r="AS352" s="36"/>
      <c r="AT352" s="36"/>
      <c r="AU352" s="36"/>
      <c r="AV352" s="36"/>
      <c r="AW352" s="36"/>
      <c r="AX352" s="36"/>
      <c r="AY352" s="36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27"/>
      <c r="BL352" s="27"/>
    </row>
    <row r="353" spans="1:64">
      <c r="A353" s="25" t="s">
        <v>187</v>
      </c>
      <c r="B353" s="26">
        <v>46216</v>
      </c>
      <c r="C353" s="27"/>
      <c r="D353" s="27">
        <v>45292</v>
      </c>
      <c r="E353" s="27" t="s">
        <v>1190</v>
      </c>
      <c r="F353" s="27" t="s">
        <v>59</v>
      </c>
      <c r="G353" s="27" t="s">
        <v>104</v>
      </c>
      <c r="H353" s="30" t="s">
        <v>1191</v>
      </c>
      <c r="I353" s="31" t="s">
        <v>1192</v>
      </c>
      <c r="J353" s="30" t="s">
        <v>1193</v>
      </c>
      <c r="K353" s="27">
        <v>5</v>
      </c>
      <c r="L353" s="27">
        <v>56</v>
      </c>
      <c r="M353" s="27"/>
      <c r="N353" s="31" t="s">
        <v>81</v>
      </c>
      <c r="O353" s="27"/>
      <c r="P353" s="30"/>
      <c r="Q353" s="30" t="s">
        <v>1194</v>
      </c>
      <c r="R353" s="26">
        <v>46219</v>
      </c>
      <c r="S353" s="26">
        <v>46220</v>
      </c>
      <c r="T353" s="31"/>
      <c r="U353" s="30" t="s">
        <v>68</v>
      </c>
      <c r="V353" s="34" t="s">
        <v>70</v>
      </c>
      <c r="W353" s="27" t="s">
        <v>174</v>
      </c>
      <c r="X353" s="30">
        <v>1</v>
      </c>
      <c r="Y353" s="30">
        <v>1</v>
      </c>
      <c r="Z353" s="30">
        <v>1</v>
      </c>
      <c r="AA353" s="30">
        <v>1</v>
      </c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 t="s">
        <v>69</v>
      </c>
      <c r="AO353" s="30"/>
      <c r="AP353" s="30" t="s">
        <v>81</v>
      </c>
      <c r="AQ353" s="30" t="s">
        <v>90</v>
      </c>
      <c r="AR353" s="36"/>
      <c r="AS353" s="36"/>
      <c r="AT353" s="36"/>
      <c r="AU353" s="36"/>
      <c r="AV353" s="36"/>
      <c r="AW353" s="36"/>
      <c r="AX353" s="36"/>
      <c r="AY353" s="36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27"/>
      <c r="BL353" s="27"/>
    </row>
    <row r="354" spans="1:64">
      <c r="A354" s="25" t="s">
        <v>187</v>
      </c>
      <c r="B354" s="26">
        <v>46216</v>
      </c>
      <c r="C354" s="27"/>
      <c r="D354" s="27">
        <v>45291</v>
      </c>
      <c r="E354" s="27" t="s">
        <v>1190</v>
      </c>
      <c r="F354" s="27" t="s">
        <v>59</v>
      </c>
      <c r="G354" s="27" t="s">
        <v>104</v>
      </c>
      <c r="H354" s="30" t="s">
        <v>1191</v>
      </c>
      <c r="I354" s="31" t="s">
        <v>1195</v>
      </c>
      <c r="J354" s="30" t="s">
        <v>1196</v>
      </c>
      <c r="K354" s="27">
        <v>10</v>
      </c>
      <c r="L354" s="27">
        <v>136</v>
      </c>
      <c r="M354" s="27"/>
      <c r="N354" s="31" t="s">
        <v>81</v>
      </c>
      <c r="O354" s="27"/>
      <c r="P354" s="30"/>
      <c r="Q354" s="30" t="s">
        <v>1197</v>
      </c>
      <c r="R354" s="26">
        <v>46219</v>
      </c>
      <c r="S354" s="26">
        <v>46220</v>
      </c>
      <c r="T354" s="31"/>
      <c r="U354" s="30" t="s">
        <v>68</v>
      </c>
      <c r="V354" s="34" t="s">
        <v>70</v>
      </c>
      <c r="W354" s="27" t="s">
        <v>174</v>
      </c>
      <c r="X354" s="30">
        <v>1</v>
      </c>
      <c r="Y354" s="30">
        <v>1</v>
      </c>
      <c r="Z354" s="30">
        <v>1</v>
      </c>
      <c r="AA354" s="30">
        <v>1</v>
      </c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 t="s">
        <v>69</v>
      </c>
      <c r="AO354" s="30"/>
      <c r="AP354" s="30" t="s">
        <v>81</v>
      </c>
      <c r="AQ354" s="30" t="s">
        <v>41</v>
      </c>
      <c r="AR354" s="36"/>
      <c r="AS354" s="36"/>
      <c r="AT354" s="36"/>
      <c r="AU354" s="36"/>
      <c r="AV354" s="36"/>
      <c r="AW354" s="36"/>
      <c r="AX354" s="36"/>
      <c r="AY354" s="36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27"/>
      <c r="BL354" s="27"/>
    </row>
    <row r="355" spans="1:64">
      <c r="A355" s="25" t="s">
        <v>54</v>
      </c>
      <c r="B355" s="26">
        <v>46216</v>
      </c>
      <c r="C355" s="27">
        <v>30175</v>
      </c>
      <c r="D355" s="27"/>
      <c r="E355" s="27" t="s">
        <v>1198</v>
      </c>
      <c r="F355" s="27" t="s">
        <v>59</v>
      </c>
      <c r="G355" s="27" t="s">
        <v>104</v>
      </c>
      <c r="H355" s="30" t="s">
        <v>378</v>
      </c>
      <c r="I355" s="31" t="s">
        <v>1199</v>
      </c>
      <c r="J355" s="30" t="s">
        <v>1200</v>
      </c>
      <c r="K355" s="27">
        <v>12</v>
      </c>
      <c r="L355" s="27">
        <v>131</v>
      </c>
      <c r="M355" s="27"/>
      <c r="N355" s="31" t="s">
        <v>455</v>
      </c>
      <c r="O355" s="27"/>
      <c r="P355" s="30"/>
      <c r="Q355" s="30" t="s">
        <v>66</v>
      </c>
      <c r="R355" s="26">
        <v>46219</v>
      </c>
      <c r="S355" s="26">
        <v>46223</v>
      </c>
      <c r="T355" s="67">
        <v>554250</v>
      </c>
      <c r="U355" s="30" t="s">
        <v>32</v>
      </c>
      <c r="V355" s="34" t="s">
        <v>33</v>
      </c>
      <c r="W355" s="27" t="s">
        <v>399</v>
      </c>
      <c r="X355" s="30">
        <v>1</v>
      </c>
      <c r="Y355" s="30">
        <v>1</v>
      </c>
      <c r="Z355" s="30">
        <v>1</v>
      </c>
      <c r="AA355" s="30">
        <v>1</v>
      </c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 t="s">
        <v>69</v>
      </c>
      <c r="AO355" s="30"/>
      <c r="AP355" s="30" t="s">
        <v>455</v>
      </c>
      <c r="AQ355" s="30" t="s">
        <v>41</v>
      </c>
      <c r="AR355" s="36"/>
      <c r="AS355" s="36"/>
      <c r="AT355" s="36"/>
      <c r="AU355" s="36"/>
      <c r="AV355" s="36"/>
      <c r="AW355" s="36"/>
      <c r="AX355" s="36"/>
      <c r="AY355" s="36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27"/>
      <c r="BL355" s="27"/>
    </row>
    <row r="356" spans="1:64">
      <c r="A356" s="25" t="s">
        <v>54</v>
      </c>
      <c r="B356" s="26">
        <v>46216</v>
      </c>
      <c r="C356" s="27">
        <v>30173</v>
      </c>
      <c r="D356" s="27"/>
      <c r="E356" s="27" t="s">
        <v>1198</v>
      </c>
      <c r="F356" s="27" t="s">
        <v>59</v>
      </c>
      <c r="G356" s="27" t="s">
        <v>104</v>
      </c>
      <c r="H356" s="30" t="s">
        <v>343</v>
      </c>
      <c r="I356" s="31" t="s">
        <v>1201</v>
      </c>
      <c r="J356" s="30" t="s">
        <v>1202</v>
      </c>
      <c r="K356" s="27">
        <v>17</v>
      </c>
      <c r="L356" s="27">
        <v>82</v>
      </c>
      <c r="M356" s="27"/>
      <c r="N356" s="31" t="s">
        <v>95</v>
      </c>
      <c r="O356" s="27"/>
      <c r="P356" s="30"/>
      <c r="Q356" s="30" t="s">
        <v>66</v>
      </c>
      <c r="R356" s="26">
        <v>46218</v>
      </c>
      <c r="S356" s="26">
        <v>46220</v>
      </c>
      <c r="T356" s="31"/>
      <c r="U356" s="30" t="s">
        <v>32</v>
      </c>
      <c r="V356" s="34" t="s">
        <v>33</v>
      </c>
      <c r="W356" s="27" t="s">
        <v>399</v>
      </c>
      <c r="X356" s="30">
        <v>1</v>
      </c>
      <c r="Y356" s="30">
        <v>1</v>
      </c>
      <c r="Z356" s="30">
        <v>1</v>
      </c>
      <c r="AA356" s="30">
        <v>1</v>
      </c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 t="s">
        <v>69</v>
      </c>
      <c r="AO356" s="30"/>
      <c r="AP356" s="30" t="s">
        <v>979</v>
      </c>
      <c r="AQ356" s="30"/>
      <c r="AR356" s="36"/>
      <c r="AS356" s="36"/>
      <c r="AT356" s="36"/>
      <c r="AU356" s="36"/>
      <c r="AV356" s="36"/>
      <c r="AW356" s="36"/>
      <c r="AX356" s="36"/>
      <c r="AY356" s="36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27"/>
      <c r="BL356" s="27"/>
    </row>
    <row r="357" spans="1:64">
      <c r="A357" s="25" t="s">
        <v>187</v>
      </c>
      <c r="B357" s="26">
        <v>46216</v>
      </c>
      <c r="C357" s="27">
        <v>27069</v>
      </c>
      <c r="D357" s="27"/>
      <c r="E357" s="27" t="s">
        <v>1203</v>
      </c>
      <c r="F357" s="27" t="s">
        <v>48</v>
      </c>
      <c r="G357" s="27" t="s">
        <v>438</v>
      </c>
      <c r="H357" s="30" t="s">
        <v>1204</v>
      </c>
      <c r="I357" s="31" t="s">
        <v>1205</v>
      </c>
      <c r="J357" s="30" t="s">
        <v>1204</v>
      </c>
      <c r="K357" s="27">
        <v>70</v>
      </c>
      <c r="L357" s="27"/>
      <c r="M357" s="27"/>
      <c r="N357" s="31" t="s">
        <v>1206</v>
      </c>
      <c r="O357" s="27"/>
      <c r="P357" s="30"/>
      <c r="Q357" s="30" t="s">
        <v>66</v>
      </c>
      <c r="R357" s="26">
        <v>46221</v>
      </c>
      <c r="S357" s="26">
        <v>46225</v>
      </c>
      <c r="T357" s="31"/>
      <c r="U357" s="30" t="s">
        <v>68</v>
      </c>
      <c r="V357" s="34" t="s">
        <v>70</v>
      </c>
      <c r="W357" s="27" t="s">
        <v>1207</v>
      </c>
      <c r="X357" s="30">
        <v>1</v>
      </c>
      <c r="Y357" s="30">
        <v>1</v>
      </c>
      <c r="Z357" s="30">
        <v>1</v>
      </c>
      <c r="AA357" s="30">
        <v>1</v>
      </c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 t="s">
        <v>1208</v>
      </c>
      <c r="AP357" s="30"/>
      <c r="AQ357" s="30"/>
      <c r="AR357" s="36"/>
      <c r="AS357" s="36" t="s">
        <v>90</v>
      </c>
      <c r="AT357" s="36"/>
      <c r="AU357" s="36"/>
      <c r="AV357" s="36"/>
      <c r="AW357" s="36"/>
      <c r="AX357" s="36"/>
      <c r="AY357" s="36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27"/>
      <c r="BL357" s="27"/>
    </row>
    <row r="358" spans="1:64">
      <c r="A358" s="25" t="s">
        <v>187</v>
      </c>
      <c r="B358" s="26">
        <v>46216</v>
      </c>
      <c r="C358" s="27">
        <v>27068</v>
      </c>
      <c r="D358" s="27"/>
      <c r="E358" s="27" t="s">
        <v>1203</v>
      </c>
      <c r="F358" s="27" t="s">
        <v>48</v>
      </c>
      <c r="G358" s="27" t="s">
        <v>438</v>
      </c>
      <c r="H358" s="30" t="s">
        <v>907</v>
      </c>
      <c r="I358" s="31" t="s">
        <v>1209</v>
      </c>
      <c r="J358" s="30" t="s">
        <v>1210</v>
      </c>
      <c r="K358" s="27">
        <v>16</v>
      </c>
      <c r="L358" s="27">
        <v>221.6</v>
      </c>
      <c r="M358" s="27">
        <v>272.88</v>
      </c>
      <c r="N358" s="31"/>
      <c r="O358" s="27" t="s">
        <v>302</v>
      </c>
      <c r="P358" s="30"/>
      <c r="Q358" s="30" t="s">
        <v>1211</v>
      </c>
      <c r="R358" s="26">
        <v>46223</v>
      </c>
      <c r="S358" s="27"/>
      <c r="T358" s="31"/>
      <c r="U358" s="30" t="s">
        <v>419</v>
      </c>
      <c r="V358" s="34" t="s">
        <v>90</v>
      </c>
      <c r="W358" s="27" t="s">
        <v>1207</v>
      </c>
      <c r="X358" s="30">
        <v>2</v>
      </c>
      <c r="Y358" s="30">
        <v>2</v>
      </c>
      <c r="Z358" s="30">
        <v>2</v>
      </c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 t="s">
        <v>302</v>
      </c>
      <c r="AQ358" s="30" t="s">
        <v>1212</v>
      </c>
      <c r="AR358" s="36"/>
      <c r="AS358" s="36"/>
      <c r="AT358" s="36"/>
      <c r="AU358" s="36" t="s">
        <v>90</v>
      </c>
      <c r="AV358" s="36"/>
      <c r="AW358" s="36"/>
      <c r="AX358" s="36"/>
      <c r="AY358" s="36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27"/>
      <c r="BL358" s="27"/>
    </row>
    <row r="359" spans="1:64">
      <c r="A359" s="25" t="s">
        <v>54</v>
      </c>
      <c r="B359" s="26">
        <v>46217</v>
      </c>
      <c r="C359" s="27">
        <v>30110</v>
      </c>
      <c r="D359" s="27"/>
      <c r="E359" s="27" t="s">
        <v>76</v>
      </c>
      <c r="F359" s="27" t="s">
        <v>59</v>
      </c>
      <c r="G359" s="27" t="s">
        <v>104</v>
      </c>
      <c r="H359" s="30" t="s">
        <v>234</v>
      </c>
      <c r="I359" s="31" t="s">
        <v>851</v>
      </c>
      <c r="J359" s="30" t="s">
        <v>852</v>
      </c>
      <c r="K359" s="27">
        <v>4</v>
      </c>
      <c r="L359" s="27">
        <v>100</v>
      </c>
      <c r="M359" s="27"/>
      <c r="N359" s="31" t="s">
        <v>154</v>
      </c>
      <c r="O359" s="27"/>
      <c r="P359" s="30"/>
      <c r="Q359" s="30" t="s">
        <v>66</v>
      </c>
      <c r="R359" s="26">
        <v>46220</v>
      </c>
      <c r="S359" s="26">
        <v>46223</v>
      </c>
      <c r="T359" s="31"/>
      <c r="U359" s="30" t="s">
        <v>68</v>
      </c>
      <c r="V359" s="34" t="s">
        <v>70</v>
      </c>
      <c r="W359" s="27" t="s">
        <v>85</v>
      </c>
      <c r="X359" s="30">
        <v>1</v>
      </c>
      <c r="Y359" s="30">
        <v>1</v>
      </c>
      <c r="Z359" s="30">
        <v>1</v>
      </c>
      <c r="AA359" s="30">
        <v>1</v>
      </c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 t="s">
        <v>69</v>
      </c>
      <c r="AP359" s="30"/>
      <c r="AQ359" s="30"/>
      <c r="AR359" s="36" t="s">
        <v>157</v>
      </c>
      <c r="AS359" s="36"/>
      <c r="AT359" s="36"/>
      <c r="AU359" s="36"/>
      <c r="AV359" s="36"/>
      <c r="AW359" s="36"/>
      <c r="AX359" s="36"/>
      <c r="AY359" s="36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27"/>
      <c r="BL359" s="27"/>
    </row>
    <row r="360" spans="1:64">
      <c r="A360" s="25" t="s">
        <v>54</v>
      </c>
      <c r="B360" s="26">
        <v>46217</v>
      </c>
      <c r="C360" s="27">
        <v>30111</v>
      </c>
      <c r="D360" s="27"/>
      <c r="E360" s="27" t="s">
        <v>76</v>
      </c>
      <c r="F360" s="27" t="s">
        <v>59</v>
      </c>
      <c r="G360" s="27" t="s">
        <v>104</v>
      </c>
      <c r="H360" s="30" t="s">
        <v>953</v>
      </c>
      <c r="I360" s="31" t="s">
        <v>1213</v>
      </c>
      <c r="J360" s="30" t="s">
        <v>1214</v>
      </c>
      <c r="K360" s="27">
        <v>8</v>
      </c>
      <c r="L360" s="27">
        <v>100</v>
      </c>
      <c r="M360" s="27"/>
      <c r="N360" s="31" t="s">
        <v>154</v>
      </c>
      <c r="O360" s="27"/>
      <c r="P360" s="30"/>
      <c r="Q360" s="30" t="s">
        <v>66</v>
      </c>
      <c r="R360" s="26">
        <v>46221</v>
      </c>
      <c r="S360" s="26">
        <v>46223</v>
      </c>
      <c r="T360" s="31"/>
      <c r="U360" s="30" t="s">
        <v>68</v>
      </c>
      <c r="V360" s="34" t="s">
        <v>70</v>
      </c>
      <c r="W360" s="27" t="s">
        <v>85</v>
      </c>
      <c r="X360" s="30">
        <v>1</v>
      </c>
      <c r="Y360" s="30">
        <v>1</v>
      </c>
      <c r="Z360" s="30">
        <v>1</v>
      </c>
      <c r="AA360" s="30">
        <v>1</v>
      </c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 t="s">
        <v>69</v>
      </c>
      <c r="AP360" s="30"/>
      <c r="AQ360" s="30"/>
      <c r="AR360" s="36" t="s">
        <v>154</v>
      </c>
      <c r="AS360" s="36" t="s">
        <v>41</v>
      </c>
      <c r="AT360" s="36"/>
      <c r="AU360" s="36"/>
      <c r="AV360" s="36"/>
      <c r="AW360" s="36"/>
      <c r="AX360" s="36"/>
      <c r="AY360" s="36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27"/>
      <c r="BL360" s="27"/>
    </row>
    <row r="361" spans="1:64">
      <c r="A361" s="25" t="s">
        <v>54</v>
      </c>
      <c r="B361" s="26">
        <v>46217</v>
      </c>
      <c r="C361" s="27">
        <v>30112</v>
      </c>
      <c r="D361" s="27"/>
      <c r="E361" s="27" t="s">
        <v>76</v>
      </c>
      <c r="F361" s="27" t="s">
        <v>59</v>
      </c>
      <c r="G361" s="27" t="s">
        <v>104</v>
      </c>
      <c r="H361" s="30" t="s">
        <v>151</v>
      </c>
      <c r="I361" s="31" t="s">
        <v>1215</v>
      </c>
      <c r="J361" s="30" t="s">
        <v>1216</v>
      </c>
      <c r="K361" s="27">
        <v>2</v>
      </c>
      <c r="L361" s="27"/>
      <c r="M361" s="27"/>
      <c r="N361" s="31" t="s">
        <v>455</v>
      </c>
      <c r="O361" s="27"/>
      <c r="P361" s="30"/>
      <c r="Q361" s="30" t="s">
        <v>66</v>
      </c>
      <c r="R361" s="26">
        <v>46219</v>
      </c>
      <c r="S361" s="26">
        <v>46219</v>
      </c>
      <c r="T361" s="31"/>
      <c r="U361" s="30" t="s">
        <v>68</v>
      </c>
      <c r="V361" s="34" t="s">
        <v>70</v>
      </c>
      <c r="W361" s="27" t="s">
        <v>85</v>
      </c>
      <c r="X361" s="30">
        <v>1</v>
      </c>
      <c r="Y361" s="30">
        <v>1</v>
      </c>
      <c r="Z361" s="30">
        <v>1</v>
      </c>
      <c r="AA361" s="30">
        <v>1</v>
      </c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 t="s">
        <v>69</v>
      </c>
      <c r="AP361" s="30" t="s">
        <v>455</v>
      </c>
      <c r="AQ361" s="30" t="s">
        <v>41</v>
      </c>
      <c r="AR361" s="36"/>
      <c r="AS361" s="36"/>
      <c r="AT361" s="36"/>
      <c r="AU361" s="36"/>
      <c r="AV361" s="36"/>
      <c r="AW361" s="36"/>
      <c r="AX361" s="36"/>
      <c r="AY361" s="36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27"/>
      <c r="BL361" s="27"/>
    </row>
    <row r="362" spans="1:64">
      <c r="A362" s="25" t="s">
        <v>54</v>
      </c>
      <c r="B362" s="26">
        <v>46217</v>
      </c>
      <c r="C362" s="27">
        <v>30113</v>
      </c>
      <c r="D362" s="27"/>
      <c r="E362" s="27" t="s">
        <v>76</v>
      </c>
      <c r="F362" s="27" t="s">
        <v>59</v>
      </c>
      <c r="G362" s="27" t="s">
        <v>104</v>
      </c>
      <c r="H362" s="30" t="s">
        <v>293</v>
      </c>
      <c r="I362" s="31" t="s">
        <v>1217</v>
      </c>
      <c r="J362" s="30" t="s">
        <v>1218</v>
      </c>
      <c r="K362" s="27">
        <v>2</v>
      </c>
      <c r="L362" s="27">
        <v>100</v>
      </c>
      <c r="M362" s="27"/>
      <c r="N362" s="31" t="s">
        <v>455</v>
      </c>
      <c r="O362" s="27"/>
      <c r="P362" s="30"/>
      <c r="Q362" s="30" t="s">
        <v>66</v>
      </c>
      <c r="R362" s="26">
        <v>46220</v>
      </c>
      <c r="S362" s="26">
        <v>46223</v>
      </c>
      <c r="T362" s="31"/>
      <c r="U362" s="30" t="s">
        <v>68</v>
      </c>
      <c r="V362" s="34" t="s">
        <v>70</v>
      </c>
      <c r="W362" s="27" t="s">
        <v>85</v>
      </c>
      <c r="X362" s="30">
        <v>1</v>
      </c>
      <c r="Y362" s="30">
        <v>1</v>
      </c>
      <c r="Z362" s="30">
        <v>1</v>
      </c>
      <c r="AA362" s="30">
        <v>1</v>
      </c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 t="s">
        <v>69</v>
      </c>
      <c r="AP362" s="30"/>
      <c r="AQ362" s="30" t="s">
        <v>455</v>
      </c>
      <c r="AR362" s="36" t="s">
        <v>41</v>
      </c>
      <c r="AS362" s="36"/>
      <c r="AT362" s="36"/>
      <c r="AU362" s="36"/>
      <c r="AV362" s="36"/>
      <c r="AW362" s="36"/>
      <c r="AX362" s="36"/>
      <c r="AY362" s="36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27"/>
      <c r="BL362" s="27"/>
    </row>
    <row r="363" spans="1:64">
      <c r="A363" s="25" t="s">
        <v>54</v>
      </c>
      <c r="B363" s="26">
        <v>46217</v>
      </c>
      <c r="C363" s="27">
        <v>30114</v>
      </c>
      <c r="D363" s="27"/>
      <c r="E363" s="27" t="s">
        <v>76</v>
      </c>
      <c r="F363" s="27" t="s">
        <v>59</v>
      </c>
      <c r="G363" s="27" t="s">
        <v>104</v>
      </c>
      <c r="H363" s="30" t="s">
        <v>280</v>
      </c>
      <c r="I363" s="31" t="s">
        <v>1220</v>
      </c>
      <c r="J363" s="30" t="s">
        <v>1221</v>
      </c>
      <c r="K363" s="27">
        <v>6</v>
      </c>
      <c r="L363" s="27">
        <v>153</v>
      </c>
      <c r="M363" s="27"/>
      <c r="N363" s="31" t="s">
        <v>455</v>
      </c>
      <c r="O363" s="27"/>
      <c r="P363" s="30"/>
      <c r="Q363" s="30" t="s">
        <v>66</v>
      </c>
      <c r="R363" s="26">
        <v>46219</v>
      </c>
      <c r="S363" s="26">
        <v>46219</v>
      </c>
      <c r="T363" s="31"/>
      <c r="U363" s="30" t="s">
        <v>68</v>
      </c>
      <c r="V363" s="34" t="s">
        <v>70</v>
      </c>
      <c r="W363" s="27" t="s">
        <v>85</v>
      </c>
      <c r="X363" s="30">
        <v>1</v>
      </c>
      <c r="Y363" s="30">
        <v>1</v>
      </c>
      <c r="Z363" s="30">
        <v>1</v>
      </c>
      <c r="AA363" s="30">
        <v>1</v>
      </c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 t="s">
        <v>69</v>
      </c>
      <c r="AP363" s="30" t="s">
        <v>1222</v>
      </c>
      <c r="AQ363" s="30" t="s">
        <v>41</v>
      </c>
      <c r="AR363" s="36"/>
      <c r="AS363" s="36"/>
      <c r="AT363" s="36"/>
      <c r="AU363" s="36"/>
      <c r="AV363" s="36"/>
      <c r="AW363" s="36"/>
      <c r="AX363" s="36"/>
      <c r="AY363" s="36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27"/>
      <c r="BL363" s="27"/>
    </row>
    <row r="364" spans="1:64">
      <c r="A364" s="25" t="s">
        <v>54</v>
      </c>
      <c r="B364" s="26">
        <v>46217</v>
      </c>
      <c r="C364" s="27"/>
      <c r="D364" s="27">
        <v>38342</v>
      </c>
      <c r="E364" s="27" t="s">
        <v>284</v>
      </c>
      <c r="F364" s="27" t="s">
        <v>59</v>
      </c>
      <c r="G364" s="27" t="s">
        <v>104</v>
      </c>
      <c r="H364" s="30" t="s">
        <v>447</v>
      </c>
      <c r="I364" s="31" t="s">
        <v>1113</v>
      </c>
      <c r="J364" s="30" t="s">
        <v>447</v>
      </c>
      <c r="K364" s="27">
        <v>1</v>
      </c>
      <c r="L364" s="27">
        <v>2</v>
      </c>
      <c r="M364" s="27">
        <v>3</v>
      </c>
      <c r="N364" s="31" t="s">
        <v>81</v>
      </c>
      <c r="O364" s="27"/>
      <c r="P364" s="30"/>
      <c r="Q364" s="30" t="s">
        <v>400</v>
      </c>
      <c r="R364" s="26">
        <v>46218</v>
      </c>
      <c r="S364" s="26">
        <v>46220</v>
      </c>
      <c r="T364" s="31"/>
      <c r="U364" s="30" t="s">
        <v>68</v>
      </c>
      <c r="V364" s="34" t="s">
        <v>70</v>
      </c>
      <c r="W364" s="27" t="s">
        <v>284</v>
      </c>
      <c r="X364" s="30">
        <v>1</v>
      </c>
      <c r="Y364" s="30">
        <v>1</v>
      </c>
      <c r="Z364" s="30">
        <v>1</v>
      </c>
      <c r="AA364" s="30">
        <v>1</v>
      </c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 t="s">
        <v>69</v>
      </c>
      <c r="AP364" s="30" t="s">
        <v>1223</v>
      </c>
      <c r="AQ364" s="30"/>
      <c r="AR364" s="36"/>
      <c r="AS364" s="36"/>
      <c r="AT364" s="36"/>
      <c r="AU364" s="36"/>
      <c r="AV364" s="36"/>
      <c r="AW364" s="36"/>
      <c r="AX364" s="36"/>
      <c r="AY364" s="36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27"/>
      <c r="BL364" s="27"/>
    </row>
    <row r="365" spans="1:64">
      <c r="A365" s="25" t="s">
        <v>54</v>
      </c>
      <c r="B365" s="26">
        <v>46217</v>
      </c>
      <c r="C365" s="27"/>
      <c r="D365" s="27">
        <v>44169</v>
      </c>
      <c r="E365" s="27" t="s">
        <v>284</v>
      </c>
      <c r="F365" s="27" t="s">
        <v>59</v>
      </c>
      <c r="G365" s="27" t="s">
        <v>104</v>
      </c>
      <c r="H365" s="30" t="s">
        <v>940</v>
      </c>
      <c r="I365" s="31" t="s">
        <v>1224</v>
      </c>
      <c r="J365" s="30" t="s">
        <v>1225</v>
      </c>
      <c r="K365" s="27">
        <v>2</v>
      </c>
      <c r="L365" s="27">
        <v>51</v>
      </c>
      <c r="M365" s="27">
        <v>25</v>
      </c>
      <c r="N365" s="31" t="s">
        <v>81</v>
      </c>
      <c r="O365" s="27"/>
      <c r="P365" s="30"/>
      <c r="Q365" s="30" t="s">
        <v>66</v>
      </c>
      <c r="R365" s="26">
        <v>46220</v>
      </c>
      <c r="S365" s="26">
        <v>46220</v>
      </c>
      <c r="T365" s="31"/>
      <c r="U365" s="30" t="s">
        <v>68</v>
      </c>
      <c r="V365" s="34" t="s">
        <v>70</v>
      </c>
      <c r="W365" s="27" t="s">
        <v>284</v>
      </c>
      <c r="X365" s="30">
        <v>1</v>
      </c>
      <c r="Y365" s="30">
        <v>1</v>
      </c>
      <c r="Z365" s="30">
        <v>1</v>
      </c>
      <c r="AA365" s="30">
        <v>1</v>
      </c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 t="s">
        <v>69</v>
      </c>
      <c r="AP365" s="30" t="s">
        <v>372</v>
      </c>
      <c r="AQ365" s="30"/>
      <c r="AR365" s="36" t="s">
        <v>41</v>
      </c>
      <c r="AS365" s="36"/>
      <c r="AT365" s="36"/>
      <c r="AU365" s="36"/>
      <c r="AV365" s="36"/>
      <c r="AW365" s="36"/>
      <c r="AX365" s="36"/>
      <c r="AY365" s="36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27"/>
      <c r="BL365" s="27"/>
    </row>
    <row r="366" spans="1:64">
      <c r="A366" s="25" t="s">
        <v>54</v>
      </c>
      <c r="B366" s="26">
        <v>46217</v>
      </c>
      <c r="C366" s="27">
        <v>5337</v>
      </c>
      <c r="D366" s="27"/>
      <c r="E366" s="27" t="s">
        <v>355</v>
      </c>
      <c r="F366" s="27" t="s">
        <v>185</v>
      </c>
      <c r="G366" s="27" t="s">
        <v>60</v>
      </c>
      <c r="H366" s="30" t="s">
        <v>1050</v>
      </c>
      <c r="I366" s="31" t="s">
        <v>1226</v>
      </c>
      <c r="J366" s="30" t="s">
        <v>1227</v>
      </c>
      <c r="K366" s="27">
        <v>80</v>
      </c>
      <c r="L366" s="27">
        <v>960</v>
      </c>
      <c r="M366" s="27"/>
      <c r="N366" s="31" t="s">
        <v>95</v>
      </c>
      <c r="O366" s="27"/>
      <c r="P366" s="30"/>
      <c r="Q366" s="30" t="s">
        <v>66</v>
      </c>
      <c r="R366" s="26">
        <v>46219</v>
      </c>
      <c r="S366" s="26">
        <v>46221</v>
      </c>
      <c r="T366" s="31"/>
      <c r="U366" s="30" t="s">
        <v>68</v>
      </c>
      <c r="V366" s="34" t="s">
        <v>70</v>
      </c>
      <c r="W366" s="27" t="s">
        <v>354</v>
      </c>
      <c r="X366" s="30">
        <v>1</v>
      </c>
      <c r="Y366" s="30">
        <v>1</v>
      </c>
      <c r="Z366" s="30">
        <v>1</v>
      </c>
      <c r="AA366" s="30">
        <v>1</v>
      </c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 t="s">
        <v>69</v>
      </c>
      <c r="AP366" s="30" t="s">
        <v>95</v>
      </c>
      <c r="AQ366" s="30" t="s">
        <v>41</v>
      </c>
      <c r="AR366" s="36"/>
      <c r="AS366" s="36"/>
      <c r="AT366" s="36"/>
      <c r="AU366" s="36"/>
      <c r="AV366" s="36"/>
      <c r="AW366" s="36"/>
      <c r="AX366" s="36"/>
      <c r="AY366" s="36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27"/>
      <c r="BL366" s="27"/>
    </row>
    <row r="367" spans="1:64">
      <c r="A367" s="25" t="s">
        <v>54</v>
      </c>
      <c r="B367" s="26">
        <v>46217</v>
      </c>
      <c r="C367" s="27">
        <v>30214</v>
      </c>
      <c r="D367" s="27"/>
      <c r="E367" s="27" t="s">
        <v>203</v>
      </c>
      <c r="F367" s="27" t="s">
        <v>59</v>
      </c>
      <c r="G367" s="27" t="s">
        <v>104</v>
      </c>
      <c r="H367" s="30" t="s">
        <v>60</v>
      </c>
      <c r="I367" s="31" t="s">
        <v>649</v>
      </c>
      <c r="J367" s="30" t="s">
        <v>60</v>
      </c>
      <c r="K367" s="27">
        <v>1</v>
      </c>
      <c r="L367" s="27" t="s">
        <v>205</v>
      </c>
      <c r="M367" s="27"/>
      <c r="N367" s="31" t="s">
        <v>81</v>
      </c>
      <c r="O367" s="27"/>
      <c r="P367" s="30"/>
      <c r="Q367" s="30" t="s">
        <v>1228</v>
      </c>
      <c r="R367" s="26">
        <v>46221</v>
      </c>
      <c r="S367" s="26">
        <v>46223</v>
      </c>
      <c r="T367" s="31"/>
      <c r="U367" s="30" t="s">
        <v>68</v>
      </c>
      <c r="V367" s="34" t="s">
        <v>70</v>
      </c>
      <c r="W367" s="27" t="s">
        <v>208</v>
      </c>
      <c r="X367" s="30">
        <v>3</v>
      </c>
      <c r="Y367" s="30"/>
      <c r="Z367" s="30"/>
      <c r="AA367" s="30">
        <v>1</v>
      </c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 t="s">
        <v>69</v>
      </c>
      <c r="AP367" s="30"/>
      <c r="AQ367" s="30"/>
      <c r="AR367" s="36" t="s">
        <v>81</v>
      </c>
      <c r="AS367" s="36" t="s">
        <v>906</v>
      </c>
      <c r="AT367" s="36"/>
      <c r="AU367" s="36"/>
      <c r="AV367" s="36"/>
      <c r="AW367" s="36"/>
      <c r="AX367" s="36"/>
      <c r="AY367" s="36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27"/>
      <c r="BL367" s="27"/>
    </row>
    <row r="368" spans="1:64">
      <c r="A368" s="25" t="s">
        <v>54</v>
      </c>
      <c r="B368" s="26">
        <v>46217</v>
      </c>
      <c r="C368" s="27">
        <v>30216</v>
      </c>
      <c r="D368" s="27"/>
      <c r="E368" s="27" t="s">
        <v>212</v>
      </c>
      <c r="F368" s="27" t="s">
        <v>59</v>
      </c>
      <c r="G368" s="27" t="s">
        <v>104</v>
      </c>
      <c r="H368" s="30" t="s">
        <v>28</v>
      </c>
      <c r="I368" s="31" t="s">
        <v>1229</v>
      </c>
      <c r="J368" s="30" t="s">
        <v>28</v>
      </c>
      <c r="K368" s="27">
        <v>1</v>
      </c>
      <c r="L368" s="27" t="s">
        <v>214</v>
      </c>
      <c r="M368" s="27"/>
      <c r="N368" s="31" t="s">
        <v>258</v>
      </c>
      <c r="O368" s="27"/>
      <c r="P368" s="30"/>
      <c r="Q368" s="30" t="s">
        <v>66</v>
      </c>
      <c r="R368" s="26">
        <v>46218</v>
      </c>
      <c r="S368" s="26">
        <v>46218</v>
      </c>
      <c r="T368" s="31"/>
      <c r="U368" s="30" t="s">
        <v>68</v>
      </c>
      <c r="V368" s="34" t="s">
        <v>70</v>
      </c>
      <c r="W368" s="27" t="s">
        <v>208</v>
      </c>
      <c r="X368" s="30">
        <v>1</v>
      </c>
      <c r="Y368" s="30">
        <v>1</v>
      </c>
      <c r="Z368" s="30">
        <v>1</v>
      </c>
      <c r="AA368" s="30">
        <v>1</v>
      </c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 t="s">
        <v>69</v>
      </c>
      <c r="AP368" s="30" t="s">
        <v>260</v>
      </c>
      <c r="AQ368" s="30"/>
      <c r="AR368" s="36"/>
      <c r="AS368" s="36"/>
      <c r="AT368" s="36"/>
      <c r="AU368" s="36"/>
      <c r="AV368" s="36"/>
      <c r="AW368" s="36"/>
      <c r="AX368" s="36"/>
      <c r="AY368" s="36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27"/>
      <c r="BL368" s="27"/>
    </row>
    <row r="369" spans="1:64">
      <c r="A369" s="25" t="s">
        <v>54</v>
      </c>
      <c r="B369" s="26">
        <v>46217</v>
      </c>
      <c r="C369" s="27">
        <v>30209</v>
      </c>
      <c r="D369" s="27"/>
      <c r="E369" s="27" t="s">
        <v>212</v>
      </c>
      <c r="F369" s="27" t="s">
        <v>59</v>
      </c>
      <c r="G369" s="27" t="s">
        <v>104</v>
      </c>
      <c r="H369" s="30" t="s">
        <v>151</v>
      </c>
      <c r="I369" s="31" t="s">
        <v>1230</v>
      </c>
      <c r="J369" s="30" t="s">
        <v>378</v>
      </c>
      <c r="K369" s="27">
        <v>1</v>
      </c>
      <c r="L369" s="27" t="s">
        <v>205</v>
      </c>
      <c r="M369" s="27"/>
      <c r="N369" s="31" t="s">
        <v>455</v>
      </c>
      <c r="O369" s="27"/>
      <c r="P369" s="30"/>
      <c r="Q369" s="30" t="s">
        <v>637</v>
      </c>
      <c r="R369" s="26">
        <v>46219</v>
      </c>
      <c r="S369" s="26">
        <v>46219</v>
      </c>
      <c r="T369" s="31"/>
      <c r="U369" s="30" t="s">
        <v>68</v>
      </c>
      <c r="V369" s="34" t="s">
        <v>70</v>
      </c>
      <c r="W369" s="27" t="s">
        <v>208</v>
      </c>
      <c r="X369" s="30">
        <v>1</v>
      </c>
      <c r="Y369" s="30">
        <v>1</v>
      </c>
      <c r="Z369" s="30">
        <v>1</v>
      </c>
      <c r="AA369" s="30">
        <v>1</v>
      </c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 t="s">
        <v>69</v>
      </c>
      <c r="AP369" s="30" t="s">
        <v>455</v>
      </c>
      <c r="AQ369" s="30" t="s">
        <v>41</v>
      </c>
      <c r="AR369" s="36"/>
      <c r="AS369" s="36"/>
      <c r="AT369" s="36"/>
      <c r="AU369" s="36"/>
      <c r="AV369" s="36"/>
      <c r="AW369" s="36"/>
      <c r="AX369" s="36"/>
      <c r="AY369" s="36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27"/>
      <c r="BL369" s="27"/>
    </row>
    <row r="370" spans="1:64">
      <c r="A370" s="25" t="s">
        <v>54</v>
      </c>
      <c r="B370" s="26">
        <v>46217</v>
      </c>
      <c r="C370" s="27">
        <v>30207</v>
      </c>
      <c r="D370" s="27"/>
      <c r="E370" s="27" t="s">
        <v>212</v>
      </c>
      <c r="F370" s="27" t="s">
        <v>59</v>
      </c>
      <c r="G370" s="27" t="s">
        <v>104</v>
      </c>
      <c r="H370" s="30" t="s">
        <v>151</v>
      </c>
      <c r="I370" s="31" t="s">
        <v>1231</v>
      </c>
      <c r="J370" s="30" t="s">
        <v>378</v>
      </c>
      <c r="K370" s="27">
        <v>1</v>
      </c>
      <c r="L370" s="27" t="s">
        <v>205</v>
      </c>
      <c r="M370" s="27"/>
      <c r="N370" s="31" t="s">
        <v>455</v>
      </c>
      <c r="O370" s="27"/>
      <c r="P370" s="30"/>
      <c r="Q370" s="30" t="s">
        <v>66</v>
      </c>
      <c r="R370" s="26">
        <v>46219</v>
      </c>
      <c r="S370" s="26">
        <v>46219</v>
      </c>
      <c r="T370" s="31"/>
      <c r="U370" s="30" t="s">
        <v>68</v>
      </c>
      <c r="V370" s="34" t="s">
        <v>70</v>
      </c>
      <c r="W370" s="27" t="s">
        <v>208</v>
      </c>
      <c r="X370" s="30">
        <v>1</v>
      </c>
      <c r="Y370" s="30">
        <v>1</v>
      </c>
      <c r="Z370" s="30">
        <v>1</v>
      </c>
      <c r="AA370" s="30">
        <v>1</v>
      </c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 t="s">
        <v>69</v>
      </c>
      <c r="AP370" s="30" t="s">
        <v>455</v>
      </c>
      <c r="AQ370" s="30" t="s">
        <v>41</v>
      </c>
      <c r="AR370" s="36"/>
      <c r="AS370" s="36"/>
      <c r="AT370" s="36"/>
      <c r="AU370" s="36"/>
      <c r="AV370" s="36"/>
      <c r="AW370" s="36"/>
      <c r="AX370" s="36"/>
      <c r="AY370" s="36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27"/>
      <c r="BL370" s="27"/>
    </row>
    <row r="371" spans="1:64">
      <c r="A371" s="25" t="s">
        <v>54</v>
      </c>
      <c r="B371" s="26">
        <v>46217</v>
      </c>
      <c r="C371" s="27">
        <v>30219</v>
      </c>
      <c r="D371" s="27"/>
      <c r="E371" s="27" t="s">
        <v>203</v>
      </c>
      <c r="F371" s="27" t="s">
        <v>59</v>
      </c>
      <c r="G371" s="27" t="s">
        <v>104</v>
      </c>
      <c r="H371" s="30" t="s">
        <v>170</v>
      </c>
      <c r="I371" s="31" t="s">
        <v>222</v>
      </c>
      <c r="J371" s="30" t="s">
        <v>170</v>
      </c>
      <c r="K371" s="27">
        <v>1</v>
      </c>
      <c r="L371" s="27" t="s">
        <v>214</v>
      </c>
      <c r="M371" s="27"/>
      <c r="N371" s="31" t="s">
        <v>81</v>
      </c>
      <c r="O371" s="27"/>
      <c r="P371" s="30"/>
      <c r="Q371" s="30" t="s">
        <v>1232</v>
      </c>
      <c r="R371" s="26">
        <v>46218</v>
      </c>
      <c r="S371" s="26">
        <v>46220</v>
      </c>
      <c r="T371" s="31"/>
      <c r="U371" s="30" t="s">
        <v>68</v>
      </c>
      <c r="V371" s="34" t="s">
        <v>70</v>
      </c>
      <c r="W371" s="27" t="s">
        <v>208</v>
      </c>
      <c r="X371" s="30">
        <v>1</v>
      </c>
      <c r="Y371" s="30">
        <v>1</v>
      </c>
      <c r="Z371" s="30">
        <v>1</v>
      </c>
      <c r="AA371" s="30">
        <v>1</v>
      </c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 t="s">
        <v>69</v>
      </c>
      <c r="AP371" s="30" t="s">
        <v>88</v>
      </c>
      <c r="AQ371" s="30"/>
      <c r="AR371" s="36"/>
      <c r="AS371" s="36"/>
      <c r="AT371" s="36"/>
      <c r="AU371" s="36"/>
      <c r="AV371" s="36"/>
      <c r="AW371" s="36"/>
      <c r="AX371" s="36"/>
      <c r="AY371" s="36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27"/>
      <c r="BL371" s="27"/>
    </row>
    <row r="372" spans="1:64">
      <c r="A372" s="25" t="s">
        <v>54</v>
      </c>
      <c r="B372" s="26">
        <v>46217</v>
      </c>
      <c r="C372" s="27">
        <v>30203</v>
      </c>
      <c r="D372" s="27"/>
      <c r="E372" s="27" t="s">
        <v>212</v>
      </c>
      <c r="F372" s="27" t="s">
        <v>59</v>
      </c>
      <c r="G372" s="27" t="s">
        <v>104</v>
      </c>
      <c r="H372" s="30" t="s">
        <v>170</v>
      </c>
      <c r="I372" s="31" t="s">
        <v>632</v>
      </c>
      <c r="J372" s="30" t="s">
        <v>170</v>
      </c>
      <c r="K372" s="27">
        <v>1</v>
      </c>
      <c r="L372" s="27" t="s">
        <v>214</v>
      </c>
      <c r="M372" s="27"/>
      <c r="N372" s="31" t="s">
        <v>81</v>
      </c>
      <c r="O372" s="27"/>
      <c r="P372" s="30"/>
      <c r="Q372" s="30" t="s">
        <v>930</v>
      </c>
      <c r="R372" s="26">
        <v>46218</v>
      </c>
      <c r="S372" s="26">
        <v>46220</v>
      </c>
      <c r="T372" s="31"/>
      <c r="U372" s="30" t="s">
        <v>68</v>
      </c>
      <c r="V372" s="34" t="s">
        <v>70</v>
      </c>
      <c r="W372" s="27" t="s">
        <v>208</v>
      </c>
      <c r="X372" s="30">
        <v>1</v>
      </c>
      <c r="Y372" s="30">
        <v>1</v>
      </c>
      <c r="Z372" s="30">
        <v>1</v>
      </c>
      <c r="AA372" s="30">
        <v>1</v>
      </c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 t="s">
        <v>69</v>
      </c>
      <c r="AP372" s="30" t="s">
        <v>88</v>
      </c>
      <c r="AQ372" s="30"/>
      <c r="AR372" s="36"/>
      <c r="AS372" s="36"/>
      <c r="AT372" s="36"/>
      <c r="AU372" s="36"/>
      <c r="AV372" s="36"/>
      <c r="AW372" s="36"/>
      <c r="AX372" s="36"/>
      <c r="AY372" s="36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27"/>
      <c r="BL372" s="27"/>
    </row>
    <row r="373" spans="1:64">
      <c r="A373" s="25" t="s">
        <v>54</v>
      </c>
      <c r="B373" s="26">
        <v>46217</v>
      </c>
      <c r="C373" s="27">
        <v>30215</v>
      </c>
      <c r="D373" s="27"/>
      <c r="E373" s="27" t="s">
        <v>203</v>
      </c>
      <c r="F373" s="27" t="s">
        <v>59</v>
      </c>
      <c r="G373" s="27" t="s">
        <v>104</v>
      </c>
      <c r="H373" s="30" t="s">
        <v>106</v>
      </c>
      <c r="I373" s="31" t="s">
        <v>463</v>
      </c>
      <c r="J373" s="30" t="s">
        <v>106</v>
      </c>
      <c r="K373" s="27">
        <v>1</v>
      </c>
      <c r="L373" s="27" t="s">
        <v>205</v>
      </c>
      <c r="M373" s="27"/>
      <c r="N373" s="31" t="s">
        <v>95</v>
      </c>
      <c r="O373" s="27"/>
      <c r="P373" s="30"/>
      <c r="Q373" s="30" t="s">
        <v>924</v>
      </c>
      <c r="R373" s="26">
        <v>46220</v>
      </c>
      <c r="S373" s="26">
        <v>46221</v>
      </c>
      <c r="T373" s="31"/>
      <c r="U373" s="30" t="s">
        <v>68</v>
      </c>
      <c r="V373" s="34" t="s">
        <v>70</v>
      </c>
      <c r="W373" s="27" t="s">
        <v>208</v>
      </c>
      <c r="X373" s="30">
        <v>1</v>
      </c>
      <c r="Y373" s="30">
        <v>1</v>
      </c>
      <c r="Z373" s="30">
        <v>1</v>
      </c>
      <c r="AA373" s="30">
        <v>1</v>
      </c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 t="s">
        <v>69</v>
      </c>
      <c r="AP373" s="30" t="s">
        <v>95</v>
      </c>
      <c r="AQ373" s="30"/>
      <c r="AR373" s="36" t="s">
        <v>41</v>
      </c>
      <c r="AS373" s="36"/>
      <c r="AT373" s="36"/>
      <c r="AU373" s="36"/>
      <c r="AV373" s="36"/>
      <c r="AW373" s="36"/>
      <c r="AX373" s="36"/>
      <c r="AY373" s="36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27"/>
      <c r="BL373" s="27"/>
    </row>
    <row r="374" spans="1:64">
      <c r="A374" s="25" t="s">
        <v>54</v>
      </c>
      <c r="B374" s="26">
        <v>46217</v>
      </c>
      <c r="C374" s="27">
        <v>30212</v>
      </c>
      <c r="D374" s="27"/>
      <c r="E374" s="27" t="s">
        <v>212</v>
      </c>
      <c r="F374" s="27" t="s">
        <v>59</v>
      </c>
      <c r="G374" s="27" t="s">
        <v>104</v>
      </c>
      <c r="H374" s="30" t="s">
        <v>538</v>
      </c>
      <c r="I374" s="31" t="s">
        <v>766</v>
      </c>
      <c r="J374" s="30" t="s">
        <v>538</v>
      </c>
      <c r="K374" s="27">
        <v>1</v>
      </c>
      <c r="L374" s="27" t="s">
        <v>205</v>
      </c>
      <c r="M374" s="27"/>
      <c r="N374" s="31" t="s">
        <v>154</v>
      </c>
      <c r="O374" s="27"/>
      <c r="P374" s="30"/>
      <c r="Q374" s="30" t="s">
        <v>66</v>
      </c>
      <c r="R374" s="26">
        <v>46224</v>
      </c>
      <c r="S374" s="26">
        <v>46225</v>
      </c>
      <c r="T374" s="31"/>
      <c r="U374" s="30" t="s">
        <v>68</v>
      </c>
      <c r="V374" s="34" t="s">
        <v>70</v>
      </c>
      <c r="W374" s="27" t="s">
        <v>208</v>
      </c>
      <c r="X374" s="30">
        <v>3</v>
      </c>
      <c r="Y374" s="30">
        <v>1</v>
      </c>
      <c r="Z374" s="30">
        <v>1</v>
      </c>
      <c r="AA374" s="30">
        <v>1</v>
      </c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 t="s">
        <v>69</v>
      </c>
      <c r="AP374" s="30"/>
      <c r="AQ374" s="30"/>
      <c r="AR374" s="36"/>
      <c r="AS374" s="36"/>
      <c r="AT374" s="36"/>
      <c r="AU374" s="36" t="s">
        <v>595</v>
      </c>
      <c r="AV374" s="36" t="s">
        <v>41</v>
      </c>
      <c r="AW374" s="36"/>
      <c r="AX374" s="36"/>
      <c r="AY374" s="36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27"/>
      <c r="BL374" s="27"/>
    </row>
    <row r="375" spans="1:64">
      <c r="A375" s="25" t="s">
        <v>54</v>
      </c>
      <c r="B375" s="26">
        <v>46217</v>
      </c>
      <c r="C375" s="27">
        <v>30217</v>
      </c>
      <c r="D375" s="27"/>
      <c r="E375" s="27" t="s">
        <v>233</v>
      </c>
      <c r="F375" s="27" t="s">
        <v>59</v>
      </c>
      <c r="G375" s="27" t="s">
        <v>104</v>
      </c>
      <c r="H375" s="30" t="s">
        <v>106</v>
      </c>
      <c r="I375" s="31" t="s">
        <v>1233</v>
      </c>
      <c r="J375" s="30" t="s">
        <v>106</v>
      </c>
      <c r="K375" s="27">
        <v>1</v>
      </c>
      <c r="L375" s="27" t="s">
        <v>205</v>
      </c>
      <c r="M375" s="27"/>
      <c r="N375" s="31" t="s">
        <v>95</v>
      </c>
      <c r="O375" s="27"/>
      <c r="P375" s="30"/>
      <c r="Q375" s="30" t="s">
        <v>66</v>
      </c>
      <c r="R375" s="26">
        <v>46220</v>
      </c>
      <c r="S375" s="26">
        <v>46221</v>
      </c>
      <c r="T375" s="31"/>
      <c r="U375" s="30" t="s">
        <v>68</v>
      </c>
      <c r="V375" s="34" t="s">
        <v>70</v>
      </c>
      <c r="W375" s="27" t="s">
        <v>208</v>
      </c>
      <c r="X375" s="30">
        <v>1</v>
      </c>
      <c r="Y375" s="30">
        <v>1</v>
      </c>
      <c r="Z375" s="30">
        <v>1</v>
      </c>
      <c r="AA375" s="30">
        <v>1</v>
      </c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 t="s">
        <v>69</v>
      </c>
      <c r="AP375" s="30" t="s">
        <v>95</v>
      </c>
      <c r="AQ375" s="30"/>
      <c r="AR375" s="36" t="s">
        <v>41</v>
      </c>
      <c r="AS375" s="36"/>
      <c r="AT375" s="36"/>
      <c r="AU375" s="36"/>
      <c r="AV375" s="36"/>
      <c r="AW375" s="36"/>
      <c r="AX375" s="36"/>
      <c r="AY375" s="36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27"/>
      <c r="BL375" s="27"/>
    </row>
    <row r="376" spans="1:64">
      <c r="A376" s="25" t="s">
        <v>54</v>
      </c>
      <c r="B376" s="26">
        <v>46217</v>
      </c>
      <c r="C376" s="27">
        <v>30208</v>
      </c>
      <c r="D376" s="27"/>
      <c r="E376" s="27" t="s">
        <v>212</v>
      </c>
      <c r="F376" s="27" t="s">
        <v>59</v>
      </c>
      <c r="G376" s="27" t="s">
        <v>104</v>
      </c>
      <c r="H376" s="30" t="s">
        <v>170</v>
      </c>
      <c r="I376" s="31" t="s">
        <v>921</v>
      </c>
      <c r="J376" s="30" t="s">
        <v>170</v>
      </c>
      <c r="K376" s="27">
        <v>1</v>
      </c>
      <c r="L376" s="27" t="s">
        <v>214</v>
      </c>
      <c r="M376" s="27"/>
      <c r="N376" s="31" t="s">
        <v>81</v>
      </c>
      <c r="O376" s="27"/>
      <c r="P376" s="30"/>
      <c r="Q376" s="30" t="s">
        <v>66</v>
      </c>
      <c r="R376" s="26">
        <v>46218</v>
      </c>
      <c r="S376" s="26">
        <v>46220</v>
      </c>
      <c r="T376" s="31"/>
      <c r="U376" s="30" t="s">
        <v>68</v>
      </c>
      <c r="V376" s="34" t="s">
        <v>70</v>
      </c>
      <c r="W376" s="27" t="s">
        <v>208</v>
      </c>
      <c r="X376" s="30">
        <v>1</v>
      </c>
      <c r="Y376" s="30">
        <v>1</v>
      </c>
      <c r="Z376" s="30">
        <v>1</v>
      </c>
      <c r="AA376" s="30">
        <v>1</v>
      </c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 t="s">
        <v>69</v>
      </c>
      <c r="AP376" s="30" t="s">
        <v>1234</v>
      </c>
      <c r="AQ376" s="30"/>
      <c r="AR376" s="36"/>
      <c r="AS376" s="36"/>
      <c r="AT376" s="36"/>
      <c r="AU376" s="36"/>
      <c r="AV376" s="36"/>
      <c r="AW376" s="36"/>
      <c r="AX376" s="36"/>
      <c r="AY376" s="36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27"/>
      <c r="BL376" s="27"/>
    </row>
    <row r="377" spans="1:64">
      <c r="A377" s="25" t="s">
        <v>54</v>
      </c>
      <c r="B377" s="26">
        <v>46217</v>
      </c>
      <c r="C377" s="27">
        <v>30210</v>
      </c>
      <c r="D377" s="27"/>
      <c r="E377" s="27" t="s">
        <v>212</v>
      </c>
      <c r="F377" s="27" t="s">
        <v>59</v>
      </c>
      <c r="G377" s="27" t="s">
        <v>104</v>
      </c>
      <c r="H377" s="30" t="s">
        <v>60</v>
      </c>
      <c r="I377" s="31" t="s">
        <v>647</v>
      </c>
      <c r="J377" s="30" t="s">
        <v>60</v>
      </c>
      <c r="K377" s="27">
        <v>1</v>
      </c>
      <c r="L377" s="27" t="s">
        <v>205</v>
      </c>
      <c r="M377" s="27"/>
      <c r="N377" s="31" t="s">
        <v>81</v>
      </c>
      <c r="O377" s="27"/>
      <c r="P377" s="30"/>
      <c r="Q377" s="30" t="s">
        <v>66</v>
      </c>
      <c r="R377" s="26">
        <v>46221</v>
      </c>
      <c r="S377" s="26">
        <v>46223</v>
      </c>
      <c r="T377" s="31"/>
      <c r="U377" s="30" t="s">
        <v>68</v>
      </c>
      <c r="V377" s="34" t="s">
        <v>70</v>
      </c>
      <c r="W377" s="27" t="s">
        <v>208</v>
      </c>
      <c r="X377" s="30">
        <v>3</v>
      </c>
      <c r="Y377" s="30"/>
      <c r="Z377" s="30"/>
      <c r="AA377" s="30">
        <v>1</v>
      </c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 t="s">
        <v>69</v>
      </c>
      <c r="AP377" s="30"/>
      <c r="AQ377" s="30"/>
      <c r="AR377" s="36" t="s">
        <v>81</v>
      </c>
      <c r="AS377" s="36" t="s">
        <v>90</v>
      </c>
      <c r="AT377" s="36"/>
      <c r="AU377" s="36"/>
      <c r="AV377" s="36"/>
      <c r="AW377" s="36"/>
      <c r="AX377" s="36"/>
      <c r="AY377" s="36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27"/>
      <c r="BL377" s="27"/>
    </row>
    <row r="378" spans="1:64">
      <c r="A378" s="25" t="s">
        <v>54</v>
      </c>
      <c r="B378" s="26">
        <v>46217</v>
      </c>
      <c r="C378" s="27">
        <v>30220</v>
      </c>
      <c r="D378" s="27"/>
      <c r="E378" s="27" t="s">
        <v>212</v>
      </c>
      <c r="F378" s="27" t="s">
        <v>59</v>
      </c>
      <c r="G378" s="27" t="s">
        <v>104</v>
      </c>
      <c r="H378" s="30" t="s">
        <v>151</v>
      </c>
      <c r="I378" s="31" t="s">
        <v>485</v>
      </c>
      <c r="J378" s="30" t="s">
        <v>151</v>
      </c>
      <c r="K378" s="27">
        <v>1</v>
      </c>
      <c r="L378" s="27" t="s">
        <v>214</v>
      </c>
      <c r="M378" s="27"/>
      <c r="N378" s="31" t="s">
        <v>455</v>
      </c>
      <c r="O378" s="27"/>
      <c r="P378" s="30"/>
      <c r="Q378" s="30" t="s">
        <v>66</v>
      </c>
      <c r="R378" s="26">
        <v>46219</v>
      </c>
      <c r="S378" s="26">
        <v>46219</v>
      </c>
      <c r="T378" s="31"/>
      <c r="U378" s="30" t="s">
        <v>68</v>
      </c>
      <c r="V378" s="34" t="s">
        <v>70</v>
      </c>
      <c r="W378" s="27" t="s">
        <v>208</v>
      </c>
      <c r="X378" s="30">
        <v>1</v>
      </c>
      <c r="Y378" s="30">
        <v>1</v>
      </c>
      <c r="Z378" s="30">
        <v>1</v>
      </c>
      <c r="AA378" s="30">
        <v>1</v>
      </c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 t="s">
        <v>69</v>
      </c>
      <c r="AP378" s="30" t="s">
        <v>455</v>
      </c>
      <c r="AQ378" s="30" t="s">
        <v>41</v>
      </c>
      <c r="AR378" s="36"/>
      <c r="AS378" s="36"/>
      <c r="AT378" s="36"/>
      <c r="AU378" s="36"/>
      <c r="AV378" s="36"/>
      <c r="AW378" s="36"/>
      <c r="AX378" s="36"/>
      <c r="AY378" s="36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27"/>
      <c r="BL378" s="27"/>
    </row>
    <row r="379" spans="1:64">
      <c r="A379" s="25" t="s">
        <v>54</v>
      </c>
      <c r="B379" s="26">
        <v>46217</v>
      </c>
      <c r="C379" s="27">
        <v>30222</v>
      </c>
      <c r="D379" s="27"/>
      <c r="E379" s="27" t="s">
        <v>203</v>
      </c>
      <c r="F379" s="27" t="s">
        <v>59</v>
      </c>
      <c r="G379" s="27" t="s">
        <v>104</v>
      </c>
      <c r="H379" s="30" t="s">
        <v>309</v>
      </c>
      <c r="I379" s="31" t="s">
        <v>1235</v>
      </c>
      <c r="J379" s="30" t="s">
        <v>170</v>
      </c>
      <c r="K379" s="27">
        <v>1</v>
      </c>
      <c r="L379" s="27" t="s">
        <v>205</v>
      </c>
      <c r="M379" s="27"/>
      <c r="N379" s="31" t="s">
        <v>81</v>
      </c>
      <c r="O379" s="27"/>
      <c r="P379" s="30"/>
      <c r="Q379" s="30" t="s">
        <v>66</v>
      </c>
      <c r="R379" s="26">
        <v>46218</v>
      </c>
      <c r="S379" s="26">
        <v>46220</v>
      </c>
      <c r="T379" s="31"/>
      <c r="U379" s="30" t="s">
        <v>68</v>
      </c>
      <c r="V379" s="34" t="s">
        <v>70</v>
      </c>
      <c r="W379" s="27" t="s">
        <v>208</v>
      </c>
      <c r="X379" s="30">
        <v>1</v>
      </c>
      <c r="Y379" s="30">
        <v>1</v>
      </c>
      <c r="Z379" s="30">
        <v>1</v>
      </c>
      <c r="AA379" s="30">
        <v>1</v>
      </c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 t="s">
        <v>69</v>
      </c>
      <c r="AP379" s="30" t="s">
        <v>88</v>
      </c>
      <c r="AQ379" s="30"/>
      <c r="AR379" s="36"/>
      <c r="AS379" s="36"/>
      <c r="AT379" s="36"/>
      <c r="AU379" s="36"/>
      <c r="AV379" s="36"/>
      <c r="AW379" s="36"/>
      <c r="AX379" s="36"/>
      <c r="AY379" s="36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27"/>
      <c r="BL379" s="27"/>
    </row>
    <row r="380" spans="1:64">
      <c r="A380" s="25" t="s">
        <v>54</v>
      </c>
      <c r="B380" s="26">
        <v>46217</v>
      </c>
      <c r="C380" s="27">
        <v>30205</v>
      </c>
      <c r="D380" s="27"/>
      <c r="E380" s="27" t="s">
        <v>203</v>
      </c>
      <c r="F380" s="27" t="s">
        <v>59</v>
      </c>
      <c r="G380" s="27" t="s">
        <v>104</v>
      </c>
      <c r="H380" s="30" t="s">
        <v>151</v>
      </c>
      <c r="I380" s="31" t="s">
        <v>638</v>
      </c>
      <c r="J380" s="30" t="s">
        <v>151</v>
      </c>
      <c r="K380" s="27">
        <v>1</v>
      </c>
      <c r="L380" s="27" t="s">
        <v>205</v>
      </c>
      <c r="M380" s="27"/>
      <c r="N380" s="31" t="s">
        <v>455</v>
      </c>
      <c r="O380" s="27"/>
      <c r="P380" s="30"/>
      <c r="Q380" s="30" t="s">
        <v>66</v>
      </c>
      <c r="R380" s="26">
        <v>46219</v>
      </c>
      <c r="S380" s="26">
        <v>46219</v>
      </c>
      <c r="T380" s="31"/>
      <c r="U380" s="30" t="s">
        <v>68</v>
      </c>
      <c r="V380" s="34" t="s">
        <v>70</v>
      </c>
      <c r="W380" s="27" t="s">
        <v>208</v>
      </c>
      <c r="X380" s="30">
        <v>1</v>
      </c>
      <c r="Y380" s="30">
        <v>1</v>
      </c>
      <c r="Z380" s="30">
        <v>1</v>
      </c>
      <c r="AA380" s="30">
        <v>1</v>
      </c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 t="s">
        <v>69</v>
      </c>
      <c r="AP380" s="30" t="s">
        <v>455</v>
      </c>
      <c r="AQ380" s="30" t="s">
        <v>41</v>
      </c>
      <c r="AR380" s="36"/>
      <c r="AS380" s="36"/>
      <c r="AT380" s="36"/>
      <c r="AU380" s="36"/>
      <c r="AV380" s="36"/>
      <c r="AW380" s="36"/>
      <c r="AX380" s="36"/>
      <c r="AY380" s="36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27"/>
      <c r="BL380" s="27"/>
    </row>
    <row r="381" spans="1:64">
      <c r="A381" s="25" t="s">
        <v>54</v>
      </c>
      <c r="B381" s="26">
        <v>46217</v>
      </c>
      <c r="C381" s="27">
        <v>30211</v>
      </c>
      <c r="D381" s="27"/>
      <c r="E381" s="27" t="s">
        <v>212</v>
      </c>
      <c r="F381" s="27" t="s">
        <v>59</v>
      </c>
      <c r="G381" s="27" t="s">
        <v>104</v>
      </c>
      <c r="H381" s="30" t="s">
        <v>60</v>
      </c>
      <c r="I381" s="31" t="s">
        <v>927</v>
      </c>
      <c r="J381" s="30" t="s">
        <v>60</v>
      </c>
      <c r="K381" s="27">
        <v>1</v>
      </c>
      <c r="L381" s="27" t="s">
        <v>205</v>
      </c>
      <c r="M381" s="27"/>
      <c r="N381" s="31" t="s">
        <v>81</v>
      </c>
      <c r="O381" s="27"/>
      <c r="P381" s="30"/>
      <c r="Q381" s="30" t="s">
        <v>66</v>
      </c>
      <c r="R381" s="26">
        <v>46221</v>
      </c>
      <c r="S381" s="26">
        <v>46223</v>
      </c>
      <c r="T381" s="31"/>
      <c r="U381" s="30" t="s">
        <v>68</v>
      </c>
      <c r="V381" s="34" t="s">
        <v>70</v>
      </c>
      <c r="W381" s="27" t="s">
        <v>208</v>
      </c>
      <c r="X381" s="30">
        <v>3</v>
      </c>
      <c r="Y381" s="30"/>
      <c r="Z381" s="30"/>
      <c r="AA381" s="30">
        <v>1</v>
      </c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 t="s">
        <v>69</v>
      </c>
      <c r="AP381" s="30"/>
      <c r="AQ381" s="30"/>
      <c r="AR381" s="36" t="s">
        <v>372</v>
      </c>
      <c r="AS381" s="36" t="s">
        <v>41</v>
      </c>
      <c r="AT381" s="36"/>
      <c r="AU381" s="36"/>
      <c r="AV381" s="36"/>
      <c r="AW381" s="36"/>
      <c r="AX381" s="36"/>
      <c r="AY381" s="36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27"/>
      <c r="BL381" s="27"/>
    </row>
    <row r="382" spans="1:64">
      <c r="A382" s="25" t="s">
        <v>54</v>
      </c>
      <c r="B382" s="26">
        <v>46217</v>
      </c>
      <c r="C382" s="27">
        <v>30221</v>
      </c>
      <c r="D382" s="27"/>
      <c r="E382" s="27" t="s">
        <v>212</v>
      </c>
      <c r="F382" s="27" t="s">
        <v>59</v>
      </c>
      <c r="G382" s="27" t="s">
        <v>104</v>
      </c>
      <c r="H382" s="30" t="s">
        <v>28</v>
      </c>
      <c r="I382" s="31" t="s">
        <v>1237</v>
      </c>
      <c r="J382" s="30" t="s">
        <v>28</v>
      </c>
      <c r="K382" s="27">
        <v>1</v>
      </c>
      <c r="L382" s="27" t="s">
        <v>214</v>
      </c>
      <c r="M382" s="27"/>
      <c r="N382" s="31" t="s">
        <v>258</v>
      </c>
      <c r="O382" s="27"/>
      <c r="P382" s="30"/>
      <c r="Q382" s="30" t="s">
        <v>1238</v>
      </c>
      <c r="R382" s="26">
        <v>46218</v>
      </c>
      <c r="S382" s="26">
        <v>46218</v>
      </c>
      <c r="T382" s="31"/>
      <c r="U382" s="30" t="s">
        <v>68</v>
      </c>
      <c r="V382" s="34" t="s">
        <v>70</v>
      </c>
      <c r="W382" s="27" t="s">
        <v>208</v>
      </c>
      <c r="X382" s="30"/>
      <c r="Y382" s="30"/>
      <c r="Z382" s="30"/>
      <c r="AA382" s="30">
        <v>1</v>
      </c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 t="s">
        <v>69</v>
      </c>
      <c r="AP382" s="30" t="s">
        <v>260</v>
      </c>
      <c r="AQ382" s="30"/>
      <c r="AR382" s="36"/>
      <c r="AS382" s="36"/>
      <c r="AT382" s="36"/>
      <c r="AU382" s="36"/>
      <c r="AV382" s="36"/>
      <c r="AW382" s="36"/>
      <c r="AX382" s="36"/>
      <c r="AY382" s="36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27"/>
      <c r="BL382" s="27"/>
    </row>
    <row r="383" spans="1:64">
      <c r="A383" s="25" t="s">
        <v>54</v>
      </c>
      <c r="B383" s="26">
        <v>46217</v>
      </c>
      <c r="C383" s="27">
        <v>30204</v>
      </c>
      <c r="D383" s="27"/>
      <c r="E383" s="27" t="s">
        <v>203</v>
      </c>
      <c r="F383" s="27" t="s">
        <v>59</v>
      </c>
      <c r="G383" s="27" t="s">
        <v>104</v>
      </c>
      <c r="H383" s="30" t="s">
        <v>28</v>
      </c>
      <c r="I383" s="31" t="s">
        <v>653</v>
      </c>
      <c r="J383" s="30" t="s">
        <v>28</v>
      </c>
      <c r="K383" s="27">
        <v>1</v>
      </c>
      <c r="L383" s="27" t="s">
        <v>214</v>
      </c>
      <c r="M383" s="27"/>
      <c r="N383" s="31" t="s">
        <v>258</v>
      </c>
      <c r="O383" s="27"/>
      <c r="P383" s="30"/>
      <c r="Q383" s="30" t="s">
        <v>657</v>
      </c>
      <c r="R383" s="26">
        <v>46218</v>
      </c>
      <c r="S383" s="26">
        <v>46218</v>
      </c>
      <c r="T383" s="31"/>
      <c r="U383" s="30" t="s">
        <v>68</v>
      </c>
      <c r="V383" s="34" t="s">
        <v>70</v>
      </c>
      <c r="W383" s="27" t="s">
        <v>208</v>
      </c>
      <c r="X383" s="30"/>
      <c r="Y383" s="30"/>
      <c r="Z383" s="30"/>
      <c r="AA383" s="30">
        <v>1</v>
      </c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 t="s">
        <v>69</v>
      </c>
      <c r="AP383" s="30" t="s">
        <v>1239</v>
      </c>
      <c r="AQ383" s="30"/>
      <c r="AR383" s="36"/>
      <c r="AS383" s="36"/>
      <c r="AT383" s="36"/>
      <c r="AU383" s="36"/>
      <c r="AV383" s="36"/>
      <c r="AW383" s="36"/>
      <c r="AX383" s="36"/>
      <c r="AY383" s="36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27"/>
      <c r="BL383" s="27"/>
    </row>
    <row r="384" spans="1:64">
      <c r="A384" s="25" t="s">
        <v>54</v>
      </c>
      <c r="B384" s="26">
        <v>46217</v>
      </c>
      <c r="C384" s="27">
        <v>30213</v>
      </c>
      <c r="D384" s="27"/>
      <c r="E384" s="27" t="s">
        <v>212</v>
      </c>
      <c r="F384" s="27" t="s">
        <v>59</v>
      </c>
      <c r="G384" s="27" t="s">
        <v>104</v>
      </c>
      <c r="H384" s="30" t="s">
        <v>144</v>
      </c>
      <c r="I384" s="31" t="s">
        <v>775</v>
      </c>
      <c r="J384" s="30" t="s">
        <v>144</v>
      </c>
      <c r="K384" s="27">
        <v>1</v>
      </c>
      <c r="L384" s="27" t="s">
        <v>205</v>
      </c>
      <c r="M384" s="27"/>
      <c r="N384" s="31" t="s">
        <v>455</v>
      </c>
      <c r="O384" s="27"/>
      <c r="P384" s="30"/>
      <c r="Q384" s="30" t="s">
        <v>66</v>
      </c>
      <c r="R384" s="26">
        <v>46221</v>
      </c>
      <c r="S384" s="26">
        <v>46223</v>
      </c>
      <c r="T384" s="31"/>
      <c r="U384" s="30" t="s">
        <v>68</v>
      </c>
      <c r="V384" s="34" t="s">
        <v>70</v>
      </c>
      <c r="W384" s="27" t="s">
        <v>208</v>
      </c>
      <c r="X384" s="30"/>
      <c r="Y384" s="30"/>
      <c r="Z384" s="30"/>
      <c r="AA384" s="30">
        <v>1</v>
      </c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 t="s">
        <v>69</v>
      </c>
      <c r="AP384" s="30"/>
      <c r="AQ384" s="30" t="s">
        <v>455</v>
      </c>
      <c r="AR384" s="36"/>
      <c r="AS384" s="36" t="s">
        <v>90</v>
      </c>
      <c r="AT384" s="36"/>
      <c r="AU384" s="36"/>
      <c r="AV384" s="36"/>
      <c r="AW384" s="36"/>
      <c r="AX384" s="36"/>
      <c r="AY384" s="36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27"/>
      <c r="BL384" s="27"/>
    </row>
    <row r="385" spans="1:64">
      <c r="A385" s="25" t="s">
        <v>54</v>
      </c>
      <c r="B385" s="26">
        <v>46217</v>
      </c>
      <c r="C385" s="27">
        <v>30202</v>
      </c>
      <c r="D385" s="27"/>
      <c r="E385" s="27" t="s">
        <v>203</v>
      </c>
      <c r="F385" s="27" t="s">
        <v>59</v>
      </c>
      <c r="G385" s="27" t="s">
        <v>104</v>
      </c>
      <c r="H385" s="30" t="s">
        <v>60</v>
      </c>
      <c r="I385" s="31" t="s">
        <v>1240</v>
      </c>
      <c r="J385" s="30" t="s">
        <v>60</v>
      </c>
      <c r="K385" s="27">
        <v>1</v>
      </c>
      <c r="L385" s="27" t="s">
        <v>205</v>
      </c>
      <c r="M385" s="27"/>
      <c r="N385" s="31" t="s">
        <v>81</v>
      </c>
      <c r="O385" s="27"/>
      <c r="P385" s="30"/>
      <c r="Q385" s="30" t="s">
        <v>1241</v>
      </c>
      <c r="R385" s="26">
        <v>46221</v>
      </c>
      <c r="S385" s="26">
        <v>46223</v>
      </c>
      <c r="T385" s="31"/>
      <c r="U385" s="30" t="s">
        <v>68</v>
      </c>
      <c r="V385" s="34" t="s">
        <v>70</v>
      </c>
      <c r="W385" s="27" t="s">
        <v>208</v>
      </c>
      <c r="X385" s="30">
        <v>3</v>
      </c>
      <c r="Y385" s="30">
        <v>1</v>
      </c>
      <c r="Z385" s="30">
        <v>1</v>
      </c>
      <c r="AA385" s="30">
        <v>1</v>
      </c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 t="s">
        <v>69</v>
      </c>
      <c r="AP385" s="30"/>
      <c r="AQ385" s="30"/>
      <c r="AR385" s="36" t="s">
        <v>81</v>
      </c>
      <c r="AS385" s="36" t="s">
        <v>41</v>
      </c>
      <c r="AT385" s="36"/>
      <c r="AU385" s="36"/>
      <c r="AV385" s="36"/>
      <c r="AW385" s="36"/>
      <c r="AX385" s="36"/>
      <c r="AY385" s="36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27"/>
      <c r="BL385" s="27"/>
    </row>
    <row r="386" spans="1:64">
      <c r="A386" s="25" t="s">
        <v>54</v>
      </c>
      <c r="B386" s="26">
        <v>46217</v>
      </c>
      <c r="C386" s="27">
        <v>30218</v>
      </c>
      <c r="D386" s="27"/>
      <c r="E386" s="27" t="s">
        <v>212</v>
      </c>
      <c r="F386" s="27" t="s">
        <v>59</v>
      </c>
      <c r="G386" s="27" t="s">
        <v>104</v>
      </c>
      <c r="H386" s="30" t="s">
        <v>151</v>
      </c>
      <c r="I386" s="31" t="s">
        <v>633</v>
      </c>
      <c r="J386" s="30" t="s">
        <v>151</v>
      </c>
      <c r="K386" s="27">
        <v>1</v>
      </c>
      <c r="L386" s="27" t="s">
        <v>214</v>
      </c>
      <c r="M386" s="27"/>
      <c r="N386" s="31" t="s">
        <v>455</v>
      </c>
      <c r="O386" s="27"/>
      <c r="P386" s="30"/>
      <c r="Q386" s="30" t="s">
        <v>66</v>
      </c>
      <c r="R386" s="26">
        <v>46219</v>
      </c>
      <c r="S386" s="26">
        <v>46219</v>
      </c>
      <c r="T386" s="31"/>
      <c r="U386" s="30" t="s">
        <v>68</v>
      </c>
      <c r="V386" s="34" t="s">
        <v>70</v>
      </c>
      <c r="W386" s="27" t="s">
        <v>208</v>
      </c>
      <c r="X386" s="30">
        <v>1</v>
      </c>
      <c r="Y386" s="30">
        <v>1</v>
      </c>
      <c r="Z386" s="30">
        <v>1</v>
      </c>
      <c r="AA386" s="30">
        <v>1</v>
      </c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 t="s">
        <v>69</v>
      </c>
      <c r="AP386" s="30" t="s">
        <v>455</v>
      </c>
      <c r="AQ386" s="30" t="s">
        <v>41</v>
      </c>
      <c r="AR386" s="36"/>
      <c r="AS386" s="36"/>
      <c r="AT386" s="36"/>
      <c r="AU386" s="36"/>
      <c r="AV386" s="36"/>
      <c r="AW386" s="36"/>
      <c r="AX386" s="36"/>
      <c r="AY386" s="36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27"/>
      <c r="BL386" s="27"/>
    </row>
    <row r="387" spans="1:64">
      <c r="A387" s="25" t="s">
        <v>54</v>
      </c>
      <c r="B387" s="26">
        <v>46217</v>
      </c>
      <c r="C387" s="27">
        <v>30206</v>
      </c>
      <c r="D387" s="27"/>
      <c r="E387" s="27" t="s">
        <v>203</v>
      </c>
      <c r="F387" s="27" t="s">
        <v>59</v>
      </c>
      <c r="G387" s="27" t="s">
        <v>104</v>
      </c>
      <c r="H387" s="30" t="s">
        <v>28</v>
      </c>
      <c r="I387" s="31" t="s">
        <v>1242</v>
      </c>
      <c r="J387" s="30" t="s">
        <v>28</v>
      </c>
      <c r="K387" s="27">
        <v>1</v>
      </c>
      <c r="L387" s="27" t="s">
        <v>205</v>
      </c>
      <c r="M387" s="27"/>
      <c r="N387" s="31" t="s">
        <v>258</v>
      </c>
      <c r="O387" s="27"/>
      <c r="P387" s="30"/>
      <c r="Q387" s="30" t="s">
        <v>1243</v>
      </c>
      <c r="R387" s="26">
        <v>46218</v>
      </c>
      <c r="S387" s="26">
        <v>46218</v>
      </c>
      <c r="T387" s="31"/>
      <c r="U387" s="30" t="s">
        <v>68</v>
      </c>
      <c r="V387" s="34" t="s">
        <v>70</v>
      </c>
      <c r="W387" s="27" t="s">
        <v>208</v>
      </c>
      <c r="X387" s="30"/>
      <c r="Y387" s="30"/>
      <c r="Z387" s="30"/>
      <c r="AA387" s="30">
        <v>1</v>
      </c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 t="s">
        <v>69</v>
      </c>
      <c r="AP387" s="30" t="s">
        <v>260</v>
      </c>
      <c r="AQ387" s="30"/>
      <c r="AR387" s="36"/>
      <c r="AS387" s="36"/>
      <c r="AT387" s="36"/>
      <c r="AU387" s="36"/>
      <c r="AV387" s="36"/>
      <c r="AW387" s="36"/>
      <c r="AX387" s="36"/>
      <c r="AY387" s="36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27"/>
      <c r="BL387" s="27"/>
    </row>
    <row r="388" spans="1:64">
      <c r="A388" s="25" t="s">
        <v>54</v>
      </c>
      <c r="B388" s="26">
        <v>46217</v>
      </c>
      <c r="C388" s="27"/>
      <c r="D388" s="27">
        <v>41842</v>
      </c>
      <c r="E388" s="27" t="s">
        <v>284</v>
      </c>
      <c r="F388" s="27" t="s">
        <v>48</v>
      </c>
      <c r="G388" s="27" t="s">
        <v>110</v>
      </c>
      <c r="H388" s="30" t="s">
        <v>28</v>
      </c>
      <c r="I388" s="31" t="s">
        <v>1244</v>
      </c>
      <c r="J388" s="30" t="s">
        <v>1245</v>
      </c>
      <c r="K388" s="27">
        <v>6</v>
      </c>
      <c r="L388" s="27">
        <v>66</v>
      </c>
      <c r="M388" s="27"/>
      <c r="N388" s="31" t="s">
        <v>81</v>
      </c>
      <c r="O388" s="27"/>
      <c r="P388" s="30"/>
      <c r="Q388" s="30" t="s">
        <v>1246</v>
      </c>
      <c r="R388" s="26">
        <v>46220</v>
      </c>
      <c r="S388" s="26">
        <v>46221</v>
      </c>
      <c r="T388" s="31"/>
      <c r="U388" s="30" t="s">
        <v>68</v>
      </c>
      <c r="V388" s="34" t="s">
        <v>70</v>
      </c>
      <c r="W388" s="27" t="s">
        <v>284</v>
      </c>
      <c r="X388" s="30"/>
      <c r="Y388" s="30"/>
      <c r="Z388" s="30"/>
      <c r="AA388" s="30">
        <v>1</v>
      </c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 t="s">
        <v>1247</v>
      </c>
      <c r="AP388" s="30"/>
      <c r="AQ388" s="30" t="s">
        <v>69</v>
      </c>
      <c r="AR388" s="36" t="s">
        <v>81</v>
      </c>
      <c r="AS388" s="36"/>
      <c r="AT388" s="36"/>
      <c r="AU388" s="36"/>
      <c r="AV388" s="36"/>
      <c r="AW388" s="36"/>
      <c r="AX388" s="36"/>
      <c r="AY388" s="36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27"/>
      <c r="BL388" s="27"/>
    </row>
    <row r="389" spans="1:64">
      <c r="A389" s="25" t="s">
        <v>54</v>
      </c>
      <c r="B389" s="26">
        <v>46217</v>
      </c>
      <c r="C389" s="27"/>
      <c r="D389" s="27">
        <v>44254</v>
      </c>
      <c r="E389" s="27" t="s">
        <v>284</v>
      </c>
      <c r="F389" s="27" t="s">
        <v>48</v>
      </c>
      <c r="G389" s="27" t="s">
        <v>110</v>
      </c>
      <c r="H389" s="30" t="s">
        <v>1248</v>
      </c>
      <c r="I389" s="31" t="s">
        <v>1249</v>
      </c>
      <c r="J389" s="30" t="s">
        <v>1250</v>
      </c>
      <c r="K389" s="27">
        <v>3</v>
      </c>
      <c r="L389" s="27">
        <v>18</v>
      </c>
      <c r="M389" s="27"/>
      <c r="N389" s="31" t="s">
        <v>318</v>
      </c>
      <c r="O389" s="27"/>
      <c r="P389" s="30"/>
      <c r="Q389" s="30" t="s">
        <v>1251</v>
      </c>
      <c r="R389" s="26">
        <v>46220</v>
      </c>
      <c r="S389" s="26">
        <v>46223</v>
      </c>
      <c r="T389" s="31"/>
      <c r="U389" s="30" t="s">
        <v>68</v>
      </c>
      <c r="V389" s="34" t="s">
        <v>70</v>
      </c>
      <c r="W389" s="27" t="s">
        <v>284</v>
      </c>
      <c r="X389" s="30">
        <v>1</v>
      </c>
      <c r="Y389" s="30">
        <v>1</v>
      </c>
      <c r="Z389" s="30">
        <v>1</v>
      </c>
      <c r="AA389" s="30">
        <v>1</v>
      </c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 t="s">
        <v>1247</v>
      </c>
      <c r="AP389" s="30" t="s">
        <v>321</v>
      </c>
      <c r="AQ389" s="30"/>
      <c r="AR389" s="36" t="s">
        <v>1252</v>
      </c>
      <c r="AS389" s="36"/>
      <c r="AT389" s="36"/>
      <c r="AU389" s="36"/>
      <c r="AV389" s="36"/>
      <c r="AW389" s="36"/>
      <c r="AX389" s="36"/>
      <c r="AY389" s="36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27"/>
      <c r="BL389" s="27"/>
    </row>
    <row r="390" spans="1:64">
      <c r="A390" s="25" t="s">
        <v>54</v>
      </c>
      <c r="B390" s="26">
        <v>46217</v>
      </c>
      <c r="C390" s="27"/>
      <c r="D390" s="27">
        <v>137543</v>
      </c>
      <c r="E390" s="27" t="s">
        <v>284</v>
      </c>
      <c r="F390" s="27" t="s">
        <v>48</v>
      </c>
      <c r="G390" s="27" t="s">
        <v>110</v>
      </c>
      <c r="H390" s="30" t="s">
        <v>940</v>
      </c>
      <c r="I390" s="31" t="s">
        <v>1253</v>
      </c>
      <c r="J390" s="30" t="s">
        <v>1254</v>
      </c>
      <c r="K390" s="27">
        <v>4</v>
      </c>
      <c r="L390" s="27">
        <v>112</v>
      </c>
      <c r="M390" s="27"/>
      <c r="N390" s="31" t="s">
        <v>94</v>
      </c>
      <c r="O390" s="27"/>
      <c r="P390" s="30"/>
      <c r="Q390" s="30" t="s">
        <v>1255</v>
      </c>
      <c r="R390" s="26">
        <v>46220</v>
      </c>
      <c r="S390" s="26">
        <v>46223</v>
      </c>
      <c r="T390" s="31"/>
      <c r="U390" s="30" t="s">
        <v>68</v>
      </c>
      <c r="V390" s="34" t="s">
        <v>70</v>
      </c>
      <c r="W390" s="27" t="s">
        <v>284</v>
      </c>
      <c r="X390" s="30">
        <v>1</v>
      </c>
      <c r="Y390" s="30">
        <v>1</v>
      </c>
      <c r="Z390" s="30">
        <v>1</v>
      </c>
      <c r="AA390" s="30">
        <v>1</v>
      </c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 t="s">
        <v>1247</v>
      </c>
      <c r="AP390" s="30"/>
      <c r="AQ390" s="30" t="s">
        <v>1256</v>
      </c>
      <c r="AR390" s="36" t="s">
        <v>41</v>
      </c>
      <c r="AS390" s="36"/>
      <c r="AT390" s="36"/>
      <c r="AU390" s="36"/>
      <c r="AV390" s="36"/>
      <c r="AW390" s="36"/>
      <c r="AX390" s="36"/>
      <c r="AY390" s="36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27"/>
      <c r="BL390" s="27"/>
    </row>
    <row r="391" spans="1:64">
      <c r="A391" s="25" t="s">
        <v>54</v>
      </c>
      <c r="B391" s="26">
        <v>46217</v>
      </c>
      <c r="C391" s="27"/>
      <c r="D391" s="27">
        <v>44654</v>
      </c>
      <c r="E391" s="27" t="s">
        <v>284</v>
      </c>
      <c r="F391" s="27" t="s">
        <v>48</v>
      </c>
      <c r="G391" s="27" t="s">
        <v>110</v>
      </c>
      <c r="H391" s="30" t="s">
        <v>412</v>
      </c>
      <c r="I391" s="31" t="s">
        <v>1113</v>
      </c>
      <c r="J391" s="30" t="s">
        <v>1257</v>
      </c>
      <c r="K391" s="27">
        <v>1</v>
      </c>
      <c r="L391" s="27">
        <v>1</v>
      </c>
      <c r="M391" s="48">
        <v>46270</v>
      </c>
      <c r="N391" s="31" t="s">
        <v>94</v>
      </c>
      <c r="O391" s="27"/>
      <c r="P391" s="30"/>
      <c r="Q391" s="30" t="s">
        <v>660</v>
      </c>
      <c r="R391" s="26">
        <v>46220</v>
      </c>
      <c r="S391" s="26">
        <v>46223</v>
      </c>
      <c r="T391" s="31"/>
      <c r="U391" s="30" t="s">
        <v>68</v>
      </c>
      <c r="V391" s="34" t="s">
        <v>70</v>
      </c>
      <c r="W391" s="27" t="s">
        <v>284</v>
      </c>
      <c r="X391" s="30">
        <v>1</v>
      </c>
      <c r="Y391" s="30">
        <v>1</v>
      </c>
      <c r="Z391" s="30">
        <v>1</v>
      </c>
      <c r="AA391" s="30">
        <v>1</v>
      </c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 t="s">
        <v>1247</v>
      </c>
      <c r="AP391" s="30"/>
      <c r="AQ391" s="30" t="s">
        <v>1256</v>
      </c>
      <c r="AR391" s="36" t="s">
        <v>41</v>
      </c>
      <c r="AS391" s="36"/>
      <c r="AT391" s="36"/>
      <c r="AU391" s="36"/>
      <c r="AV391" s="36"/>
      <c r="AW391" s="36"/>
      <c r="AX391" s="36"/>
      <c r="AY391" s="36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27"/>
      <c r="BL391" s="27"/>
    </row>
    <row r="392" spans="1:64">
      <c r="A392" s="25" t="s">
        <v>54</v>
      </c>
      <c r="B392" s="26">
        <v>46217</v>
      </c>
      <c r="C392" s="27"/>
      <c r="D392" s="27">
        <v>44096</v>
      </c>
      <c r="E392" s="27" t="s">
        <v>284</v>
      </c>
      <c r="F392" s="27" t="s">
        <v>48</v>
      </c>
      <c r="G392" s="27" t="s">
        <v>110</v>
      </c>
      <c r="H392" s="30" t="s">
        <v>116</v>
      </c>
      <c r="I392" s="31" t="s">
        <v>1259</v>
      </c>
      <c r="J392" s="30" t="s">
        <v>1260</v>
      </c>
      <c r="K392" s="27">
        <v>1</v>
      </c>
      <c r="L392" s="27">
        <v>2</v>
      </c>
      <c r="M392" s="27"/>
      <c r="N392" s="31" t="s">
        <v>247</v>
      </c>
      <c r="O392" s="27"/>
      <c r="P392" s="30"/>
      <c r="Q392" s="30" t="s">
        <v>66</v>
      </c>
      <c r="R392" s="26">
        <v>46220</v>
      </c>
      <c r="S392" s="26">
        <v>46221</v>
      </c>
      <c r="T392" s="31"/>
      <c r="U392" s="30" t="s">
        <v>32</v>
      </c>
      <c r="V392" s="34" t="s">
        <v>33</v>
      </c>
      <c r="W392" s="27" t="s">
        <v>284</v>
      </c>
      <c r="X392" s="30">
        <v>1</v>
      </c>
      <c r="Y392" s="30">
        <v>1</v>
      </c>
      <c r="Z392" s="30">
        <v>1</v>
      </c>
      <c r="AA392" s="30">
        <v>1</v>
      </c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 t="s">
        <v>1247</v>
      </c>
      <c r="AP392" s="30" t="s">
        <v>321</v>
      </c>
      <c r="AQ392" s="30"/>
      <c r="AR392" s="36" t="s">
        <v>251</v>
      </c>
      <c r="AS392" s="36"/>
      <c r="AT392" s="36"/>
      <c r="AU392" s="36"/>
      <c r="AV392" s="36"/>
      <c r="AW392" s="36"/>
      <c r="AX392" s="36"/>
      <c r="AY392" s="36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27"/>
      <c r="BL392" s="27"/>
    </row>
    <row r="393" spans="1:64">
      <c r="A393" s="25" t="s">
        <v>187</v>
      </c>
      <c r="B393" s="26">
        <v>46217</v>
      </c>
      <c r="C393" s="27">
        <v>30334</v>
      </c>
      <c r="D393" s="27"/>
      <c r="E393" s="27" t="s">
        <v>883</v>
      </c>
      <c r="F393" s="27" t="s">
        <v>59</v>
      </c>
      <c r="G393" s="27" t="s">
        <v>60</v>
      </c>
      <c r="H393" s="30" t="s">
        <v>1261</v>
      </c>
      <c r="I393" s="31" t="s">
        <v>1262</v>
      </c>
      <c r="J393" s="30" t="s">
        <v>1263</v>
      </c>
      <c r="K393" s="27">
        <v>2</v>
      </c>
      <c r="L393" s="27">
        <v>35</v>
      </c>
      <c r="M393" s="27">
        <v>111</v>
      </c>
      <c r="N393" s="31"/>
      <c r="O393" s="27" t="s">
        <v>1264</v>
      </c>
      <c r="P393" s="30"/>
      <c r="Q393" s="30" t="s">
        <v>1265</v>
      </c>
      <c r="R393" s="26">
        <v>46230</v>
      </c>
      <c r="S393" s="27"/>
      <c r="T393" s="31"/>
      <c r="U393" s="30" t="s">
        <v>419</v>
      </c>
      <c r="V393" s="34" t="s">
        <v>90</v>
      </c>
      <c r="W393" s="27" t="s">
        <v>1266</v>
      </c>
      <c r="X393" s="30">
        <v>1</v>
      </c>
      <c r="Y393" s="30">
        <v>1</v>
      </c>
      <c r="Z393" s="30">
        <v>1</v>
      </c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 t="s">
        <v>69</v>
      </c>
      <c r="AP393" s="30" t="s">
        <v>1264</v>
      </c>
      <c r="AQ393" s="30" t="s">
        <v>1212</v>
      </c>
      <c r="AR393" s="36"/>
      <c r="AS393" s="36"/>
      <c r="AT393" s="36"/>
      <c r="AU393" s="36"/>
      <c r="AV393" s="36" t="s">
        <v>1267</v>
      </c>
      <c r="AW393" s="36"/>
      <c r="AX393" s="36"/>
      <c r="AY393" s="36"/>
      <c r="AZ393" s="30"/>
      <c r="BA393" s="30"/>
      <c r="BB393" s="30" t="s">
        <v>90</v>
      </c>
      <c r="BC393" s="30"/>
      <c r="BD393" s="30"/>
      <c r="BE393" s="30"/>
      <c r="BF393" s="30"/>
      <c r="BG393" s="30"/>
      <c r="BH393" s="30"/>
      <c r="BI393" s="30"/>
      <c r="BJ393" s="30"/>
      <c r="BK393" s="27"/>
      <c r="BL393" s="27"/>
    </row>
    <row r="394" spans="1:64">
      <c r="A394" s="25" t="s">
        <v>54</v>
      </c>
      <c r="B394" s="26">
        <v>46217</v>
      </c>
      <c r="C394" s="27">
        <v>29135</v>
      </c>
      <c r="D394" s="27"/>
      <c r="E394" s="27" t="s">
        <v>58</v>
      </c>
      <c r="F394" s="27" t="s">
        <v>48</v>
      </c>
      <c r="G394" s="27" t="s">
        <v>110</v>
      </c>
      <c r="H394" s="30" t="s">
        <v>403</v>
      </c>
      <c r="I394" s="31" t="s">
        <v>1268</v>
      </c>
      <c r="J394" s="30" t="s">
        <v>1269</v>
      </c>
      <c r="K394" s="27">
        <v>7</v>
      </c>
      <c r="L394" s="27" t="s">
        <v>1270</v>
      </c>
      <c r="M394" s="27"/>
      <c r="N394" s="31" t="s">
        <v>124</v>
      </c>
      <c r="O394" s="27"/>
      <c r="P394" s="30"/>
      <c r="Q394" s="30" t="s">
        <v>66</v>
      </c>
      <c r="R394" s="26">
        <v>46219</v>
      </c>
      <c r="S394" s="26">
        <v>46223</v>
      </c>
      <c r="T394" s="31"/>
      <c r="U394" s="30" t="s">
        <v>68</v>
      </c>
      <c r="V394" s="34" t="s">
        <v>70</v>
      </c>
      <c r="W394" s="27" t="s">
        <v>71</v>
      </c>
      <c r="X394" s="30">
        <v>1</v>
      </c>
      <c r="Y394" s="30">
        <v>1</v>
      </c>
      <c r="Z394" s="30">
        <v>1</v>
      </c>
      <c r="AA394" s="30">
        <v>2</v>
      </c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 t="s">
        <v>124</v>
      </c>
      <c r="AP394" s="30"/>
      <c r="AQ394" s="30" t="s">
        <v>41</v>
      </c>
      <c r="AR394" s="36"/>
      <c r="AS394" s="36"/>
      <c r="AT394" s="36"/>
      <c r="AU394" s="36"/>
      <c r="AV394" s="36"/>
      <c r="AW394" s="36"/>
      <c r="AX394" s="36"/>
      <c r="AY394" s="36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27"/>
      <c r="BL394" s="27"/>
    </row>
    <row r="395" spans="1:64">
      <c r="A395" s="25" t="s">
        <v>54</v>
      </c>
      <c r="B395" s="26">
        <v>46217</v>
      </c>
      <c r="C395" s="27">
        <v>29132</v>
      </c>
      <c r="D395" s="27"/>
      <c r="E395" s="27" t="s">
        <v>58</v>
      </c>
      <c r="F395" s="27" t="s">
        <v>48</v>
      </c>
      <c r="G395" s="27" t="s">
        <v>110</v>
      </c>
      <c r="H395" s="30" t="s">
        <v>403</v>
      </c>
      <c r="I395" s="31" t="s">
        <v>1271</v>
      </c>
      <c r="J395" s="30" t="s">
        <v>1272</v>
      </c>
      <c r="K395" s="27">
        <v>25</v>
      </c>
      <c r="L395" s="27">
        <v>120</v>
      </c>
      <c r="M395" s="27"/>
      <c r="N395" s="31" t="s">
        <v>124</v>
      </c>
      <c r="O395" s="27"/>
      <c r="P395" s="30"/>
      <c r="Q395" s="30" t="s">
        <v>66</v>
      </c>
      <c r="R395" s="26">
        <v>46219</v>
      </c>
      <c r="S395" s="26">
        <v>46223</v>
      </c>
      <c r="T395" s="31"/>
      <c r="U395" s="30" t="s">
        <v>68</v>
      </c>
      <c r="V395" s="34" t="s">
        <v>70</v>
      </c>
      <c r="W395" s="27" t="s">
        <v>71</v>
      </c>
      <c r="X395" s="30">
        <v>1</v>
      </c>
      <c r="Y395" s="30">
        <v>1</v>
      </c>
      <c r="Z395" s="30">
        <v>1</v>
      </c>
      <c r="AA395" s="30">
        <v>2</v>
      </c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 t="s">
        <v>124</v>
      </c>
      <c r="AP395" s="30"/>
      <c r="AQ395" s="30" t="s">
        <v>41</v>
      </c>
      <c r="AR395" s="36"/>
      <c r="AS395" s="36"/>
      <c r="AT395" s="36"/>
      <c r="AU395" s="36"/>
      <c r="AV395" s="36"/>
      <c r="AW395" s="36"/>
      <c r="AX395" s="36"/>
      <c r="AY395" s="36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27"/>
      <c r="BL395" s="27"/>
    </row>
    <row r="396" spans="1:64">
      <c r="A396" s="25" t="s">
        <v>54</v>
      </c>
      <c r="B396" s="26">
        <v>46217</v>
      </c>
      <c r="C396" s="27">
        <v>29133</v>
      </c>
      <c r="D396" s="27"/>
      <c r="E396" s="27" t="s">
        <v>58</v>
      </c>
      <c r="F396" s="27" t="s">
        <v>48</v>
      </c>
      <c r="G396" s="27" t="s">
        <v>110</v>
      </c>
      <c r="H396" s="30" t="s">
        <v>266</v>
      </c>
      <c r="I396" s="31" t="s">
        <v>1273</v>
      </c>
      <c r="J396" s="30" t="s">
        <v>1274</v>
      </c>
      <c r="K396" s="27">
        <v>43</v>
      </c>
      <c r="L396" s="27" t="s">
        <v>1275</v>
      </c>
      <c r="M396" s="27"/>
      <c r="N396" s="31" t="s">
        <v>846</v>
      </c>
      <c r="O396" s="27"/>
      <c r="P396" s="30"/>
      <c r="Q396" s="30" t="s">
        <v>66</v>
      </c>
      <c r="R396" s="26">
        <v>46224</v>
      </c>
      <c r="S396" s="26">
        <v>46226</v>
      </c>
      <c r="T396" s="31"/>
      <c r="U396" s="30" t="s">
        <v>68</v>
      </c>
      <c r="V396" s="34" t="s">
        <v>70</v>
      </c>
      <c r="W396" s="27" t="s">
        <v>71</v>
      </c>
      <c r="X396" s="30">
        <v>1</v>
      </c>
      <c r="Y396" s="30">
        <v>1</v>
      </c>
      <c r="Z396" s="30">
        <v>1</v>
      </c>
      <c r="AA396" s="30">
        <v>2</v>
      </c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 t="s">
        <v>118</v>
      </c>
      <c r="AP396" s="30"/>
      <c r="AQ396" s="30"/>
      <c r="AR396" s="36"/>
      <c r="AS396" s="36"/>
      <c r="AT396" s="36"/>
      <c r="AU396" s="36" t="s">
        <v>846</v>
      </c>
      <c r="AV396" s="36" t="s">
        <v>41</v>
      </c>
      <c r="AW396" s="36"/>
      <c r="AX396" s="36"/>
      <c r="AY396" s="36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27"/>
      <c r="BL396" s="27"/>
    </row>
    <row r="397" spans="1:64">
      <c r="A397" s="25" t="s">
        <v>187</v>
      </c>
      <c r="B397" s="26">
        <v>46217</v>
      </c>
      <c r="C397" s="27">
        <v>29134</v>
      </c>
      <c r="D397" s="27"/>
      <c r="E397" s="27" t="s">
        <v>58</v>
      </c>
      <c r="F397" s="27" t="s">
        <v>48</v>
      </c>
      <c r="G397" s="27" t="s">
        <v>110</v>
      </c>
      <c r="H397" s="30" t="s">
        <v>1276</v>
      </c>
      <c r="I397" s="31" t="s">
        <v>1277</v>
      </c>
      <c r="J397" s="30" t="s">
        <v>1278</v>
      </c>
      <c r="K397" s="27">
        <v>20</v>
      </c>
      <c r="L397" s="27">
        <v>96</v>
      </c>
      <c r="M397" s="27"/>
      <c r="N397" s="31"/>
      <c r="O397" s="27" t="s">
        <v>272</v>
      </c>
      <c r="P397" s="30"/>
      <c r="Q397" s="30" t="s">
        <v>66</v>
      </c>
      <c r="R397" s="26">
        <v>46225</v>
      </c>
      <c r="S397" s="62">
        <v>46238</v>
      </c>
      <c r="T397" s="31"/>
      <c r="U397" s="30" t="s">
        <v>68</v>
      </c>
      <c r="V397" s="34" t="s">
        <v>70</v>
      </c>
      <c r="W397" s="27" t="s">
        <v>71</v>
      </c>
      <c r="X397" s="30">
        <v>1</v>
      </c>
      <c r="Y397" s="30">
        <v>1</v>
      </c>
      <c r="Z397" s="30">
        <v>1</v>
      </c>
      <c r="AA397" s="30">
        <v>2</v>
      </c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 t="s">
        <v>118</v>
      </c>
      <c r="AP397" s="30"/>
      <c r="AQ397" s="30" t="s">
        <v>272</v>
      </c>
      <c r="AR397" s="36"/>
      <c r="AS397" s="36"/>
      <c r="AT397" s="36"/>
      <c r="AU397" s="36"/>
      <c r="AV397" s="36"/>
      <c r="AW397" s="36" t="s">
        <v>90</v>
      </c>
      <c r="AX397" s="36"/>
      <c r="AY397" s="36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27"/>
      <c r="BL397" s="27"/>
    </row>
    <row r="398" spans="1:64">
      <c r="A398" s="25" t="s">
        <v>54</v>
      </c>
      <c r="B398" s="26">
        <v>46218</v>
      </c>
      <c r="C398" s="27">
        <v>30324</v>
      </c>
      <c r="D398" s="27"/>
      <c r="E398" s="27" t="s">
        <v>1279</v>
      </c>
      <c r="F398" s="27" t="s">
        <v>59</v>
      </c>
      <c r="G398" s="27" t="s">
        <v>60</v>
      </c>
      <c r="H398" s="30" t="s">
        <v>121</v>
      </c>
      <c r="I398" s="31" t="s">
        <v>1280</v>
      </c>
      <c r="J398" s="30" t="s">
        <v>1281</v>
      </c>
      <c r="K398" s="27">
        <v>2</v>
      </c>
      <c r="L398" s="27">
        <v>120</v>
      </c>
      <c r="M398" s="27"/>
      <c r="N398" s="31" t="s">
        <v>846</v>
      </c>
      <c r="O398" s="27"/>
      <c r="P398" s="30"/>
      <c r="Q398" s="30" t="s">
        <v>66</v>
      </c>
      <c r="R398" s="26">
        <v>46223</v>
      </c>
      <c r="S398" s="26">
        <v>46226</v>
      </c>
      <c r="T398" s="31"/>
      <c r="U398" s="30" t="s">
        <v>68</v>
      </c>
      <c r="V398" s="34" t="s">
        <v>70</v>
      </c>
      <c r="W398" s="27" t="s">
        <v>1282</v>
      </c>
      <c r="X398" s="30">
        <v>1</v>
      </c>
      <c r="Y398" s="30">
        <v>1</v>
      </c>
      <c r="Z398" s="30">
        <v>1</v>
      </c>
      <c r="AA398" s="30">
        <v>2</v>
      </c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 t="s">
        <v>87</v>
      </c>
      <c r="AQ398" s="30" t="s">
        <v>115</v>
      </c>
      <c r="AR398" s="36"/>
      <c r="AS398" s="36"/>
      <c r="AT398" s="36" t="s">
        <v>600</v>
      </c>
      <c r="AU398" s="36" t="s">
        <v>1283</v>
      </c>
      <c r="AV398" s="36"/>
      <c r="AW398" s="36"/>
      <c r="AX398" s="36"/>
      <c r="AY398" s="36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27"/>
      <c r="BL398" s="27"/>
    </row>
    <row r="399" spans="1:64">
      <c r="A399" s="25" t="s">
        <v>187</v>
      </c>
      <c r="B399" s="26">
        <v>46218</v>
      </c>
      <c r="C399" s="27">
        <v>29676</v>
      </c>
      <c r="D399" s="27"/>
      <c r="E399" s="27" t="s">
        <v>822</v>
      </c>
      <c r="F399" s="27" t="s">
        <v>59</v>
      </c>
      <c r="G399" s="27" t="s">
        <v>28</v>
      </c>
      <c r="H399" s="30" t="s">
        <v>189</v>
      </c>
      <c r="I399" s="31" t="s">
        <v>1284</v>
      </c>
      <c r="J399" s="30" t="s">
        <v>1285</v>
      </c>
      <c r="K399" s="27">
        <v>4</v>
      </c>
      <c r="L399" s="27"/>
      <c r="M399" s="27"/>
      <c r="N399" s="31" t="s">
        <v>94</v>
      </c>
      <c r="O399" s="27"/>
      <c r="P399" s="30"/>
      <c r="Q399" s="30" t="s">
        <v>66</v>
      </c>
      <c r="R399" s="26">
        <v>46221</v>
      </c>
      <c r="S399" s="26">
        <v>46223</v>
      </c>
      <c r="T399" s="31" t="s">
        <v>346</v>
      </c>
      <c r="U399" s="30" t="s">
        <v>68</v>
      </c>
      <c r="V399" s="34" t="s">
        <v>70</v>
      </c>
      <c r="W399" s="27" t="s">
        <v>826</v>
      </c>
      <c r="X399" s="30">
        <v>1</v>
      </c>
      <c r="Y399" s="30">
        <v>1</v>
      </c>
      <c r="Z399" s="30">
        <v>1</v>
      </c>
      <c r="AA399" s="30">
        <v>1</v>
      </c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 t="s">
        <v>87</v>
      </c>
      <c r="AQ399" s="30" t="s">
        <v>94</v>
      </c>
      <c r="AR399" s="36"/>
      <c r="AS399" s="36" t="s">
        <v>41</v>
      </c>
      <c r="AT399" s="36"/>
      <c r="AU399" s="36"/>
      <c r="AV399" s="36"/>
      <c r="AW399" s="36"/>
      <c r="AX399" s="36"/>
      <c r="AY399" s="36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27"/>
      <c r="BL399" s="27"/>
    </row>
    <row r="400" spans="1:64">
      <c r="A400" s="25" t="s">
        <v>54</v>
      </c>
      <c r="B400" s="26">
        <v>46218</v>
      </c>
      <c r="C400" s="27">
        <v>30325</v>
      </c>
      <c r="D400" s="27"/>
      <c r="E400" s="27" t="s">
        <v>822</v>
      </c>
      <c r="F400" s="27" t="s">
        <v>59</v>
      </c>
      <c r="G400" s="27" t="s">
        <v>28</v>
      </c>
      <c r="H400" s="30" t="s">
        <v>170</v>
      </c>
      <c r="I400" s="31" t="s">
        <v>1286</v>
      </c>
      <c r="J400" s="30" t="s">
        <v>1287</v>
      </c>
      <c r="K400" s="27">
        <v>2</v>
      </c>
      <c r="L400" s="27"/>
      <c r="M400" s="27"/>
      <c r="N400" s="31" t="s">
        <v>1114</v>
      </c>
      <c r="O400" s="27"/>
      <c r="P400" s="30"/>
      <c r="Q400" s="30" t="s">
        <v>66</v>
      </c>
      <c r="R400" s="26">
        <v>46221</v>
      </c>
      <c r="S400" s="26">
        <v>46223</v>
      </c>
      <c r="T400" s="31" t="s">
        <v>346</v>
      </c>
      <c r="U400" s="30" t="s">
        <v>32</v>
      </c>
      <c r="V400" s="34" t="s">
        <v>33</v>
      </c>
      <c r="W400" s="27" t="s">
        <v>826</v>
      </c>
      <c r="X400" s="30">
        <v>1</v>
      </c>
      <c r="Y400" s="30">
        <v>1</v>
      </c>
      <c r="Z400" s="30">
        <v>1</v>
      </c>
      <c r="AA400" s="30">
        <v>1</v>
      </c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 t="s">
        <v>87</v>
      </c>
      <c r="AQ400" s="30" t="s">
        <v>1114</v>
      </c>
      <c r="AR400" s="36"/>
      <c r="AS400" s="36" t="s">
        <v>41</v>
      </c>
      <c r="AT400" s="36"/>
      <c r="AU400" s="36"/>
      <c r="AV400" s="36"/>
      <c r="AW400" s="36"/>
      <c r="AX400" s="36"/>
      <c r="AY400" s="36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27"/>
      <c r="BL400" s="27"/>
    </row>
    <row r="401" spans="1:64">
      <c r="A401" s="25" t="s">
        <v>187</v>
      </c>
      <c r="B401" s="26">
        <v>46218</v>
      </c>
      <c r="C401" s="27">
        <v>29677</v>
      </c>
      <c r="D401" s="27"/>
      <c r="E401" s="27" t="s">
        <v>367</v>
      </c>
      <c r="F401" s="27" t="s">
        <v>59</v>
      </c>
      <c r="G401" s="27" t="s">
        <v>104</v>
      </c>
      <c r="H401" s="30" t="s">
        <v>480</v>
      </c>
      <c r="I401" s="31" t="s">
        <v>1288</v>
      </c>
      <c r="J401" s="30" t="s">
        <v>1289</v>
      </c>
      <c r="K401" s="27">
        <v>15</v>
      </c>
      <c r="L401" s="27">
        <v>526.5</v>
      </c>
      <c r="M401" s="27"/>
      <c r="N401" s="31"/>
      <c r="O401" s="27" t="s">
        <v>272</v>
      </c>
      <c r="P401" s="30"/>
      <c r="Q401" s="30"/>
      <c r="R401" s="27"/>
      <c r="S401" s="27"/>
      <c r="T401" s="59" t="s">
        <v>625</v>
      </c>
      <c r="U401" s="30" t="s">
        <v>626</v>
      </c>
      <c r="V401" s="34" t="s">
        <v>627</v>
      </c>
      <c r="W401" s="27" t="s">
        <v>208</v>
      </c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 t="s">
        <v>87</v>
      </c>
      <c r="AQ401" s="30"/>
      <c r="AR401" s="36"/>
      <c r="AS401" s="36"/>
      <c r="AT401" s="36"/>
      <c r="AU401" s="36"/>
      <c r="AV401" s="36"/>
      <c r="AW401" s="36"/>
      <c r="AX401" s="36" t="s">
        <v>504</v>
      </c>
      <c r="AY401" s="36"/>
      <c r="AZ401" s="30" t="s">
        <v>469</v>
      </c>
      <c r="BA401" s="30"/>
      <c r="BB401" s="30"/>
      <c r="BC401" s="27" t="s">
        <v>272</v>
      </c>
      <c r="BD401" s="30"/>
      <c r="BE401" s="30"/>
      <c r="BF401" s="30"/>
      <c r="BG401" s="30"/>
      <c r="BH401" s="30"/>
      <c r="BI401" s="30"/>
      <c r="BJ401" s="30"/>
      <c r="BK401" s="27"/>
      <c r="BL401" s="27"/>
    </row>
    <row r="402" spans="1:64">
      <c r="A402" s="25" t="s">
        <v>54</v>
      </c>
      <c r="B402" s="26">
        <v>46218</v>
      </c>
      <c r="C402" s="27">
        <v>30225</v>
      </c>
      <c r="D402" s="27"/>
      <c r="E402" s="27" t="s">
        <v>203</v>
      </c>
      <c r="F402" s="27" t="s">
        <v>59</v>
      </c>
      <c r="G402" s="27" t="s">
        <v>104</v>
      </c>
      <c r="H402" s="30" t="s">
        <v>60</v>
      </c>
      <c r="I402" s="31" t="s">
        <v>1290</v>
      </c>
      <c r="J402" s="30" t="s">
        <v>60</v>
      </c>
      <c r="K402" s="27">
        <v>1</v>
      </c>
      <c r="L402" s="27" t="s">
        <v>205</v>
      </c>
      <c r="M402" s="27"/>
      <c r="N402" s="31" t="s">
        <v>81</v>
      </c>
      <c r="O402" s="27"/>
      <c r="P402" s="30"/>
      <c r="Q402" s="30" t="s">
        <v>865</v>
      </c>
      <c r="R402" s="26">
        <v>46221</v>
      </c>
      <c r="S402" s="26">
        <v>46223</v>
      </c>
      <c r="T402" s="31"/>
      <c r="U402" s="30" t="s">
        <v>68</v>
      </c>
      <c r="V402" s="34" t="s">
        <v>70</v>
      </c>
      <c r="W402" s="27" t="s">
        <v>208</v>
      </c>
      <c r="X402" s="30"/>
      <c r="Y402" s="30"/>
      <c r="Z402" s="30"/>
      <c r="AA402" s="30">
        <v>1</v>
      </c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 t="s">
        <v>87</v>
      </c>
      <c r="AQ402" s="30"/>
      <c r="AR402" s="36" t="s">
        <v>81</v>
      </c>
      <c r="AS402" s="36" t="s">
        <v>90</v>
      </c>
      <c r="AT402" s="36"/>
      <c r="AU402" s="36"/>
      <c r="AV402" s="36"/>
      <c r="AW402" s="36"/>
      <c r="AX402" s="36"/>
      <c r="AY402" s="36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27"/>
      <c r="BL402" s="27"/>
    </row>
    <row r="403" spans="1:64">
      <c r="A403" s="25" t="s">
        <v>54</v>
      </c>
      <c r="B403" s="26">
        <v>46218</v>
      </c>
      <c r="C403" s="27">
        <v>29787</v>
      </c>
      <c r="D403" s="27"/>
      <c r="E403" s="27" t="s">
        <v>203</v>
      </c>
      <c r="F403" s="27" t="s">
        <v>59</v>
      </c>
      <c r="G403" s="27" t="s">
        <v>104</v>
      </c>
      <c r="H403" s="30" t="s">
        <v>60</v>
      </c>
      <c r="I403" s="31" t="s">
        <v>752</v>
      </c>
      <c r="J403" s="30" t="s">
        <v>60</v>
      </c>
      <c r="K403" s="27">
        <v>1</v>
      </c>
      <c r="L403" s="27" t="s">
        <v>205</v>
      </c>
      <c r="M403" s="27"/>
      <c r="N403" s="31" t="s">
        <v>81</v>
      </c>
      <c r="O403" s="27"/>
      <c r="P403" s="30"/>
      <c r="Q403" s="30" t="s">
        <v>1291</v>
      </c>
      <c r="R403" s="26">
        <v>46221</v>
      </c>
      <c r="S403" s="26">
        <v>46223</v>
      </c>
      <c r="T403" s="31"/>
      <c r="U403" s="30" t="s">
        <v>68</v>
      </c>
      <c r="V403" s="34" t="s">
        <v>70</v>
      </c>
      <c r="W403" s="27" t="s">
        <v>208</v>
      </c>
      <c r="X403" s="30"/>
      <c r="Y403" s="30"/>
      <c r="Z403" s="30"/>
      <c r="AA403" s="30">
        <v>1</v>
      </c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 t="s">
        <v>87</v>
      </c>
      <c r="AQ403" s="30"/>
      <c r="AR403" s="36" t="s">
        <v>81</v>
      </c>
      <c r="AS403" s="36" t="s">
        <v>90</v>
      </c>
      <c r="AT403" s="36"/>
      <c r="AU403" s="36"/>
      <c r="AV403" s="36"/>
      <c r="AW403" s="36"/>
      <c r="AX403" s="36"/>
      <c r="AY403" s="36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27"/>
      <c r="BL403" s="27"/>
    </row>
    <row r="404" spans="1:64">
      <c r="A404" s="25" t="s">
        <v>54</v>
      </c>
      <c r="B404" s="26">
        <v>46218</v>
      </c>
      <c r="C404" s="27">
        <v>29785</v>
      </c>
      <c r="D404" s="27"/>
      <c r="E404" s="27" t="s">
        <v>203</v>
      </c>
      <c r="F404" s="27" t="s">
        <v>59</v>
      </c>
      <c r="G404" s="27" t="s">
        <v>104</v>
      </c>
      <c r="H404" s="30" t="s">
        <v>60</v>
      </c>
      <c r="I404" s="31" t="s">
        <v>926</v>
      </c>
      <c r="J404" s="30" t="s">
        <v>60</v>
      </c>
      <c r="K404" s="27">
        <v>1</v>
      </c>
      <c r="L404" s="27" t="s">
        <v>214</v>
      </c>
      <c r="M404" s="27"/>
      <c r="N404" s="31" t="s">
        <v>81</v>
      </c>
      <c r="O404" s="27"/>
      <c r="P404" s="30"/>
      <c r="Q404" s="30" t="s">
        <v>66</v>
      </c>
      <c r="R404" s="26">
        <v>46221</v>
      </c>
      <c r="S404" s="26">
        <v>46223</v>
      </c>
      <c r="T404" s="31"/>
      <c r="U404" s="30" t="s">
        <v>68</v>
      </c>
      <c r="V404" s="34" t="s">
        <v>70</v>
      </c>
      <c r="W404" s="27" t="s">
        <v>208</v>
      </c>
      <c r="X404" s="30"/>
      <c r="Y404" s="30"/>
      <c r="Z404" s="30"/>
      <c r="AA404" s="30">
        <v>1</v>
      </c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 t="s">
        <v>87</v>
      </c>
      <c r="AQ404" s="30"/>
      <c r="AR404" s="36" t="s">
        <v>81</v>
      </c>
      <c r="AS404" s="36" t="s">
        <v>906</v>
      </c>
      <c r="AT404" s="36"/>
      <c r="AU404" s="36"/>
      <c r="AV404" s="36"/>
      <c r="AW404" s="36"/>
      <c r="AX404" s="36"/>
      <c r="AY404" s="36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27"/>
      <c r="BL404" s="27"/>
    </row>
    <row r="405" spans="1:64">
      <c r="A405" s="25" t="s">
        <v>54</v>
      </c>
      <c r="B405" s="26">
        <v>46218</v>
      </c>
      <c r="C405" s="27">
        <v>29782</v>
      </c>
      <c r="D405" s="27"/>
      <c r="E405" s="27" t="s">
        <v>203</v>
      </c>
      <c r="F405" s="27" t="s">
        <v>59</v>
      </c>
      <c r="G405" s="27" t="s">
        <v>104</v>
      </c>
      <c r="H405" s="30" t="s">
        <v>60</v>
      </c>
      <c r="I405" s="31" t="s">
        <v>1292</v>
      </c>
      <c r="J405" s="30" t="s">
        <v>60</v>
      </c>
      <c r="K405" s="27">
        <v>1</v>
      </c>
      <c r="L405" s="27" t="s">
        <v>205</v>
      </c>
      <c r="M405" s="27"/>
      <c r="N405" s="31" t="s">
        <v>81</v>
      </c>
      <c r="O405" s="27"/>
      <c r="P405" s="30"/>
      <c r="Q405" s="30" t="s">
        <v>1293</v>
      </c>
      <c r="R405" s="26">
        <v>46221</v>
      </c>
      <c r="S405" s="26">
        <v>46223</v>
      </c>
      <c r="T405" s="31"/>
      <c r="U405" s="30" t="s">
        <v>68</v>
      </c>
      <c r="V405" s="34" t="s">
        <v>70</v>
      </c>
      <c r="W405" s="27" t="s">
        <v>208</v>
      </c>
      <c r="X405" s="30">
        <v>1</v>
      </c>
      <c r="Y405" s="30">
        <v>1</v>
      </c>
      <c r="Z405" s="30">
        <v>1</v>
      </c>
      <c r="AA405" s="30">
        <v>1</v>
      </c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 t="s">
        <v>87</v>
      </c>
      <c r="AQ405" s="30"/>
      <c r="AR405" s="36" t="s">
        <v>81</v>
      </c>
      <c r="AS405" s="36" t="s">
        <v>41</v>
      </c>
      <c r="AT405" s="36"/>
      <c r="AU405" s="36"/>
      <c r="AV405" s="36"/>
      <c r="AW405" s="36"/>
      <c r="AX405" s="36"/>
      <c r="AY405" s="36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27"/>
      <c r="BL405" s="27"/>
    </row>
    <row r="406" spans="1:64">
      <c r="A406" s="25" t="s">
        <v>54</v>
      </c>
      <c r="B406" s="26">
        <v>46218</v>
      </c>
      <c r="C406" s="27">
        <v>29790</v>
      </c>
      <c r="D406" s="27"/>
      <c r="E406" s="27" t="s">
        <v>203</v>
      </c>
      <c r="F406" s="27" t="s">
        <v>59</v>
      </c>
      <c r="G406" s="27" t="s">
        <v>104</v>
      </c>
      <c r="H406" s="30" t="s">
        <v>60</v>
      </c>
      <c r="I406" s="31" t="s">
        <v>487</v>
      </c>
      <c r="J406" s="30" t="s">
        <v>60</v>
      </c>
      <c r="K406" s="27">
        <v>1</v>
      </c>
      <c r="L406" s="27" t="s">
        <v>214</v>
      </c>
      <c r="M406" s="27"/>
      <c r="N406" s="31" t="s">
        <v>81</v>
      </c>
      <c r="O406" s="27"/>
      <c r="P406" s="30"/>
      <c r="Q406" s="30" t="s">
        <v>1294</v>
      </c>
      <c r="R406" s="26">
        <v>46221</v>
      </c>
      <c r="S406" s="26">
        <v>46223</v>
      </c>
      <c r="T406" s="31"/>
      <c r="U406" s="30" t="s">
        <v>68</v>
      </c>
      <c r="V406" s="34" t="s">
        <v>70</v>
      </c>
      <c r="W406" s="27" t="s">
        <v>208</v>
      </c>
      <c r="X406" s="30"/>
      <c r="Y406" s="30"/>
      <c r="Z406" s="30"/>
      <c r="AA406" s="30">
        <v>1</v>
      </c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 t="s">
        <v>87</v>
      </c>
      <c r="AQ406" s="30"/>
      <c r="AR406" s="36" t="s">
        <v>81</v>
      </c>
      <c r="AS406" s="36"/>
      <c r="AT406" s="36"/>
      <c r="AU406" s="36"/>
      <c r="AV406" s="36"/>
      <c r="AW406" s="36"/>
      <c r="AX406" s="36"/>
      <c r="AY406" s="36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27"/>
      <c r="BL406" s="27"/>
    </row>
    <row r="407" spans="1:64">
      <c r="A407" s="25" t="s">
        <v>54</v>
      </c>
      <c r="B407" s="26">
        <v>46218</v>
      </c>
      <c r="C407" s="27">
        <v>29780</v>
      </c>
      <c r="D407" s="27"/>
      <c r="E407" s="27" t="s">
        <v>203</v>
      </c>
      <c r="F407" s="27" t="s">
        <v>59</v>
      </c>
      <c r="G407" s="27" t="s">
        <v>104</v>
      </c>
      <c r="H407" s="30" t="s">
        <v>170</v>
      </c>
      <c r="I407" s="31" t="s">
        <v>770</v>
      </c>
      <c r="J407" s="30" t="s">
        <v>170</v>
      </c>
      <c r="K407" s="27">
        <v>1</v>
      </c>
      <c r="L407" s="27" t="s">
        <v>214</v>
      </c>
      <c r="M407" s="27"/>
      <c r="N407" s="31" t="s">
        <v>1114</v>
      </c>
      <c r="O407" s="27"/>
      <c r="P407" s="30"/>
      <c r="Q407" s="30" t="s">
        <v>181</v>
      </c>
      <c r="R407" s="26">
        <v>46221</v>
      </c>
      <c r="S407" s="26">
        <v>46223</v>
      </c>
      <c r="T407" s="31"/>
      <c r="U407" s="30" t="s">
        <v>68</v>
      </c>
      <c r="V407" s="34" t="s">
        <v>70</v>
      </c>
      <c r="W407" s="27" t="s">
        <v>208</v>
      </c>
      <c r="X407" s="30">
        <v>1</v>
      </c>
      <c r="Y407" s="30">
        <v>1</v>
      </c>
      <c r="Z407" s="30">
        <v>1</v>
      </c>
      <c r="AA407" s="30">
        <v>1</v>
      </c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 t="s">
        <v>87</v>
      </c>
      <c r="AQ407" s="30" t="s">
        <v>1114</v>
      </c>
      <c r="AR407" s="36"/>
      <c r="AS407" s="36" t="s">
        <v>41</v>
      </c>
      <c r="AT407" s="36"/>
      <c r="AU407" s="36"/>
      <c r="AV407" s="36"/>
      <c r="AW407" s="36"/>
      <c r="AX407" s="36"/>
      <c r="AY407" s="36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27"/>
      <c r="BL407" s="27"/>
    </row>
    <row r="408" spans="1:64">
      <c r="A408" s="25" t="s">
        <v>54</v>
      </c>
      <c r="B408" s="26">
        <v>46218</v>
      </c>
      <c r="C408" s="27">
        <v>30224</v>
      </c>
      <c r="D408" s="27"/>
      <c r="E408" s="27" t="s">
        <v>212</v>
      </c>
      <c r="F408" s="27" t="s">
        <v>59</v>
      </c>
      <c r="G408" s="27" t="s">
        <v>104</v>
      </c>
      <c r="H408" s="30" t="s">
        <v>175</v>
      </c>
      <c r="I408" s="31" t="s">
        <v>1295</v>
      </c>
      <c r="J408" s="30" t="s">
        <v>175</v>
      </c>
      <c r="K408" s="27">
        <v>1</v>
      </c>
      <c r="L408" s="27" t="s">
        <v>214</v>
      </c>
      <c r="M408" s="27"/>
      <c r="N408" s="31" t="s">
        <v>455</v>
      </c>
      <c r="O408" s="27"/>
      <c r="P408" s="30"/>
      <c r="Q408" s="30" t="s">
        <v>66</v>
      </c>
      <c r="R408" s="26">
        <v>46220</v>
      </c>
      <c r="S408" s="26">
        <v>46223</v>
      </c>
      <c r="T408" s="31"/>
      <c r="U408" s="30" t="s">
        <v>68</v>
      </c>
      <c r="V408" s="34" t="s">
        <v>70</v>
      </c>
      <c r="W408" s="27" t="s">
        <v>208</v>
      </c>
      <c r="X408" s="30">
        <v>1</v>
      </c>
      <c r="Y408" s="30">
        <v>1</v>
      </c>
      <c r="Z408" s="30">
        <v>1</v>
      </c>
      <c r="AA408" s="30">
        <v>1</v>
      </c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 t="s">
        <v>87</v>
      </c>
      <c r="AQ408" s="30" t="s">
        <v>455</v>
      </c>
      <c r="AR408" s="36" t="s">
        <v>41</v>
      </c>
      <c r="AS408" s="36"/>
      <c r="AT408" s="36"/>
      <c r="AU408" s="36"/>
      <c r="AV408" s="36"/>
      <c r="AW408" s="36"/>
      <c r="AX408" s="36"/>
      <c r="AY408" s="36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27"/>
      <c r="BL408" s="27"/>
    </row>
    <row r="409" spans="1:64">
      <c r="A409" s="25" t="s">
        <v>54</v>
      </c>
      <c r="B409" s="26">
        <v>46218</v>
      </c>
      <c r="C409" s="27">
        <v>29788</v>
      </c>
      <c r="D409" s="27"/>
      <c r="E409" s="27" t="s">
        <v>203</v>
      </c>
      <c r="F409" s="27" t="s">
        <v>59</v>
      </c>
      <c r="G409" s="27" t="s">
        <v>104</v>
      </c>
      <c r="H409" s="30" t="s">
        <v>60</v>
      </c>
      <c r="I409" s="31" t="s">
        <v>649</v>
      </c>
      <c r="J409" s="30" t="s">
        <v>60</v>
      </c>
      <c r="K409" s="27">
        <v>1</v>
      </c>
      <c r="L409" s="27" t="s">
        <v>214</v>
      </c>
      <c r="M409" s="27"/>
      <c r="N409" s="31" t="s">
        <v>81</v>
      </c>
      <c r="O409" s="27"/>
      <c r="P409" s="30"/>
      <c r="Q409" s="30" t="s">
        <v>66</v>
      </c>
      <c r="R409" s="26">
        <v>46221</v>
      </c>
      <c r="S409" s="26">
        <v>46223</v>
      </c>
      <c r="T409" s="31"/>
      <c r="U409" s="30" t="s">
        <v>68</v>
      </c>
      <c r="V409" s="34" t="s">
        <v>70</v>
      </c>
      <c r="W409" s="27" t="s">
        <v>208</v>
      </c>
      <c r="X409" s="30"/>
      <c r="Y409" s="30"/>
      <c r="Z409" s="30"/>
      <c r="AA409" s="30">
        <v>1</v>
      </c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 t="s">
        <v>87</v>
      </c>
      <c r="AQ409" s="30"/>
      <c r="AR409" s="36" t="s">
        <v>81</v>
      </c>
      <c r="AS409" s="36" t="s">
        <v>906</v>
      </c>
      <c r="AT409" s="36"/>
      <c r="AU409" s="36"/>
      <c r="AV409" s="36"/>
      <c r="AW409" s="36"/>
      <c r="AX409" s="36"/>
      <c r="AY409" s="36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27"/>
      <c r="BL409" s="27"/>
    </row>
    <row r="410" spans="1:64">
      <c r="A410" s="25" t="s">
        <v>54</v>
      </c>
      <c r="B410" s="26">
        <v>46218</v>
      </c>
      <c r="C410" s="27">
        <v>29781</v>
      </c>
      <c r="D410" s="27"/>
      <c r="E410" s="27" t="s">
        <v>212</v>
      </c>
      <c r="F410" s="27" t="s">
        <v>59</v>
      </c>
      <c r="G410" s="27" t="s">
        <v>104</v>
      </c>
      <c r="H410" s="30" t="s">
        <v>151</v>
      </c>
      <c r="I410" s="31" t="s">
        <v>1296</v>
      </c>
      <c r="J410" s="30" t="s">
        <v>151</v>
      </c>
      <c r="K410" s="27">
        <v>1</v>
      </c>
      <c r="L410" s="27" t="s">
        <v>214</v>
      </c>
      <c r="M410" s="27"/>
      <c r="N410" s="31" t="s">
        <v>455</v>
      </c>
      <c r="O410" s="27"/>
      <c r="P410" s="30"/>
      <c r="Q410" s="30" t="s">
        <v>66</v>
      </c>
      <c r="R410" s="26">
        <v>46219</v>
      </c>
      <c r="S410" s="26">
        <v>46219</v>
      </c>
      <c r="T410" s="31"/>
      <c r="U410" s="30" t="s">
        <v>68</v>
      </c>
      <c r="V410" s="34" t="s">
        <v>70</v>
      </c>
      <c r="W410" s="27" t="s">
        <v>208</v>
      </c>
      <c r="X410" s="30"/>
      <c r="Y410" s="30"/>
      <c r="Z410" s="30"/>
      <c r="AA410" s="30">
        <v>1</v>
      </c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 t="s">
        <v>455</v>
      </c>
      <c r="AQ410" s="30" t="s">
        <v>41</v>
      </c>
      <c r="AR410" s="36"/>
      <c r="AS410" s="36"/>
      <c r="AT410" s="36"/>
      <c r="AU410" s="36"/>
      <c r="AV410" s="36"/>
      <c r="AW410" s="36"/>
      <c r="AX410" s="36"/>
      <c r="AY410" s="36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27"/>
      <c r="BL410" s="27"/>
    </row>
    <row r="411" spans="1:64">
      <c r="A411" s="25" t="s">
        <v>54</v>
      </c>
      <c r="B411" s="26">
        <v>46218</v>
      </c>
      <c r="C411" s="27">
        <v>29784</v>
      </c>
      <c r="D411" s="27"/>
      <c r="E411" s="27" t="s">
        <v>203</v>
      </c>
      <c r="F411" s="27" t="s">
        <v>59</v>
      </c>
      <c r="G411" s="27" t="s">
        <v>104</v>
      </c>
      <c r="H411" s="30" t="s">
        <v>28</v>
      </c>
      <c r="I411" s="31" t="s">
        <v>872</v>
      </c>
      <c r="J411" s="30" t="s">
        <v>28</v>
      </c>
      <c r="K411" s="27">
        <v>1</v>
      </c>
      <c r="L411" s="27" t="s">
        <v>214</v>
      </c>
      <c r="M411" s="27"/>
      <c r="N411" s="31" t="s">
        <v>258</v>
      </c>
      <c r="O411" s="27"/>
      <c r="P411" s="30"/>
      <c r="Q411" s="30" t="s">
        <v>1297</v>
      </c>
      <c r="R411" s="26">
        <v>46220</v>
      </c>
      <c r="S411" s="27"/>
      <c r="T411" s="31"/>
      <c r="U411" s="30" t="s">
        <v>68</v>
      </c>
      <c r="V411" s="34" t="s">
        <v>70</v>
      </c>
      <c r="W411" s="27" t="s">
        <v>208</v>
      </c>
      <c r="X411" s="30">
        <v>1</v>
      </c>
      <c r="Y411" s="30">
        <v>1</v>
      </c>
      <c r="Z411" s="30">
        <v>1</v>
      </c>
      <c r="AA411" s="30">
        <v>1</v>
      </c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 t="s">
        <v>87</v>
      </c>
      <c r="AQ411" s="30"/>
      <c r="AR411" s="36" t="s">
        <v>260</v>
      </c>
      <c r="AS411" s="36"/>
      <c r="AT411" s="36"/>
      <c r="AU411" s="36"/>
      <c r="AV411" s="36"/>
      <c r="AW411" s="36"/>
      <c r="AX411" s="36"/>
      <c r="AY411" s="36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27"/>
      <c r="BL411" s="27"/>
    </row>
    <row r="412" spans="1:64">
      <c r="A412" s="25" t="s">
        <v>54</v>
      </c>
      <c r="B412" s="26">
        <v>46218</v>
      </c>
      <c r="C412" s="27">
        <v>29783</v>
      </c>
      <c r="D412" s="27"/>
      <c r="E412" s="27" t="s">
        <v>203</v>
      </c>
      <c r="F412" s="27" t="s">
        <v>59</v>
      </c>
      <c r="G412" s="27" t="s">
        <v>104</v>
      </c>
      <c r="H412" s="30" t="s">
        <v>144</v>
      </c>
      <c r="I412" s="31" t="s">
        <v>775</v>
      </c>
      <c r="J412" s="30" t="s">
        <v>144</v>
      </c>
      <c r="K412" s="27">
        <v>1</v>
      </c>
      <c r="L412" s="27" t="s">
        <v>205</v>
      </c>
      <c r="M412" s="27"/>
      <c r="N412" s="31" t="s">
        <v>455</v>
      </c>
      <c r="O412" s="27"/>
      <c r="P412" s="30"/>
      <c r="Q412" s="30" t="s">
        <v>434</v>
      </c>
      <c r="R412" s="26">
        <v>46221</v>
      </c>
      <c r="S412" s="26">
        <v>46223</v>
      </c>
      <c r="T412" s="31"/>
      <c r="U412" s="30" t="s">
        <v>68</v>
      </c>
      <c r="V412" s="34" t="s">
        <v>70</v>
      </c>
      <c r="W412" s="27" t="s">
        <v>208</v>
      </c>
      <c r="X412" s="30"/>
      <c r="Y412" s="30"/>
      <c r="Z412" s="30"/>
      <c r="AA412" s="30">
        <v>1</v>
      </c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 t="s">
        <v>87</v>
      </c>
      <c r="AQ412" s="30" t="s">
        <v>455</v>
      </c>
      <c r="AR412" s="36"/>
      <c r="AS412" s="36" t="s">
        <v>906</v>
      </c>
      <c r="AT412" s="36"/>
      <c r="AU412" s="36"/>
      <c r="AV412" s="36"/>
      <c r="AW412" s="36"/>
      <c r="AX412" s="36"/>
      <c r="AY412" s="36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27"/>
      <c r="BL412" s="27"/>
    </row>
    <row r="413" spans="1:64">
      <c r="A413" s="25" t="s">
        <v>54</v>
      </c>
      <c r="B413" s="26">
        <v>46218</v>
      </c>
      <c r="C413" s="27">
        <v>29786</v>
      </c>
      <c r="D413" s="27"/>
      <c r="E413" s="27" t="s">
        <v>203</v>
      </c>
      <c r="F413" s="27" t="s">
        <v>59</v>
      </c>
      <c r="G413" s="27" t="s">
        <v>104</v>
      </c>
      <c r="H413" s="30" t="s">
        <v>60</v>
      </c>
      <c r="I413" s="31" t="s">
        <v>751</v>
      </c>
      <c r="J413" s="30" t="s">
        <v>60</v>
      </c>
      <c r="K413" s="27">
        <v>1</v>
      </c>
      <c r="L413" s="27" t="s">
        <v>214</v>
      </c>
      <c r="M413" s="27"/>
      <c r="N413" s="31" t="s">
        <v>81</v>
      </c>
      <c r="O413" s="27"/>
      <c r="P413" s="30"/>
      <c r="Q413" s="30" t="s">
        <v>66</v>
      </c>
      <c r="R413" s="26">
        <v>46221</v>
      </c>
      <c r="S413" s="26">
        <v>46223</v>
      </c>
      <c r="T413" s="31"/>
      <c r="U413" s="30" t="s">
        <v>68</v>
      </c>
      <c r="V413" s="34" t="s">
        <v>70</v>
      </c>
      <c r="W413" s="27" t="s">
        <v>208</v>
      </c>
      <c r="X413" s="30">
        <v>1</v>
      </c>
      <c r="Y413" s="30">
        <v>1</v>
      </c>
      <c r="Z413" s="30">
        <v>1</v>
      </c>
      <c r="AA413" s="30">
        <v>1</v>
      </c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 t="s">
        <v>87</v>
      </c>
      <c r="AQ413" s="30"/>
      <c r="AR413" s="36" t="s">
        <v>81</v>
      </c>
      <c r="AS413" s="36" t="s">
        <v>41</v>
      </c>
      <c r="AT413" s="36"/>
      <c r="AU413" s="36"/>
      <c r="AV413" s="36"/>
      <c r="AW413" s="36"/>
      <c r="AX413" s="36"/>
      <c r="AY413" s="36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27"/>
      <c r="BL413" s="27"/>
    </row>
    <row r="414" spans="1:64">
      <c r="A414" s="25" t="s">
        <v>54</v>
      </c>
      <c r="B414" s="26">
        <v>46218</v>
      </c>
      <c r="C414" s="27">
        <v>29778</v>
      </c>
      <c r="D414" s="27"/>
      <c r="E414" s="27" t="s">
        <v>233</v>
      </c>
      <c r="F414" s="27" t="s">
        <v>59</v>
      </c>
      <c r="G414" s="27" t="s">
        <v>104</v>
      </c>
      <c r="H414" s="30" t="s">
        <v>243</v>
      </c>
      <c r="I414" s="31" t="s">
        <v>1298</v>
      </c>
      <c r="J414" s="30" t="s">
        <v>656</v>
      </c>
      <c r="K414" s="27">
        <v>1</v>
      </c>
      <c r="L414" s="27" t="s">
        <v>205</v>
      </c>
      <c r="M414" s="27"/>
      <c r="N414" s="31" t="s">
        <v>154</v>
      </c>
      <c r="O414" s="27"/>
      <c r="P414" s="30"/>
      <c r="Q414" s="30" t="s">
        <v>66</v>
      </c>
      <c r="R414" s="26">
        <v>46220</v>
      </c>
      <c r="S414" s="26">
        <v>46223</v>
      </c>
      <c r="T414" s="31"/>
      <c r="U414" s="30" t="s">
        <v>68</v>
      </c>
      <c r="V414" s="34" t="s">
        <v>70</v>
      </c>
      <c r="W414" s="27" t="s">
        <v>208</v>
      </c>
      <c r="X414" s="30">
        <v>1</v>
      </c>
      <c r="Y414" s="30">
        <v>1</v>
      </c>
      <c r="Z414" s="30">
        <v>1</v>
      </c>
      <c r="AA414" s="30">
        <v>1</v>
      </c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 t="s">
        <v>87</v>
      </c>
      <c r="AQ414" s="30"/>
      <c r="AR414" s="36" t="s">
        <v>157</v>
      </c>
      <c r="AS414" s="36"/>
      <c r="AT414" s="36"/>
      <c r="AU414" s="36"/>
      <c r="AV414" s="36"/>
      <c r="AW414" s="36"/>
      <c r="AX414" s="36"/>
      <c r="AY414" s="36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27"/>
      <c r="BL414" s="27"/>
    </row>
    <row r="415" spans="1:64">
      <c r="A415" s="25" t="s">
        <v>54</v>
      </c>
      <c r="B415" s="26">
        <v>46218</v>
      </c>
      <c r="C415" s="27">
        <v>29791</v>
      </c>
      <c r="D415" s="27"/>
      <c r="E415" s="27" t="s">
        <v>203</v>
      </c>
      <c r="F415" s="27" t="s">
        <v>59</v>
      </c>
      <c r="G415" s="27" t="s">
        <v>104</v>
      </c>
      <c r="H415" s="30" t="s">
        <v>106</v>
      </c>
      <c r="I415" s="31" t="s">
        <v>639</v>
      </c>
      <c r="J415" s="30" t="s">
        <v>106</v>
      </c>
      <c r="K415" s="27">
        <v>1</v>
      </c>
      <c r="L415" s="27" t="s">
        <v>205</v>
      </c>
      <c r="M415" s="27"/>
      <c r="N415" s="31" t="s">
        <v>455</v>
      </c>
      <c r="O415" s="27"/>
      <c r="P415" s="30"/>
      <c r="Q415" s="30" t="s">
        <v>66</v>
      </c>
      <c r="R415" s="26">
        <v>46221</v>
      </c>
      <c r="S415" s="26">
        <v>46223</v>
      </c>
      <c r="T415" s="31"/>
      <c r="U415" s="30" t="s">
        <v>68</v>
      </c>
      <c r="V415" s="34" t="s">
        <v>70</v>
      </c>
      <c r="W415" s="27" t="s">
        <v>208</v>
      </c>
      <c r="X415" s="30"/>
      <c r="Y415" s="30"/>
      <c r="Z415" s="30"/>
      <c r="AA415" s="30">
        <v>1</v>
      </c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 t="s">
        <v>87</v>
      </c>
      <c r="AQ415" s="30" t="s">
        <v>455</v>
      </c>
      <c r="AR415" s="36"/>
      <c r="AS415" s="36" t="s">
        <v>90</v>
      </c>
      <c r="AT415" s="36"/>
      <c r="AU415" s="36"/>
      <c r="AV415" s="36"/>
      <c r="AW415" s="36"/>
      <c r="AX415" s="36"/>
      <c r="AY415" s="36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27"/>
      <c r="BL415" s="27"/>
    </row>
    <row r="416" spans="1:64">
      <c r="A416" s="25" t="s">
        <v>54</v>
      </c>
      <c r="B416" s="26">
        <v>46218</v>
      </c>
      <c r="C416" s="27">
        <v>29792</v>
      </c>
      <c r="D416" s="27"/>
      <c r="E416" s="27" t="s">
        <v>203</v>
      </c>
      <c r="F416" s="27" t="s">
        <v>59</v>
      </c>
      <c r="G416" s="27" t="s">
        <v>104</v>
      </c>
      <c r="H416" s="30" t="s">
        <v>170</v>
      </c>
      <c r="I416" s="31" t="s">
        <v>921</v>
      </c>
      <c r="J416" s="30" t="s">
        <v>170</v>
      </c>
      <c r="K416" s="27">
        <v>1</v>
      </c>
      <c r="L416" s="27" t="s">
        <v>205</v>
      </c>
      <c r="M416" s="27"/>
      <c r="N416" s="31" t="s">
        <v>1114</v>
      </c>
      <c r="O416" s="27"/>
      <c r="P416" s="30"/>
      <c r="Q416" s="30" t="s">
        <v>66</v>
      </c>
      <c r="R416" s="26">
        <v>46221</v>
      </c>
      <c r="S416" s="26">
        <v>46223</v>
      </c>
      <c r="T416" s="31"/>
      <c r="U416" s="30" t="s">
        <v>68</v>
      </c>
      <c r="V416" s="34" t="s">
        <v>70</v>
      </c>
      <c r="W416" s="27" t="s">
        <v>208</v>
      </c>
      <c r="X416" s="30">
        <v>1</v>
      </c>
      <c r="Y416" s="30">
        <v>1</v>
      </c>
      <c r="Z416" s="30">
        <v>1</v>
      </c>
      <c r="AA416" s="30">
        <v>1</v>
      </c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 t="s">
        <v>87</v>
      </c>
      <c r="AQ416" s="30" t="s">
        <v>1114</v>
      </c>
      <c r="AR416" s="36"/>
      <c r="AS416" s="36" t="s">
        <v>41</v>
      </c>
      <c r="AT416" s="36"/>
      <c r="AU416" s="36"/>
      <c r="AV416" s="36"/>
      <c r="AW416" s="36"/>
      <c r="AX416" s="36"/>
      <c r="AY416" s="36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27"/>
      <c r="BL416" s="27"/>
    </row>
    <row r="417" spans="1:64">
      <c r="A417" s="25" t="s">
        <v>54</v>
      </c>
      <c r="B417" s="26">
        <v>46218</v>
      </c>
      <c r="C417" s="27">
        <v>29793</v>
      </c>
      <c r="D417" s="27"/>
      <c r="E417" s="27" t="s">
        <v>233</v>
      </c>
      <c r="F417" s="27" t="s">
        <v>59</v>
      </c>
      <c r="G417" s="27" t="s">
        <v>104</v>
      </c>
      <c r="H417" s="30" t="s">
        <v>175</v>
      </c>
      <c r="I417" s="31" t="s">
        <v>1299</v>
      </c>
      <c r="J417" s="30" t="s">
        <v>175</v>
      </c>
      <c r="K417" s="27">
        <v>1</v>
      </c>
      <c r="L417" s="27" t="s">
        <v>205</v>
      </c>
      <c r="M417" s="27"/>
      <c r="N417" s="31" t="s">
        <v>455</v>
      </c>
      <c r="O417" s="27"/>
      <c r="P417" s="30"/>
      <c r="Q417" s="30" t="s">
        <v>66</v>
      </c>
      <c r="R417" s="26">
        <v>46220</v>
      </c>
      <c r="S417" s="26">
        <v>46223</v>
      </c>
      <c r="T417" s="31"/>
      <c r="U417" s="30" t="s">
        <v>68</v>
      </c>
      <c r="V417" s="34" t="s">
        <v>70</v>
      </c>
      <c r="W417" s="27" t="s">
        <v>208</v>
      </c>
      <c r="X417" s="30">
        <v>1</v>
      </c>
      <c r="Y417" s="30">
        <v>1</v>
      </c>
      <c r="Z417" s="30">
        <v>1</v>
      </c>
      <c r="AA417" s="30">
        <v>1</v>
      </c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 t="s">
        <v>87</v>
      </c>
      <c r="AQ417" s="30" t="s">
        <v>455</v>
      </c>
      <c r="AR417" s="36" t="s">
        <v>41</v>
      </c>
      <c r="AS417" s="36"/>
      <c r="AT417" s="36"/>
      <c r="AU417" s="36"/>
      <c r="AV417" s="36"/>
      <c r="AW417" s="36"/>
      <c r="AX417" s="36"/>
      <c r="AY417" s="36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27"/>
      <c r="BL417" s="27"/>
    </row>
    <row r="418" spans="1:64">
      <c r="A418" s="25" t="s">
        <v>54</v>
      </c>
      <c r="B418" s="26">
        <v>46218</v>
      </c>
      <c r="C418" s="27">
        <v>30223</v>
      </c>
      <c r="D418" s="27"/>
      <c r="E418" s="27" t="s">
        <v>212</v>
      </c>
      <c r="F418" s="27" t="s">
        <v>59</v>
      </c>
      <c r="G418" s="27" t="s">
        <v>104</v>
      </c>
      <c r="H418" s="30" t="s">
        <v>151</v>
      </c>
      <c r="I418" s="31" t="s">
        <v>1300</v>
      </c>
      <c r="J418" s="30" t="s">
        <v>151</v>
      </c>
      <c r="K418" s="27">
        <v>1</v>
      </c>
      <c r="L418" s="27" t="s">
        <v>205</v>
      </c>
      <c r="M418" s="27"/>
      <c r="N418" s="31" t="s">
        <v>455</v>
      </c>
      <c r="O418" s="27"/>
      <c r="P418" s="30"/>
      <c r="Q418" s="30" t="s">
        <v>66</v>
      </c>
      <c r="R418" s="26">
        <v>46219</v>
      </c>
      <c r="S418" s="26">
        <v>46219</v>
      </c>
      <c r="T418" s="31"/>
      <c r="U418" s="30" t="s">
        <v>68</v>
      </c>
      <c r="V418" s="34" t="s">
        <v>70</v>
      </c>
      <c r="W418" s="27" t="s">
        <v>208</v>
      </c>
      <c r="X418" s="30">
        <v>1</v>
      </c>
      <c r="Y418" s="30">
        <v>1</v>
      </c>
      <c r="Z418" s="30">
        <v>1</v>
      </c>
      <c r="AA418" s="30">
        <v>1</v>
      </c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 t="s">
        <v>455</v>
      </c>
      <c r="AQ418" s="30" t="s">
        <v>41</v>
      </c>
      <c r="AR418" s="36"/>
      <c r="AS418" s="36"/>
      <c r="AT418" s="36"/>
      <c r="AU418" s="36"/>
      <c r="AV418" s="36"/>
      <c r="AW418" s="36"/>
      <c r="AX418" s="36"/>
      <c r="AY418" s="36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27"/>
      <c r="BL418" s="27"/>
    </row>
    <row r="419" spans="1:64">
      <c r="A419" s="25" t="s">
        <v>54</v>
      </c>
      <c r="B419" s="26">
        <v>46218</v>
      </c>
      <c r="C419" s="27">
        <v>29776</v>
      </c>
      <c r="D419" s="27"/>
      <c r="E419" s="27" t="s">
        <v>212</v>
      </c>
      <c r="F419" s="27" t="s">
        <v>59</v>
      </c>
      <c r="G419" s="27" t="s">
        <v>104</v>
      </c>
      <c r="H419" s="30" t="s">
        <v>106</v>
      </c>
      <c r="I419" s="31" t="s">
        <v>1301</v>
      </c>
      <c r="J419" s="30" t="s">
        <v>106</v>
      </c>
      <c r="K419" s="27">
        <v>1</v>
      </c>
      <c r="L419" s="27" t="s">
        <v>205</v>
      </c>
      <c r="M419" s="27"/>
      <c r="N419" s="31" t="s">
        <v>455</v>
      </c>
      <c r="O419" s="27"/>
      <c r="P419" s="30"/>
      <c r="Q419" s="30" t="s">
        <v>84</v>
      </c>
      <c r="R419" s="26">
        <v>46221</v>
      </c>
      <c r="S419" s="26">
        <v>46223</v>
      </c>
      <c r="T419" s="31"/>
      <c r="U419" s="30" t="s">
        <v>68</v>
      </c>
      <c r="V419" s="34" t="s">
        <v>70</v>
      </c>
      <c r="W419" s="27" t="s">
        <v>208</v>
      </c>
      <c r="X419" s="30">
        <v>1</v>
      </c>
      <c r="Y419" s="30">
        <v>1</v>
      </c>
      <c r="Z419" s="30">
        <v>1</v>
      </c>
      <c r="AA419" s="30">
        <v>1</v>
      </c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 t="s">
        <v>87</v>
      </c>
      <c r="AQ419" s="30" t="s">
        <v>455</v>
      </c>
      <c r="AR419" s="36"/>
      <c r="AS419" s="36" t="s">
        <v>90</v>
      </c>
      <c r="AT419" s="36"/>
      <c r="AU419" s="36"/>
      <c r="AV419" s="36"/>
      <c r="AW419" s="36"/>
      <c r="AX419" s="36"/>
      <c r="AY419" s="36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27"/>
      <c r="BL419" s="27"/>
    </row>
    <row r="420" spans="1:64">
      <c r="A420" s="25" t="s">
        <v>54</v>
      </c>
      <c r="B420" s="26">
        <v>46218</v>
      </c>
      <c r="C420" s="27">
        <v>29777</v>
      </c>
      <c r="D420" s="27"/>
      <c r="E420" s="27" t="s">
        <v>212</v>
      </c>
      <c r="F420" s="27" t="s">
        <v>59</v>
      </c>
      <c r="G420" s="27" t="s">
        <v>104</v>
      </c>
      <c r="H420" s="30" t="s">
        <v>60</v>
      </c>
      <c r="I420" s="31" t="s">
        <v>1303</v>
      </c>
      <c r="J420" s="30" t="s">
        <v>60</v>
      </c>
      <c r="K420" s="27">
        <v>1</v>
      </c>
      <c r="L420" s="27" t="s">
        <v>205</v>
      </c>
      <c r="M420" s="27"/>
      <c r="N420" s="31" t="s">
        <v>258</v>
      </c>
      <c r="O420" s="27"/>
      <c r="P420" s="30"/>
      <c r="Q420" s="30" t="s">
        <v>1304</v>
      </c>
      <c r="R420" s="26">
        <v>46219</v>
      </c>
      <c r="S420" s="26">
        <v>46219</v>
      </c>
      <c r="T420" s="31"/>
      <c r="U420" s="30" t="s">
        <v>68</v>
      </c>
      <c r="V420" s="34" t="s">
        <v>70</v>
      </c>
      <c r="W420" s="27" t="s">
        <v>208</v>
      </c>
      <c r="X420" s="30">
        <v>1</v>
      </c>
      <c r="Y420" s="30">
        <v>1</v>
      </c>
      <c r="Z420" s="30">
        <v>1</v>
      </c>
      <c r="AA420" s="30">
        <v>1</v>
      </c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 t="s">
        <v>87</v>
      </c>
      <c r="AQ420" s="30" t="s">
        <v>260</v>
      </c>
      <c r="AR420" s="36"/>
      <c r="AS420" s="36"/>
      <c r="AT420" s="36"/>
      <c r="AU420" s="36"/>
      <c r="AV420" s="36"/>
      <c r="AW420" s="36"/>
      <c r="AX420" s="36"/>
      <c r="AY420" s="36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27"/>
      <c r="BL420" s="27"/>
    </row>
    <row r="421" spans="1:64">
      <c r="A421" s="25" t="s">
        <v>54</v>
      </c>
      <c r="B421" s="26">
        <v>46218</v>
      </c>
      <c r="C421" s="27">
        <v>29789</v>
      </c>
      <c r="D421" s="27"/>
      <c r="E421" s="27" t="s">
        <v>233</v>
      </c>
      <c r="F421" s="27" t="s">
        <v>59</v>
      </c>
      <c r="G421" s="27" t="s">
        <v>104</v>
      </c>
      <c r="H421" s="30" t="s">
        <v>144</v>
      </c>
      <c r="I421" s="31" t="s">
        <v>1305</v>
      </c>
      <c r="J421" s="30" t="s">
        <v>144</v>
      </c>
      <c r="K421" s="27">
        <v>1</v>
      </c>
      <c r="L421" s="27" t="s">
        <v>205</v>
      </c>
      <c r="M421" s="27"/>
      <c r="N421" s="31" t="s">
        <v>455</v>
      </c>
      <c r="O421" s="27"/>
      <c r="P421" s="30"/>
      <c r="Q421" s="30" t="s">
        <v>1306</v>
      </c>
      <c r="R421" s="26">
        <v>46221</v>
      </c>
      <c r="S421" s="26">
        <v>46223</v>
      </c>
      <c r="T421" s="31"/>
      <c r="U421" s="30" t="s">
        <v>68</v>
      </c>
      <c r="V421" s="34" t="s">
        <v>70</v>
      </c>
      <c r="W421" s="27" t="s">
        <v>208</v>
      </c>
      <c r="X421" s="30">
        <v>1</v>
      </c>
      <c r="Y421" s="30">
        <v>1</v>
      </c>
      <c r="Z421" s="30">
        <v>1</v>
      </c>
      <c r="AA421" s="30">
        <v>1</v>
      </c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 t="s">
        <v>87</v>
      </c>
      <c r="AQ421" s="30" t="s">
        <v>455</v>
      </c>
      <c r="AR421" s="36"/>
      <c r="AS421" s="36" t="s">
        <v>906</v>
      </c>
      <c r="AT421" s="36"/>
      <c r="AU421" s="36"/>
      <c r="AV421" s="36"/>
      <c r="AW421" s="36"/>
      <c r="AX421" s="36"/>
      <c r="AY421" s="36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27"/>
      <c r="BL421" s="27"/>
    </row>
    <row r="422" spans="1:64">
      <c r="A422" s="25" t="s">
        <v>54</v>
      </c>
      <c r="B422" s="26">
        <v>46218</v>
      </c>
      <c r="C422" s="27">
        <v>29779</v>
      </c>
      <c r="D422" s="27"/>
      <c r="E422" s="27" t="s">
        <v>203</v>
      </c>
      <c r="F422" s="27" t="s">
        <v>59</v>
      </c>
      <c r="G422" s="27" t="s">
        <v>104</v>
      </c>
      <c r="H422" s="30" t="s">
        <v>243</v>
      </c>
      <c r="I422" s="31" t="s">
        <v>1307</v>
      </c>
      <c r="J422" s="30" t="s">
        <v>656</v>
      </c>
      <c r="K422" s="27">
        <v>1</v>
      </c>
      <c r="L422" s="27" t="s">
        <v>205</v>
      </c>
      <c r="M422" s="27"/>
      <c r="N422" s="31" t="s">
        <v>154</v>
      </c>
      <c r="O422" s="27"/>
      <c r="P422" s="30"/>
      <c r="Q422" s="30" t="s">
        <v>66</v>
      </c>
      <c r="R422" s="26">
        <v>46220</v>
      </c>
      <c r="S422" s="26">
        <v>46223</v>
      </c>
      <c r="T422" s="31"/>
      <c r="U422" s="30" t="s">
        <v>68</v>
      </c>
      <c r="V422" s="34" t="s">
        <v>70</v>
      </c>
      <c r="W422" s="27" t="s">
        <v>208</v>
      </c>
      <c r="X422" s="30">
        <v>1</v>
      </c>
      <c r="Y422" s="30">
        <v>1</v>
      </c>
      <c r="Z422" s="30">
        <v>1</v>
      </c>
      <c r="AA422" s="30">
        <v>1</v>
      </c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 t="s">
        <v>87</v>
      </c>
      <c r="AQ422" s="30"/>
      <c r="AR422" s="36" t="s">
        <v>157</v>
      </c>
      <c r="AS422" s="36"/>
      <c r="AT422" s="36"/>
      <c r="AU422" s="36"/>
      <c r="AV422" s="36"/>
      <c r="AW422" s="36"/>
      <c r="AX422" s="36"/>
      <c r="AY422" s="36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27"/>
      <c r="BL422" s="27"/>
    </row>
    <row r="423" spans="1:64">
      <c r="A423" s="25" t="s">
        <v>187</v>
      </c>
      <c r="B423" s="26">
        <v>46218</v>
      </c>
      <c r="C423" s="27">
        <v>29449</v>
      </c>
      <c r="D423" s="27"/>
      <c r="E423" s="27" t="s">
        <v>1308</v>
      </c>
      <c r="F423" s="27" t="s">
        <v>48</v>
      </c>
      <c r="G423" s="27" t="s">
        <v>110</v>
      </c>
      <c r="H423" s="30" t="s">
        <v>1204</v>
      </c>
      <c r="I423" s="31" t="s">
        <v>1205</v>
      </c>
      <c r="J423" s="30" t="s">
        <v>1309</v>
      </c>
      <c r="K423" s="27">
        <v>56</v>
      </c>
      <c r="L423" s="27"/>
      <c r="M423" s="27"/>
      <c r="N423" s="31"/>
      <c r="O423" s="27" t="s">
        <v>1310</v>
      </c>
      <c r="P423" s="30"/>
      <c r="Q423" s="30" t="s">
        <v>1311</v>
      </c>
      <c r="R423" s="26">
        <v>46224</v>
      </c>
      <c r="S423" s="26">
        <v>46230</v>
      </c>
      <c r="T423" s="31"/>
      <c r="U423" s="30" t="s">
        <v>68</v>
      </c>
      <c r="V423" s="34" t="s">
        <v>70</v>
      </c>
      <c r="W423" s="27" t="s">
        <v>103</v>
      </c>
      <c r="X423" s="30">
        <v>1</v>
      </c>
      <c r="Y423" s="30">
        <v>1</v>
      </c>
      <c r="Z423" s="30">
        <v>1</v>
      </c>
      <c r="AA423" s="30">
        <v>1</v>
      </c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 t="s">
        <v>1312</v>
      </c>
      <c r="AR423" s="36"/>
      <c r="AS423" s="36"/>
      <c r="AT423" s="36" t="s">
        <v>1313</v>
      </c>
      <c r="AU423" s="36"/>
      <c r="AV423" s="36"/>
      <c r="AW423" s="36"/>
      <c r="AX423" s="36"/>
      <c r="AY423" s="36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27"/>
      <c r="BL423" s="27"/>
    </row>
    <row r="424" spans="1:64">
      <c r="A424" s="25" t="s">
        <v>54</v>
      </c>
      <c r="B424" s="26">
        <v>46219</v>
      </c>
      <c r="C424" s="27">
        <v>5338</v>
      </c>
      <c r="D424" s="27"/>
      <c r="E424" s="27" t="s">
        <v>796</v>
      </c>
      <c r="F424" s="27" t="s">
        <v>185</v>
      </c>
      <c r="G424" s="27" t="s">
        <v>28</v>
      </c>
      <c r="H424" s="30" t="s">
        <v>104</v>
      </c>
      <c r="I424" s="31" t="s">
        <v>1314</v>
      </c>
      <c r="J424" s="30" t="s">
        <v>1315</v>
      </c>
      <c r="K424" s="27">
        <v>1</v>
      </c>
      <c r="L424" s="27"/>
      <c r="M424" s="27"/>
      <c r="N424" s="31" t="s">
        <v>81</v>
      </c>
      <c r="O424" s="27"/>
      <c r="P424" s="30"/>
      <c r="Q424" s="30" t="s">
        <v>1316</v>
      </c>
      <c r="R424" s="26">
        <v>46221</v>
      </c>
      <c r="S424" s="26">
        <v>46223</v>
      </c>
      <c r="T424" s="31"/>
      <c r="U424" s="30" t="s">
        <v>32</v>
      </c>
      <c r="V424" s="34" t="s">
        <v>33</v>
      </c>
      <c r="W424" s="27" t="s">
        <v>341</v>
      </c>
      <c r="X424" s="30">
        <v>1</v>
      </c>
      <c r="Y424" s="30">
        <v>1</v>
      </c>
      <c r="Z424" s="30">
        <v>1</v>
      </c>
      <c r="AA424" s="30">
        <v>1</v>
      </c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 t="s">
        <v>69</v>
      </c>
      <c r="AR424" s="36" t="s">
        <v>81</v>
      </c>
      <c r="AS424" s="36" t="s">
        <v>41</v>
      </c>
      <c r="AT424" s="36"/>
      <c r="AU424" s="36"/>
      <c r="AV424" s="36"/>
      <c r="AW424" s="36"/>
      <c r="AX424" s="36"/>
      <c r="AY424" s="36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27"/>
      <c r="BL424" s="27"/>
    </row>
    <row r="425" spans="1:64">
      <c r="A425" s="68" t="s">
        <v>187</v>
      </c>
      <c r="B425" s="26">
        <v>46219</v>
      </c>
      <c r="C425" s="27">
        <v>29679</v>
      </c>
      <c r="D425" s="27"/>
      <c r="E425" s="27" t="s">
        <v>58</v>
      </c>
      <c r="F425" s="27" t="s">
        <v>59</v>
      </c>
      <c r="G425" s="27" t="s">
        <v>60</v>
      </c>
      <c r="H425" s="30" t="s">
        <v>130</v>
      </c>
      <c r="I425" s="31" t="s">
        <v>1317</v>
      </c>
      <c r="J425" s="30" t="s">
        <v>1318</v>
      </c>
      <c r="K425" s="27">
        <v>42</v>
      </c>
      <c r="L425" s="27">
        <v>201.6</v>
      </c>
      <c r="M425" s="27"/>
      <c r="N425" s="31" t="s">
        <v>94</v>
      </c>
      <c r="O425" s="27"/>
      <c r="P425" s="30"/>
      <c r="Q425" s="30" t="s">
        <v>66</v>
      </c>
      <c r="R425" s="26">
        <v>46221</v>
      </c>
      <c r="S425" s="26">
        <v>46223</v>
      </c>
      <c r="T425" s="31"/>
      <c r="U425" s="30" t="s">
        <v>68</v>
      </c>
      <c r="V425" s="34" t="s">
        <v>70</v>
      </c>
      <c r="W425" s="27" t="s">
        <v>71</v>
      </c>
      <c r="X425" s="30">
        <v>1</v>
      </c>
      <c r="Y425" s="30">
        <v>1</v>
      </c>
      <c r="Z425" s="30">
        <v>1</v>
      </c>
      <c r="AA425" s="30">
        <v>1</v>
      </c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 t="s">
        <v>1256</v>
      </c>
      <c r="AR425" s="36"/>
      <c r="AS425" s="36" t="s">
        <v>41</v>
      </c>
      <c r="AT425" s="36"/>
      <c r="AU425" s="36"/>
      <c r="AV425" s="36"/>
      <c r="AW425" s="36"/>
      <c r="AX425" s="36"/>
      <c r="AY425" s="36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27"/>
      <c r="BL425" s="27"/>
    </row>
    <row r="426" spans="1:64">
      <c r="A426" s="68" t="s">
        <v>54</v>
      </c>
      <c r="B426" s="26">
        <v>46219</v>
      </c>
      <c r="C426" s="27">
        <v>29683</v>
      </c>
      <c r="D426" s="27"/>
      <c r="E426" s="38" t="s">
        <v>642</v>
      </c>
      <c r="F426" s="27" t="s">
        <v>59</v>
      </c>
      <c r="G426" s="38" t="s">
        <v>104</v>
      </c>
      <c r="H426" s="30" t="s">
        <v>1319</v>
      </c>
      <c r="I426" s="31" t="s">
        <v>1320</v>
      </c>
      <c r="J426" s="30" t="s">
        <v>1321</v>
      </c>
      <c r="K426" s="27">
        <v>29</v>
      </c>
      <c r="L426" s="27" t="s">
        <v>1322</v>
      </c>
      <c r="M426" s="27"/>
      <c r="N426" s="31" t="s">
        <v>455</v>
      </c>
      <c r="O426" s="27"/>
      <c r="P426" s="30"/>
      <c r="Q426" s="30" t="s">
        <v>66</v>
      </c>
      <c r="R426" s="26">
        <v>46221</v>
      </c>
      <c r="S426" s="26">
        <v>46223</v>
      </c>
      <c r="T426" s="31"/>
      <c r="U426" s="30" t="s">
        <v>68</v>
      </c>
      <c r="V426" s="34" t="s">
        <v>70</v>
      </c>
      <c r="W426" s="27" t="s">
        <v>643</v>
      </c>
      <c r="X426" s="30"/>
      <c r="Y426" s="30"/>
      <c r="Z426" s="30"/>
      <c r="AA426" s="30">
        <v>1</v>
      </c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 t="s">
        <v>1323</v>
      </c>
      <c r="AR426" s="36"/>
      <c r="AS426" s="36" t="s">
        <v>41</v>
      </c>
      <c r="AT426" s="36"/>
      <c r="AU426" s="36"/>
      <c r="AV426" s="36"/>
      <c r="AW426" s="36"/>
      <c r="AX426" s="36"/>
      <c r="AY426" s="36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27"/>
      <c r="BL426" s="27"/>
    </row>
    <row r="427" spans="1:64">
      <c r="A427" s="68" t="s">
        <v>54</v>
      </c>
      <c r="B427" s="26">
        <v>46219</v>
      </c>
      <c r="C427" s="27">
        <v>29682</v>
      </c>
      <c r="D427" s="27"/>
      <c r="E427" s="38" t="s">
        <v>642</v>
      </c>
      <c r="F427" s="27" t="s">
        <v>59</v>
      </c>
      <c r="G427" s="38" t="s">
        <v>104</v>
      </c>
      <c r="H427" s="30" t="s">
        <v>330</v>
      </c>
      <c r="I427" s="31" t="s">
        <v>1324</v>
      </c>
      <c r="J427" s="30" t="s">
        <v>1325</v>
      </c>
      <c r="K427" s="27">
        <v>4</v>
      </c>
      <c r="L427" s="27" t="s">
        <v>1326</v>
      </c>
      <c r="M427" s="27">
        <v>13</v>
      </c>
      <c r="N427" s="31" t="s">
        <v>1327</v>
      </c>
      <c r="O427" s="27"/>
      <c r="P427" s="30"/>
      <c r="Q427" s="30" t="s">
        <v>66</v>
      </c>
      <c r="R427" s="26">
        <v>46227</v>
      </c>
      <c r="S427" s="26">
        <v>46234</v>
      </c>
      <c r="T427" s="31"/>
      <c r="U427" s="30" t="s">
        <v>68</v>
      </c>
      <c r="V427" s="34" t="s">
        <v>70</v>
      </c>
      <c r="W427" s="27" t="s">
        <v>643</v>
      </c>
      <c r="X427" s="30">
        <v>3</v>
      </c>
      <c r="Y427" s="30">
        <v>1</v>
      </c>
      <c r="Z427" s="30">
        <v>1</v>
      </c>
      <c r="AA427" s="30">
        <v>1</v>
      </c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 t="s">
        <v>1328</v>
      </c>
      <c r="AR427" s="36"/>
      <c r="AS427" s="36"/>
      <c r="AT427" s="36" t="s">
        <v>600</v>
      </c>
      <c r="AU427" s="36"/>
      <c r="AV427" s="36"/>
      <c r="AW427" s="36"/>
      <c r="AX427" s="36"/>
      <c r="AY427" s="36" t="s">
        <v>1329</v>
      </c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27"/>
      <c r="BL427" s="27"/>
    </row>
    <row r="428" spans="1:64">
      <c r="A428" s="68" t="s">
        <v>54</v>
      </c>
      <c r="B428" s="26">
        <v>46219</v>
      </c>
      <c r="C428" s="27"/>
      <c r="D428" s="27">
        <v>46802</v>
      </c>
      <c r="E428" s="27" t="s">
        <v>1190</v>
      </c>
      <c r="F428" s="27" t="s">
        <v>59</v>
      </c>
      <c r="G428" s="27" t="s">
        <v>294</v>
      </c>
      <c r="H428" s="30" t="s">
        <v>309</v>
      </c>
      <c r="I428" s="31" t="s">
        <v>171</v>
      </c>
      <c r="J428" s="30" t="s">
        <v>170</v>
      </c>
      <c r="K428" s="27">
        <v>19</v>
      </c>
      <c r="L428" s="27">
        <v>333</v>
      </c>
      <c r="M428" s="27">
        <v>480</v>
      </c>
      <c r="N428" s="31" t="s">
        <v>1114</v>
      </c>
      <c r="O428" s="27"/>
      <c r="P428" s="30"/>
      <c r="Q428" s="30" t="s">
        <v>66</v>
      </c>
      <c r="R428" s="26">
        <v>46221</v>
      </c>
      <c r="S428" s="26">
        <v>46223</v>
      </c>
      <c r="T428" s="31"/>
      <c r="U428" s="30" t="s">
        <v>68</v>
      </c>
      <c r="V428" s="34" t="s">
        <v>70</v>
      </c>
      <c r="W428" s="27" t="s">
        <v>174</v>
      </c>
      <c r="X428" s="30"/>
      <c r="Y428" s="30"/>
      <c r="Z428" s="30"/>
      <c r="AA428" s="30">
        <v>1</v>
      </c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 t="s">
        <v>1330</v>
      </c>
      <c r="AR428" s="36"/>
      <c r="AS428" s="36" t="s">
        <v>41</v>
      </c>
      <c r="AT428" s="36"/>
      <c r="AU428" s="36"/>
      <c r="AV428" s="36"/>
      <c r="AW428" s="36"/>
      <c r="AX428" s="36"/>
      <c r="AY428" s="36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27"/>
      <c r="BL428" s="27"/>
    </row>
    <row r="429" spans="1:64">
      <c r="A429" s="68" t="s">
        <v>54</v>
      </c>
      <c r="B429" s="26">
        <v>46219</v>
      </c>
      <c r="C429" s="27"/>
      <c r="D429" s="27">
        <v>46803</v>
      </c>
      <c r="E429" s="27" t="s">
        <v>1190</v>
      </c>
      <c r="F429" s="27" t="s">
        <v>59</v>
      </c>
      <c r="G429" s="27" t="s">
        <v>294</v>
      </c>
      <c r="H429" s="30" t="s">
        <v>151</v>
      </c>
      <c r="I429" s="31" t="s">
        <v>1331</v>
      </c>
      <c r="J429" s="30" t="s">
        <v>151</v>
      </c>
      <c r="K429" s="27">
        <v>2</v>
      </c>
      <c r="L429" s="27">
        <v>3</v>
      </c>
      <c r="M429" s="27">
        <v>6</v>
      </c>
      <c r="N429" s="31" t="s">
        <v>1114</v>
      </c>
      <c r="O429" s="27"/>
      <c r="P429" s="30"/>
      <c r="Q429" s="30" t="s">
        <v>1332</v>
      </c>
      <c r="R429" s="26">
        <v>46220</v>
      </c>
      <c r="S429" s="26">
        <v>46223</v>
      </c>
      <c r="T429" s="31"/>
      <c r="U429" s="30" t="s">
        <v>68</v>
      </c>
      <c r="V429" s="34" t="s">
        <v>70</v>
      </c>
      <c r="W429" s="27" t="s">
        <v>174</v>
      </c>
      <c r="X429" s="30">
        <v>1</v>
      </c>
      <c r="Y429" s="30">
        <v>1</v>
      </c>
      <c r="Z429" s="30">
        <v>1</v>
      </c>
      <c r="AA429" s="30">
        <v>1</v>
      </c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 t="s">
        <v>1333</v>
      </c>
      <c r="AR429" s="36" t="s">
        <v>41</v>
      </c>
      <c r="AS429" s="36"/>
      <c r="AT429" s="36"/>
      <c r="AU429" s="36"/>
      <c r="AV429" s="36"/>
      <c r="AW429" s="36"/>
      <c r="AX429" s="36"/>
      <c r="AY429" s="36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27"/>
      <c r="BL429" s="27"/>
    </row>
    <row r="430" spans="1:64">
      <c r="A430" s="68" t="s">
        <v>54</v>
      </c>
      <c r="B430" s="26">
        <v>46219</v>
      </c>
      <c r="C430" s="27"/>
      <c r="D430" s="27">
        <v>46804</v>
      </c>
      <c r="E430" s="27" t="s">
        <v>1190</v>
      </c>
      <c r="F430" s="27" t="s">
        <v>59</v>
      </c>
      <c r="G430" s="27" t="s">
        <v>294</v>
      </c>
      <c r="H430" s="30" t="s">
        <v>151</v>
      </c>
      <c r="I430" s="31" t="s">
        <v>183</v>
      </c>
      <c r="J430" s="30" t="s">
        <v>151</v>
      </c>
      <c r="K430" s="27">
        <v>44</v>
      </c>
      <c r="L430" s="63">
        <v>1044</v>
      </c>
      <c r="M430" s="27"/>
      <c r="N430" s="31" t="s">
        <v>1114</v>
      </c>
      <c r="O430" s="27"/>
      <c r="P430" s="30"/>
      <c r="Q430" s="30" t="s">
        <v>1334</v>
      </c>
      <c r="R430" s="26">
        <v>46220</v>
      </c>
      <c r="S430" s="26">
        <v>46223</v>
      </c>
      <c r="T430" s="31"/>
      <c r="U430" s="30" t="s">
        <v>68</v>
      </c>
      <c r="V430" s="34" t="s">
        <v>70</v>
      </c>
      <c r="W430" s="27" t="s">
        <v>174</v>
      </c>
      <c r="X430" s="30">
        <v>1</v>
      </c>
      <c r="Y430" s="30">
        <v>1</v>
      </c>
      <c r="Z430" s="30">
        <v>1</v>
      </c>
      <c r="AA430" s="30">
        <v>1</v>
      </c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 t="s">
        <v>1333</v>
      </c>
      <c r="AR430" s="36" t="s">
        <v>41</v>
      </c>
      <c r="AS430" s="36"/>
      <c r="AT430" s="36"/>
      <c r="AU430" s="36"/>
      <c r="AV430" s="36"/>
      <c r="AW430" s="36"/>
      <c r="AX430" s="36"/>
      <c r="AY430" s="36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27"/>
      <c r="BL430" s="27"/>
    </row>
    <row r="431" spans="1:64">
      <c r="A431" s="68" t="s">
        <v>187</v>
      </c>
      <c r="B431" s="26">
        <v>46219</v>
      </c>
      <c r="C431" s="27"/>
      <c r="D431" s="27">
        <v>46805</v>
      </c>
      <c r="E431" s="27" t="s">
        <v>1190</v>
      </c>
      <c r="F431" s="27" t="s">
        <v>59</v>
      </c>
      <c r="G431" s="27" t="s">
        <v>294</v>
      </c>
      <c r="H431" s="30" t="s">
        <v>189</v>
      </c>
      <c r="I431" s="31" t="s">
        <v>1335</v>
      </c>
      <c r="J431" s="30" t="s">
        <v>130</v>
      </c>
      <c r="K431" s="27">
        <v>7</v>
      </c>
      <c r="L431" s="27">
        <v>105</v>
      </c>
      <c r="M431" s="27">
        <v>58</v>
      </c>
      <c r="N431" s="31" t="s">
        <v>94</v>
      </c>
      <c r="O431" s="27"/>
      <c r="P431" s="30"/>
      <c r="Q431" s="30" t="s">
        <v>332</v>
      </c>
      <c r="R431" s="26">
        <v>46221</v>
      </c>
      <c r="S431" s="26">
        <v>46223</v>
      </c>
      <c r="T431" s="31"/>
      <c r="U431" s="30" t="s">
        <v>68</v>
      </c>
      <c r="V431" s="34" t="s">
        <v>70</v>
      </c>
      <c r="W431" s="27" t="s">
        <v>174</v>
      </c>
      <c r="X431" s="30">
        <v>1</v>
      </c>
      <c r="Y431" s="30">
        <v>1</v>
      </c>
      <c r="Z431" s="30">
        <v>1</v>
      </c>
      <c r="AA431" s="30">
        <v>1</v>
      </c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 t="s">
        <v>1256</v>
      </c>
      <c r="AR431" s="36"/>
      <c r="AS431" s="36" t="s">
        <v>41</v>
      </c>
      <c r="AT431" s="36"/>
      <c r="AU431" s="36"/>
      <c r="AV431" s="36"/>
      <c r="AW431" s="36"/>
      <c r="AX431" s="36"/>
      <c r="AY431" s="36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27"/>
      <c r="BL431" s="27"/>
    </row>
    <row r="432" spans="1:64">
      <c r="A432" s="68" t="s">
        <v>187</v>
      </c>
      <c r="B432" s="26">
        <v>46219</v>
      </c>
      <c r="C432" s="27"/>
      <c r="D432" s="27">
        <v>46806</v>
      </c>
      <c r="E432" s="27" t="s">
        <v>1190</v>
      </c>
      <c r="F432" s="27" t="s">
        <v>59</v>
      </c>
      <c r="G432" s="27" t="s">
        <v>294</v>
      </c>
      <c r="H432" s="30" t="s">
        <v>189</v>
      </c>
      <c r="I432" s="31" t="s">
        <v>814</v>
      </c>
      <c r="J432" s="30" t="s">
        <v>130</v>
      </c>
      <c r="K432" s="27">
        <v>46</v>
      </c>
      <c r="L432" s="27">
        <v>506</v>
      </c>
      <c r="M432" s="27">
        <v>974</v>
      </c>
      <c r="N432" s="31" t="s">
        <v>94</v>
      </c>
      <c r="O432" s="27"/>
      <c r="P432" s="30"/>
      <c r="Q432" s="30" t="s">
        <v>1197</v>
      </c>
      <c r="R432" s="26">
        <v>46221</v>
      </c>
      <c r="S432" s="26">
        <v>46223</v>
      </c>
      <c r="T432" s="31"/>
      <c r="U432" s="30" t="s">
        <v>68</v>
      </c>
      <c r="V432" s="34" t="s">
        <v>70</v>
      </c>
      <c r="W432" s="27" t="s">
        <v>174</v>
      </c>
      <c r="X432" s="30">
        <v>1</v>
      </c>
      <c r="Y432" s="30">
        <v>1</v>
      </c>
      <c r="Z432" s="30">
        <v>1</v>
      </c>
      <c r="AA432" s="30">
        <v>1</v>
      </c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 t="s">
        <v>1256</v>
      </c>
      <c r="AR432" s="36"/>
      <c r="AS432" s="36" t="s">
        <v>41</v>
      </c>
      <c r="AT432" s="36"/>
      <c r="AU432" s="36"/>
      <c r="AV432" s="36"/>
      <c r="AW432" s="36"/>
      <c r="AX432" s="36"/>
      <c r="AY432" s="36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27"/>
      <c r="BL432" s="27"/>
    </row>
    <row r="433" spans="1:64">
      <c r="A433" s="68" t="s">
        <v>54</v>
      </c>
      <c r="B433" s="26">
        <v>46219</v>
      </c>
      <c r="C433" s="27">
        <v>29680</v>
      </c>
      <c r="D433" s="27" t="s">
        <v>1336</v>
      </c>
      <c r="E433" s="27" t="s">
        <v>101</v>
      </c>
      <c r="F433" s="27" t="s">
        <v>59</v>
      </c>
      <c r="G433" s="27" t="s">
        <v>294</v>
      </c>
      <c r="H433" s="30" t="s">
        <v>144</v>
      </c>
      <c r="I433" s="31" t="s">
        <v>690</v>
      </c>
      <c r="J433" s="30" t="s">
        <v>1337</v>
      </c>
      <c r="K433" s="27">
        <v>15</v>
      </c>
      <c r="L433" s="27">
        <v>15</v>
      </c>
      <c r="M433" s="27"/>
      <c r="N433" s="31" t="s">
        <v>455</v>
      </c>
      <c r="O433" s="27"/>
      <c r="P433" s="30"/>
      <c r="Q433" s="30" t="s">
        <v>66</v>
      </c>
      <c r="R433" s="26">
        <v>46220</v>
      </c>
      <c r="S433" s="26">
        <v>46223</v>
      </c>
      <c r="T433" s="31"/>
      <c r="U433" s="30" t="s">
        <v>68</v>
      </c>
      <c r="V433" s="34" t="s">
        <v>70</v>
      </c>
      <c r="W433" s="27" t="s">
        <v>101</v>
      </c>
      <c r="X433" s="30">
        <v>1</v>
      </c>
      <c r="Y433" s="30">
        <v>1</v>
      </c>
      <c r="Z433" s="30">
        <v>1</v>
      </c>
      <c r="AA433" s="30">
        <v>1</v>
      </c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 t="s">
        <v>1323</v>
      </c>
      <c r="AR433" s="36" t="s">
        <v>41</v>
      </c>
      <c r="AS433" s="36"/>
      <c r="AT433" s="36"/>
      <c r="AU433" s="36"/>
      <c r="AV433" s="36"/>
      <c r="AW433" s="36"/>
      <c r="AX433" s="36"/>
      <c r="AY433" s="36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27"/>
      <c r="BL433" s="27"/>
    </row>
    <row r="434" spans="1:64">
      <c r="A434" s="68" t="s">
        <v>54</v>
      </c>
      <c r="B434" s="26">
        <v>46219</v>
      </c>
      <c r="C434" s="27"/>
      <c r="D434" s="27">
        <v>43848</v>
      </c>
      <c r="E434" s="27" t="s">
        <v>284</v>
      </c>
      <c r="F434" s="38" t="s">
        <v>48</v>
      </c>
      <c r="G434" s="27" t="s">
        <v>110</v>
      </c>
      <c r="H434" s="30" t="s">
        <v>461</v>
      </c>
      <c r="I434" s="31" t="s">
        <v>1338</v>
      </c>
      <c r="J434" s="30" t="s">
        <v>1339</v>
      </c>
      <c r="K434" s="27">
        <v>12</v>
      </c>
      <c r="L434" s="27">
        <v>90</v>
      </c>
      <c r="M434" s="27" t="s">
        <v>1340</v>
      </c>
      <c r="N434" s="31" t="s">
        <v>247</v>
      </c>
      <c r="O434" s="27"/>
      <c r="P434" s="30"/>
      <c r="Q434" s="30" t="s">
        <v>1341</v>
      </c>
      <c r="R434" s="26">
        <v>46223</v>
      </c>
      <c r="S434" s="26">
        <v>46227</v>
      </c>
      <c r="T434" s="31"/>
      <c r="U434" s="30" t="s">
        <v>68</v>
      </c>
      <c r="V434" s="34" t="s">
        <v>70</v>
      </c>
      <c r="W434" s="27" t="s">
        <v>284</v>
      </c>
      <c r="X434" s="30">
        <v>1</v>
      </c>
      <c r="Y434" s="30">
        <v>1</v>
      </c>
      <c r="Z434" s="30">
        <v>1</v>
      </c>
      <c r="AA434" s="30">
        <v>1</v>
      </c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 t="s">
        <v>118</v>
      </c>
      <c r="AR434" s="36" t="s">
        <v>1327</v>
      </c>
      <c r="AS434" s="36"/>
      <c r="AT434" s="36" t="s">
        <v>321</v>
      </c>
      <c r="AU434" s="36" t="s">
        <v>251</v>
      </c>
      <c r="AV434" s="36"/>
      <c r="AW434" s="36"/>
      <c r="AX434" s="36"/>
      <c r="AY434" s="36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27"/>
      <c r="BL434" s="27"/>
    </row>
    <row r="435" spans="1:64">
      <c r="A435" s="68" t="s">
        <v>54</v>
      </c>
      <c r="B435" s="26">
        <v>46219</v>
      </c>
      <c r="C435" s="27"/>
      <c r="D435" s="27">
        <v>42265</v>
      </c>
      <c r="E435" s="27" t="s">
        <v>284</v>
      </c>
      <c r="F435" s="38" t="s">
        <v>48</v>
      </c>
      <c r="G435" s="27" t="s">
        <v>110</v>
      </c>
      <c r="H435" s="30" t="s">
        <v>60</v>
      </c>
      <c r="I435" s="31" t="s">
        <v>1342</v>
      </c>
      <c r="J435" s="30" t="s">
        <v>1343</v>
      </c>
      <c r="K435" s="27">
        <v>4</v>
      </c>
      <c r="L435" s="27">
        <v>81</v>
      </c>
      <c r="M435" s="27"/>
      <c r="N435" s="31" t="s">
        <v>81</v>
      </c>
      <c r="O435" s="27"/>
      <c r="P435" s="30"/>
      <c r="Q435" s="30" t="s">
        <v>66</v>
      </c>
      <c r="R435" s="26">
        <v>46223</v>
      </c>
      <c r="S435" s="26">
        <v>46223</v>
      </c>
      <c r="T435" s="31"/>
      <c r="U435" s="30" t="s">
        <v>68</v>
      </c>
      <c r="V435" s="34" t="s">
        <v>70</v>
      </c>
      <c r="W435" s="27" t="s">
        <v>284</v>
      </c>
      <c r="X435" s="30">
        <v>1</v>
      </c>
      <c r="Y435" s="30">
        <v>1</v>
      </c>
      <c r="Z435" s="30">
        <v>1</v>
      </c>
      <c r="AA435" s="30">
        <v>1</v>
      </c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 t="s">
        <v>118</v>
      </c>
      <c r="AR435" s="36" t="s">
        <v>866</v>
      </c>
      <c r="AS435" s="36"/>
      <c r="AT435" s="36"/>
      <c r="AU435" s="36" t="s">
        <v>1344</v>
      </c>
      <c r="AV435" s="36"/>
      <c r="AW435" s="36"/>
      <c r="AX435" s="36"/>
      <c r="AY435" s="36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27"/>
      <c r="BL435" s="27"/>
    </row>
    <row r="436" spans="1:64">
      <c r="A436" s="68" t="s">
        <v>187</v>
      </c>
      <c r="B436" s="26">
        <v>46219</v>
      </c>
      <c r="C436" s="27"/>
      <c r="D436" s="27">
        <v>53819</v>
      </c>
      <c r="E436" s="27" t="s">
        <v>780</v>
      </c>
      <c r="F436" s="38" t="s">
        <v>48</v>
      </c>
      <c r="G436" s="27" t="s">
        <v>438</v>
      </c>
      <c r="H436" s="30" t="s">
        <v>189</v>
      </c>
      <c r="I436" s="31" t="s">
        <v>1345</v>
      </c>
      <c r="J436" s="30" t="s">
        <v>1346</v>
      </c>
      <c r="K436" s="27">
        <v>4</v>
      </c>
      <c r="L436" s="27">
        <v>66</v>
      </c>
      <c r="M436" s="27"/>
      <c r="N436" s="31" t="s">
        <v>1347</v>
      </c>
      <c r="O436" s="27"/>
      <c r="P436" s="30"/>
      <c r="Q436" s="30" t="s">
        <v>66</v>
      </c>
      <c r="R436" s="26">
        <v>46225</v>
      </c>
      <c r="S436" s="26">
        <v>46231</v>
      </c>
      <c r="T436" s="31"/>
      <c r="U436" s="30" t="s">
        <v>32</v>
      </c>
      <c r="V436" s="34" t="s">
        <v>33</v>
      </c>
      <c r="W436" s="27" t="s">
        <v>747</v>
      </c>
      <c r="X436" s="30">
        <v>2</v>
      </c>
      <c r="Y436" s="30">
        <v>2</v>
      </c>
      <c r="Z436" s="30">
        <v>2</v>
      </c>
      <c r="AA436" s="30">
        <v>1</v>
      </c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 t="s">
        <v>118</v>
      </c>
      <c r="AR436" s="36" t="s">
        <v>866</v>
      </c>
      <c r="AS436" s="36"/>
      <c r="AT436" s="36"/>
      <c r="AU436" s="36" t="s">
        <v>1348</v>
      </c>
      <c r="AV436" s="36"/>
      <c r="AW436" s="36" t="s">
        <v>90</v>
      </c>
      <c r="AX436" s="36"/>
      <c r="AY436" s="36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27"/>
      <c r="BL436" s="27"/>
    </row>
    <row r="437" spans="1:64">
      <c r="A437" s="27" t="s">
        <v>54</v>
      </c>
      <c r="B437" s="26">
        <v>46219</v>
      </c>
      <c r="C437" s="27">
        <v>29811</v>
      </c>
      <c r="D437" s="27"/>
      <c r="E437" s="27" t="s">
        <v>203</v>
      </c>
      <c r="F437" s="27" t="s">
        <v>59</v>
      </c>
      <c r="G437" s="27" t="s">
        <v>104</v>
      </c>
      <c r="H437" s="30" t="s">
        <v>120</v>
      </c>
      <c r="I437" s="31" t="s">
        <v>1349</v>
      </c>
      <c r="J437" s="30" t="s">
        <v>120</v>
      </c>
      <c r="K437" s="27">
        <v>1</v>
      </c>
      <c r="L437" s="27" t="s">
        <v>205</v>
      </c>
      <c r="M437" s="27"/>
      <c r="N437" s="31" t="s">
        <v>455</v>
      </c>
      <c r="O437" s="27"/>
      <c r="P437" s="30"/>
      <c r="Q437" s="30" t="s">
        <v>66</v>
      </c>
      <c r="R437" s="26">
        <v>46220</v>
      </c>
      <c r="S437" s="26">
        <v>46223</v>
      </c>
      <c r="T437" s="31"/>
      <c r="U437" s="30" t="s">
        <v>68</v>
      </c>
      <c r="V437" s="34" t="s">
        <v>70</v>
      </c>
      <c r="W437" s="27" t="s">
        <v>208</v>
      </c>
      <c r="X437" s="30">
        <v>1</v>
      </c>
      <c r="Y437" s="30">
        <v>1</v>
      </c>
      <c r="Z437" s="30">
        <v>1</v>
      </c>
      <c r="AA437" s="30">
        <v>1</v>
      </c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 t="s">
        <v>1323</v>
      </c>
      <c r="AR437" s="36" t="s">
        <v>41</v>
      </c>
      <c r="AS437" s="36"/>
      <c r="AT437" s="36"/>
      <c r="AU437" s="36"/>
      <c r="AV437" s="36"/>
      <c r="AW437" s="36"/>
      <c r="AX437" s="36"/>
      <c r="AY437" s="36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27"/>
      <c r="BL437" s="27"/>
    </row>
    <row r="438" spans="1:64">
      <c r="A438" s="27" t="s">
        <v>54</v>
      </c>
      <c r="B438" s="26">
        <v>46219</v>
      </c>
      <c r="C438" s="27">
        <v>29799</v>
      </c>
      <c r="D438" s="27"/>
      <c r="E438" s="27" t="s">
        <v>203</v>
      </c>
      <c r="F438" s="27" t="s">
        <v>59</v>
      </c>
      <c r="G438" s="27" t="s">
        <v>104</v>
      </c>
      <c r="H438" s="30" t="s">
        <v>225</v>
      </c>
      <c r="I438" s="31" t="s">
        <v>1350</v>
      </c>
      <c r="J438" s="30" t="s">
        <v>227</v>
      </c>
      <c r="K438" s="27">
        <v>1</v>
      </c>
      <c r="L438" s="27" t="s">
        <v>205</v>
      </c>
      <c r="M438" s="27"/>
      <c r="N438" s="31" t="s">
        <v>1114</v>
      </c>
      <c r="O438" s="27"/>
      <c r="P438" s="30"/>
      <c r="Q438" s="30" t="s">
        <v>66</v>
      </c>
      <c r="R438" s="26">
        <v>46221</v>
      </c>
      <c r="S438" s="26">
        <v>46223</v>
      </c>
      <c r="T438" s="31"/>
      <c r="U438" s="30" t="s">
        <v>68</v>
      </c>
      <c r="V438" s="34" t="s">
        <v>70</v>
      </c>
      <c r="W438" s="27" t="s">
        <v>208</v>
      </c>
      <c r="X438" s="30">
        <v>1</v>
      </c>
      <c r="Y438" s="30">
        <v>1</v>
      </c>
      <c r="Z438" s="30">
        <v>1</v>
      </c>
      <c r="AA438" s="30">
        <v>1</v>
      </c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 t="s">
        <v>1333</v>
      </c>
      <c r="AR438" s="36"/>
      <c r="AS438" s="36" t="s">
        <v>41</v>
      </c>
      <c r="AT438" s="36"/>
      <c r="AU438" s="36"/>
      <c r="AV438" s="36"/>
      <c r="AW438" s="36"/>
      <c r="AX438" s="36"/>
      <c r="AY438" s="36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27"/>
      <c r="BL438" s="27"/>
    </row>
    <row r="439" spans="1:64">
      <c r="A439" s="27" t="s">
        <v>54</v>
      </c>
      <c r="B439" s="26">
        <v>46219</v>
      </c>
      <c r="C439" s="27">
        <v>29807</v>
      </c>
      <c r="D439" s="27"/>
      <c r="E439" s="27" t="s">
        <v>212</v>
      </c>
      <c r="F439" s="27" t="s">
        <v>59</v>
      </c>
      <c r="G439" s="27" t="s">
        <v>104</v>
      </c>
      <c r="H439" s="30" t="s">
        <v>538</v>
      </c>
      <c r="I439" s="31" t="s">
        <v>1351</v>
      </c>
      <c r="J439" s="30" t="s">
        <v>757</v>
      </c>
      <c r="K439" s="27">
        <v>1</v>
      </c>
      <c r="L439" s="27" t="s">
        <v>205</v>
      </c>
      <c r="M439" s="27"/>
      <c r="N439" s="31" t="s">
        <v>154</v>
      </c>
      <c r="O439" s="27"/>
      <c r="P439" s="30"/>
      <c r="Q439" s="30" t="s">
        <v>66</v>
      </c>
      <c r="R439" s="26">
        <v>46224</v>
      </c>
      <c r="S439" s="26">
        <v>46225</v>
      </c>
      <c r="T439" s="31"/>
      <c r="U439" s="30" t="s">
        <v>68</v>
      </c>
      <c r="V439" s="34" t="s">
        <v>70</v>
      </c>
      <c r="W439" s="27" t="s">
        <v>208</v>
      </c>
      <c r="X439" s="30">
        <v>3</v>
      </c>
      <c r="Y439" s="30">
        <v>1</v>
      </c>
      <c r="Z439" s="30">
        <v>1</v>
      </c>
      <c r="AA439" s="30">
        <v>1</v>
      </c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 t="s">
        <v>69</v>
      </c>
      <c r="AR439" s="36"/>
      <c r="AS439" s="36"/>
      <c r="AT439" s="36"/>
      <c r="AU439" s="36" t="s">
        <v>154</v>
      </c>
      <c r="AV439" s="36" t="s">
        <v>41</v>
      </c>
      <c r="AW439" s="36"/>
      <c r="AX439" s="36"/>
      <c r="AY439" s="36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27"/>
      <c r="BL439" s="27"/>
    </row>
    <row r="440" spans="1:64">
      <c r="A440" s="27" t="s">
        <v>54</v>
      </c>
      <c r="B440" s="26">
        <v>46219</v>
      </c>
      <c r="C440" s="27">
        <v>29821</v>
      </c>
      <c r="D440" s="27"/>
      <c r="E440" s="27" t="s">
        <v>203</v>
      </c>
      <c r="F440" s="27" t="s">
        <v>59</v>
      </c>
      <c r="G440" s="27" t="s">
        <v>104</v>
      </c>
      <c r="H440" s="30" t="s">
        <v>175</v>
      </c>
      <c r="I440" s="31" t="s">
        <v>1352</v>
      </c>
      <c r="J440" s="30" t="s">
        <v>175</v>
      </c>
      <c r="K440" s="27">
        <v>1</v>
      </c>
      <c r="L440" s="27" t="s">
        <v>205</v>
      </c>
      <c r="M440" s="27"/>
      <c r="N440" s="31" t="s">
        <v>455</v>
      </c>
      <c r="O440" s="27"/>
      <c r="P440" s="30"/>
      <c r="Q440" s="30" t="s">
        <v>66</v>
      </c>
      <c r="R440" s="26">
        <v>46220</v>
      </c>
      <c r="S440" s="26">
        <v>46223</v>
      </c>
      <c r="T440" s="31"/>
      <c r="U440" s="30" t="s">
        <v>68</v>
      </c>
      <c r="V440" s="34" t="s">
        <v>70</v>
      </c>
      <c r="W440" s="27" t="s">
        <v>208</v>
      </c>
      <c r="X440" s="30">
        <v>1</v>
      </c>
      <c r="Y440" s="30">
        <v>1</v>
      </c>
      <c r="Z440" s="30">
        <v>1</v>
      </c>
      <c r="AA440" s="30">
        <v>1</v>
      </c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 t="s">
        <v>1323</v>
      </c>
      <c r="AR440" s="36" t="s">
        <v>41</v>
      </c>
      <c r="AS440" s="36"/>
      <c r="AT440" s="36"/>
      <c r="AU440" s="36"/>
      <c r="AV440" s="36"/>
      <c r="AW440" s="36"/>
      <c r="AX440" s="36"/>
      <c r="AY440" s="36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27"/>
      <c r="BL440" s="27"/>
    </row>
    <row r="441" spans="1:64">
      <c r="A441" s="27" t="s">
        <v>54</v>
      </c>
      <c r="B441" s="26">
        <v>46219</v>
      </c>
      <c r="C441" s="27">
        <v>29810</v>
      </c>
      <c r="D441" s="27"/>
      <c r="E441" s="27" t="s">
        <v>203</v>
      </c>
      <c r="F441" s="27" t="s">
        <v>59</v>
      </c>
      <c r="G441" s="27" t="s">
        <v>104</v>
      </c>
      <c r="H441" s="30" t="s">
        <v>175</v>
      </c>
      <c r="I441" s="31" t="s">
        <v>1295</v>
      </c>
      <c r="J441" s="30" t="s">
        <v>175</v>
      </c>
      <c r="K441" s="27">
        <v>1</v>
      </c>
      <c r="L441" s="27" t="s">
        <v>205</v>
      </c>
      <c r="M441" s="27"/>
      <c r="N441" s="31" t="s">
        <v>455</v>
      </c>
      <c r="O441" s="27"/>
      <c r="P441" s="30"/>
      <c r="Q441" s="30" t="s">
        <v>66</v>
      </c>
      <c r="R441" s="26">
        <v>46220</v>
      </c>
      <c r="S441" s="26">
        <v>46223</v>
      </c>
      <c r="T441" s="31"/>
      <c r="U441" s="30" t="s">
        <v>68</v>
      </c>
      <c r="V441" s="34" t="s">
        <v>70</v>
      </c>
      <c r="W441" s="27" t="s">
        <v>208</v>
      </c>
      <c r="X441" s="30">
        <v>1</v>
      </c>
      <c r="Y441" s="30">
        <v>1</v>
      </c>
      <c r="Z441" s="30">
        <v>1</v>
      </c>
      <c r="AA441" s="30">
        <v>1</v>
      </c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 t="s">
        <v>1323</v>
      </c>
      <c r="AR441" s="36" t="s">
        <v>41</v>
      </c>
      <c r="AS441" s="36"/>
      <c r="AT441" s="36"/>
      <c r="AU441" s="36"/>
      <c r="AV441" s="36"/>
      <c r="AW441" s="36"/>
      <c r="AX441" s="36"/>
      <c r="AY441" s="36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27"/>
      <c r="BL441" s="27"/>
    </row>
    <row r="442" spans="1:64">
      <c r="A442" s="27" t="s">
        <v>54</v>
      </c>
      <c r="B442" s="26">
        <v>46219</v>
      </c>
      <c r="C442" s="27">
        <v>29798</v>
      </c>
      <c r="D442" s="27"/>
      <c r="E442" s="27" t="s">
        <v>233</v>
      </c>
      <c r="F442" s="27" t="s">
        <v>59</v>
      </c>
      <c r="G442" s="27" t="s">
        <v>104</v>
      </c>
      <c r="H442" s="30" t="s">
        <v>144</v>
      </c>
      <c r="I442" s="31" t="s">
        <v>775</v>
      </c>
      <c r="J442" s="30" t="s">
        <v>144</v>
      </c>
      <c r="K442" s="27">
        <v>1</v>
      </c>
      <c r="L442" s="27" t="s">
        <v>205</v>
      </c>
      <c r="M442" s="27"/>
      <c r="N442" s="31" t="s">
        <v>455</v>
      </c>
      <c r="O442" s="27"/>
      <c r="P442" s="30"/>
      <c r="Q442" s="30" t="s">
        <v>66</v>
      </c>
      <c r="R442" s="26">
        <v>46221</v>
      </c>
      <c r="S442" s="26">
        <v>46223</v>
      </c>
      <c r="T442" s="31"/>
      <c r="U442" s="30" t="s">
        <v>68</v>
      </c>
      <c r="V442" s="34" t="s">
        <v>70</v>
      </c>
      <c r="W442" s="27" t="s">
        <v>208</v>
      </c>
      <c r="X442" s="30">
        <v>1</v>
      </c>
      <c r="Y442" s="30">
        <v>1</v>
      </c>
      <c r="Z442" s="30">
        <v>1</v>
      </c>
      <c r="AA442" s="30">
        <v>1</v>
      </c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 t="s">
        <v>1323</v>
      </c>
      <c r="AR442" s="36"/>
      <c r="AS442" s="36" t="s">
        <v>90</v>
      </c>
      <c r="AT442" s="36"/>
      <c r="AU442" s="36"/>
      <c r="AV442" s="36"/>
      <c r="AW442" s="36"/>
      <c r="AX442" s="36"/>
      <c r="AY442" s="36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27"/>
      <c r="BL442" s="27"/>
    </row>
    <row r="443" spans="1:64">
      <c r="A443" s="27" t="s">
        <v>54</v>
      </c>
      <c r="B443" s="26">
        <v>46219</v>
      </c>
      <c r="C443" s="27">
        <v>29818</v>
      </c>
      <c r="D443" s="27"/>
      <c r="E443" s="27" t="s">
        <v>203</v>
      </c>
      <c r="F443" s="27" t="s">
        <v>59</v>
      </c>
      <c r="G443" s="27" t="s">
        <v>104</v>
      </c>
      <c r="H443" s="30" t="s">
        <v>144</v>
      </c>
      <c r="I443" s="31" t="s">
        <v>829</v>
      </c>
      <c r="J443" s="30" t="s">
        <v>144</v>
      </c>
      <c r="K443" s="27">
        <v>1</v>
      </c>
      <c r="L443" s="27" t="s">
        <v>205</v>
      </c>
      <c r="M443" s="27"/>
      <c r="N443" s="31" t="s">
        <v>455</v>
      </c>
      <c r="O443" s="27"/>
      <c r="P443" s="30"/>
      <c r="Q443" s="30" t="s">
        <v>1306</v>
      </c>
      <c r="R443" s="26">
        <v>46221</v>
      </c>
      <c r="S443" s="26">
        <v>46223</v>
      </c>
      <c r="T443" s="31"/>
      <c r="U443" s="30" t="s">
        <v>68</v>
      </c>
      <c r="V443" s="34" t="s">
        <v>70</v>
      </c>
      <c r="W443" s="27" t="s">
        <v>208</v>
      </c>
      <c r="X443" s="30">
        <v>1</v>
      </c>
      <c r="Y443" s="30">
        <v>1</v>
      </c>
      <c r="Z443" s="30">
        <v>1</v>
      </c>
      <c r="AA443" s="30">
        <v>1</v>
      </c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 t="s">
        <v>1323</v>
      </c>
      <c r="AR443" s="36"/>
      <c r="AS443" s="36" t="s">
        <v>90</v>
      </c>
      <c r="AT443" s="36"/>
      <c r="AU443" s="36"/>
      <c r="AV443" s="36"/>
      <c r="AW443" s="36"/>
      <c r="AX443" s="36"/>
      <c r="AY443" s="36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27"/>
      <c r="BL443" s="27"/>
    </row>
    <row r="444" spans="1:64">
      <c r="A444" s="27" t="s">
        <v>54</v>
      </c>
      <c r="B444" s="26">
        <v>46219</v>
      </c>
      <c r="C444" s="27">
        <v>29812</v>
      </c>
      <c r="D444" s="27"/>
      <c r="E444" s="27" t="s">
        <v>203</v>
      </c>
      <c r="F444" s="27" t="s">
        <v>59</v>
      </c>
      <c r="G444" s="27" t="s">
        <v>104</v>
      </c>
      <c r="H444" s="30" t="s">
        <v>106</v>
      </c>
      <c r="I444" s="31" t="s">
        <v>1353</v>
      </c>
      <c r="J444" s="30" t="s">
        <v>106</v>
      </c>
      <c r="K444" s="27">
        <v>1</v>
      </c>
      <c r="L444" s="27" t="s">
        <v>205</v>
      </c>
      <c r="M444" s="27"/>
      <c r="N444" s="31" t="s">
        <v>455</v>
      </c>
      <c r="O444" s="27"/>
      <c r="P444" s="30"/>
      <c r="Q444" s="30" t="s">
        <v>772</v>
      </c>
      <c r="R444" s="26">
        <v>46221</v>
      </c>
      <c r="S444" s="26">
        <v>46223</v>
      </c>
      <c r="T444" s="31"/>
      <c r="U444" s="30" t="s">
        <v>68</v>
      </c>
      <c r="V444" s="34" t="s">
        <v>70</v>
      </c>
      <c r="W444" s="27" t="s">
        <v>208</v>
      </c>
      <c r="X444" s="30">
        <v>1</v>
      </c>
      <c r="Y444" s="30">
        <v>1</v>
      </c>
      <c r="Z444" s="30">
        <v>1</v>
      </c>
      <c r="AA444" s="30">
        <v>1</v>
      </c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 t="s">
        <v>1323</v>
      </c>
      <c r="AR444" s="36"/>
      <c r="AS444" s="36" t="s">
        <v>90</v>
      </c>
      <c r="AT444" s="36"/>
      <c r="AU444" s="36"/>
      <c r="AV444" s="36"/>
      <c r="AW444" s="36"/>
      <c r="AX444" s="36"/>
      <c r="AY444" s="36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27"/>
      <c r="BL444" s="27"/>
    </row>
    <row r="445" spans="1:64">
      <c r="A445" s="27" t="s">
        <v>54</v>
      </c>
      <c r="B445" s="26">
        <v>46219</v>
      </c>
      <c r="C445" s="27">
        <v>29795</v>
      </c>
      <c r="D445" s="27"/>
      <c r="E445" s="27" t="s">
        <v>233</v>
      </c>
      <c r="F445" s="27" t="s">
        <v>59</v>
      </c>
      <c r="G445" s="27" t="s">
        <v>104</v>
      </c>
      <c r="H445" s="30" t="s">
        <v>106</v>
      </c>
      <c r="I445" s="31" t="s">
        <v>463</v>
      </c>
      <c r="J445" s="30" t="s">
        <v>106</v>
      </c>
      <c r="K445" s="27">
        <v>1</v>
      </c>
      <c r="L445" s="27" t="s">
        <v>205</v>
      </c>
      <c r="M445" s="27"/>
      <c r="N445" s="31" t="s">
        <v>455</v>
      </c>
      <c r="O445" s="27"/>
      <c r="P445" s="30"/>
      <c r="Q445" s="30" t="s">
        <v>924</v>
      </c>
      <c r="R445" s="26">
        <v>46221</v>
      </c>
      <c r="S445" s="26">
        <v>46223</v>
      </c>
      <c r="T445" s="31"/>
      <c r="U445" s="30" t="s">
        <v>68</v>
      </c>
      <c r="V445" s="34" t="s">
        <v>70</v>
      </c>
      <c r="W445" s="27" t="s">
        <v>208</v>
      </c>
      <c r="X445" s="30">
        <v>1</v>
      </c>
      <c r="Y445" s="30">
        <v>1</v>
      </c>
      <c r="Z445" s="30">
        <v>1</v>
      </c>
      <c r="AA445" s="30">
        <v>1</v>
      </c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 t="s">
        <v>1323</v>
      </c>
      <c r="AR445" s="36"/>
      <c r="AS445" s="36" t="s">
        <v>90</v>
      </c>
      <c r="AT445" s="36"/>
      <c r="AU445" s="36"/>
      <c r="AV445" s="36"/>
      <c r="AW445" s="36"/>
      <c r="AX445" s="36"/>
      <c r="AY445" s="36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27"/>
      <c r="BL445" s="27"/>
    </row>
    <row r="446" spans="1:64">
      <c r="A446" s="27" t="s">
        <v>54</v>
      </c>
      <c r="B446" s="26">
        <v>46219</v>
      </c>
      <c r="C446" s="27">
        <v>29794</v>
      </c>
      <c r="D446" s="27"/>
      <c r="E446" s="27" t="s">
        <v>203</v>
      </c>
      <c r="F446" s="27" t="s">
        <v>59</v>
      </c>
      <c r="G446" s="27" t="s">
        <v>104</v>
      </c>
      <c r="H446" s="30" t="s">
        <v>106</v>
      </c>
      <c r="I446" s="31" t="s">
        <v>1354</v>
      </c>
      <c r="J446" s="30" t="s">
        <v>106</v>
      </c>
      <c r="K446" s="27">
        <v>1</v>
      </c>
      <c r="L446" s="27" t="s">
        <v>205</v>
      </c>
      <c r="M446" s="27"/>
      <c r="N446" s="31" t="s">
        <v>455</v>
      </c>
      <c r="O446" s="27"/>
      <c r="P446" s="30"/>
      <c r="Q446" s="30" t="s">
        <v>434</v>
      </c>
      <c r="R446" s="26">
        <v>46221</v>
      </c>
      <c r="S446" s="26">
        <v>46223</v>
      </c>
      <c r="T446" s="31"/>
      <c r="U446" s="30" t="s">
        <v>68</v>
      </c>
      <c r="V446" s="34" t="s">
        <v>70</v>
      </c>
      <c r="W446" s="27" t="s">
        <v>208</v>
      </c>
      <c r="X446" s="30">
        <v>1</v>
      </c>
      <c r="Y446" s="30">
        <v>1</v>
      </c>
      <c r="Z446" s="30">
        <v>1</v>
      </c>
      <c r="AA446" s="30">
        <v>1</v>
      </c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 t="s">
        <v>1323</v>
      </c>
      <c r="AR446" s="36"/>
      <c r="AS446" s="36" t="s">
        <v>90</v>
      </c>
      <c r="AT446" s="36"/>
      <c r="AU446" s="36"/>
      <c r="AV446" s="36"/>
      <c r="AW446" s="36"/>
      <c r="AX446" s="36"/>
      <c r="AY446" s="36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27"/>
      <c r="BL446" s="27"/>
    </row>
    <row r="447" spans="1:64">
      <c r="A447" s="27" t="s">
        <v>54</v>
      </c>
      <c r="B447" s="26">
        <v>46219</v>
      </c>
      <c r="C447" s="27">
        <v>29803</v>
      </c>
      <c r="D447" s="27"/>
      <c r="E447" s="27" t="s">
        <v>203</v>
      </c>
      <c r="F447" s="27" t="s">
        <v>59</v>
      </c>
      <c r="G447" s="27" t="s">
        <v>104</v>
      </c>
      <c r="H447" s="30" t="s">
        <v>280</v>
      </c>
      <c r="I447" s="31" t="s">
        <v>1355</v>
      </c>
      <c r="J447" s="30" t="s">
        <v>280</v>
      </c>
      <c r="K447" s="27">
        <v>1</v>
      </c>
      <c r="L447" s="27" t="s">
        <v>205</v>
      </c>
      <c r="M447" s="27"/>
      <c r="N447" s="31" t="s">
        <v>1356</v>
      </c>
      <c r="O447" s="27"/>
      <c r="P447" s="30"/>
      <c r="Q447" s="30" t="s">
        <v>1357</v>
      </c>
      <c r="R447" s="26">
        <v>46220</v>
      </c>
      <c r="S447" s="26">
        <v>46223</v>
      </c>
      <c r="T447" s="31"/>
      <c r="U447" s="30" t="s">
        <v>68</v>
      </c>
      <c r="V447" s="34" t="s">
        <v>70</v>
      </c>
      <c r="W447" s="27" t="s">
        <v>208</v>
      </c>
      <c r="X447" s="30">
        <v>1</v>
      </c>
      <c r="Y447" s="30">
        <v>1</v>
      </c>
      <c r="Z447" s="30">
        <v>1</v>
      </c>
      <c r="AA447" s="30">
        <v>1</v>
      </c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 t="s">
        <v>1333</v>
      </c>
      <c r="AR447" s="36" t="s">
        <v>41</v>
      </c>
      <c r="AS447" s="36"/>
      <c r="AT447" s="36"/>
      <c r="AU447" s="36"/>
      <c r="AV447" s="36"/>
      <c r="AW447" s="36"/>
      <c r="AX447" s="36"/>
      <c r="AY447" s="36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27"/>
      <c r="BL447" s="27"/>
    </row>
    <row r="448" spans="1:64">
      <c r="A448" s="27" t="s">
        <v>54</v>
      </c>
      <c r="B448" s="26">
        <v>46219</v>
      </c>
      <c r="C448" s="27">
        <v>29817</v>
      </c>
      <c r="D448" s="27"/>
      <c r="E448" s="27" t="s">
        <v>203</v>
      </c>
      <c r="F448" s="27" t="s">
        <v>59</v>
      </c>
      <c r="G448" s="27" t="s">
        <v>104</v>
      </c>
      <c r="H448" s="30" t="s">
        <v>151</v>
      </c>
      <c r="I448" s="31" t="s">
        <v>1358</v>
      </c>
      <c r="J448" s="30" t="s">
        <v>151</v>
      </c>
      <c r="K448" s="27">
        <v>1</v>
      </c>
      <c r="L448" s="27" t="s">
        <v>214</v>
      </c>
      <c r="M448" s="27"/>
      <c r="N448" s="31" t="s">
        <v>1356</v>
      </c>
      <c r="O448" s="27"/>
      <c r="P448" s="30"/>
      <c r="Q448" s="30" t="s">
        <v>1359</v>
      </c>
      <c r="R448" s="26">
        <v>46220</v>
      </c>
      <c r="S448" s="26">
        <v>46223</v>
      </c>
      <c r="T448" s="31"/>
      <c r="U448" s="30" t="s">
        <v>68</v>
      </c>
      <c r="V448" s="34" t="s">
        <v>70</v>
      </c>
      <c r="W448" s="27" t="s">
        <v>208</v>
      </c>
      <c r="X448" s="30">
        <v>1</v>
      </c>
      <c r="Y448" s="30">
        <v>1</v>
      </c>
      <c r="Z448" s="30">
        <v>1</v>
      </c>
      <c r="AA448" s="30">
        <v>1</v>
      </c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 t="s">
        <v>1333</v>
      </c>
      <c r="AR448" s="36" t="s">
        <v>41</v>
      </c>
      <c r="AS448" s="36"/>
      <c r="AT448" s="36"/>
      <c r="AU448" s="36"/>
      <c r="AV448" s="36"/>
      <c r="AW448" s="36"/>
      <c r="AX448" s="36"/>
      <c r="AY448" s="36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27"/>
      <c r="BL448" s="27"/>
    </row>
    <row r="449" spans="1:64">
      <c r="A449" s="27" t="s">
        <v>54</v>
      </c>
      <c r="B449" s="26">
        <v>46219</v>
      </c>
      <c r="C449" s="27">
        <v>29808</v>
      </c>
      <c r="D449" s="27"/>
      <c r="E449" s="27" t="s">
        <v>203</v>
      </c>
      <c r="F449" s="27" t="s">
        <v>59</v>
      </c>
      <c r="G449" s="27" t="s">
        <v>104</v>
      </c>
      <c r="H449" s="30" t="s">
        <v>151</v>
      </c>
      <c r="I449" s="31" t="s">
        <v>1360</v>
      </c>
      <c r="J449" s="30" t="s">
        <v>151</v>
      </c>
      <c r="K449" s="27">
        <v>1</v>
      </c>
      <c r="L449" s="27" t="s">
        <v>205</v>
      </c>
      <c r="M449" s="27"/>
      <c r="N449" s="31" t="s">
        <v>1114</v>
      </c>
      <c r="O449" s="27"/>
      <c r="P449" s="30"/>
      <c r="Q449" s="30" t="s">
        <v>283</v>
      </c>
      <c r="R449" s="26">
        <v>46220</v>
      </c>
      <c r="S449" s="26">
        <v>46223</v>
      </c>
      <c r="T449" s="31"/>
      <c r="U449" s="30" t="s">
        <v>68</v>
      </c>
      <c r="V449" s="34" t="s">
        <v>70</v>
      </c>
      <c r="W449" s="27" t="s">
        <v>208</v>
      </c>
      <c r="X449" s="30">
        <v>1</v>
      </c>
      <c r="Y449" s="30">
        <v>1</v>
      </c>
      <c r="Z449" s="30">
        <v>1</v>
      </c>
      <c r="AA449" s="30">
        <v>1</v>
      </c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 t="s">
        <v>1333</v>
      </c>
      <c r="AR449" s="36" t="s">
        <v>41</v>
      </c>
      <c r="AS449" s="36"/>
      <c r="AT449" s="36"/>
      <c r="AU449" s="36"/>
      <c r="AV449" s="36"/>
      <c r="AW449" s="36"/>
      <c r="AX449" s="36"/>
      <c r="AY449" s="36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27"/>
      <c r="BL449" s="27"/>
    </row>
    <row r="450" spans="1:64">
      <c r="A450" s="27" t="s">
        <v>54</v>
      </c>
      <c r="B450" s="26">
        <v>46219</v>
      </c>
      <c r="C450" s="27">
        <v>29819</v>
      </c>
      <c r="D450" s="27"/>
      <c r="E450" s="27" t="s">
        <v>203</v>
      </c>
      <c r="F450" s="27" t="s">
        <v>59</v>
      </c>
      <c r="G450" s="27" t="s">
        <v>104</v>
      </c>
      <c r="H450" s="30" t="s">
        <v>151</v>
      </c>
      <c r="I450" s="31" t="s">
        <v>1362</v>
      </c>
      <c r="J450" s="30" t="s">
        <v>151</v>
      </c>
      <c r="K450" s="27">
        <v>1</v>
      </c>
      <c r="L450" s="27" t="s">
        <v>205</v>
      </c>
      <c r="M450" s="27"/>
      <c r="N450" s="31" t="s">
        <v>1114</v>
      </c>
      <c r="O450" s="27"/>
      <c r="P450" s="30"/>
      <c r="Q450" s="30" t="s">
        <v>1363</v>
      </c>
      <c r="R450" s="26">
        <v>46220</v>
      </c>
      <c r="S450" s="26">
        <v>46223</v>
      </c>
      <c r="T450" s="31"/>
      <c r="U450" s="30" t="s">
        <v>68</v>
      </c>
      <c r="V450" s="34" t="s">
        <v>70</v>
      </c>
      <c r="W450" s="27" t="s">
        <v>208</v>
      </c>
      <c r="X450" s="30">
        <v>1</v>
      </c>
      <c r="Y450" s="30">
        <v>1</v>
      </c>
      <c r="Z450" s="30">
        <v>1</v>
      </c>
      <c r="AA450" s="30">
        <v>1</v>
      </c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 t="s">
        <v>1333</v>
      </c>
      <c r="AR450" s="36" t="s">
        <v>41</v>
      </c>
      <c r="AS450" s="36"/>
      <c r="AT450" s="36"/>
      <c r="AU450" s="36"/>
      <c r="AV450" s="36"/>
      <c r="AW450" s="36"/>
      <c r="AX450" s="36"/>
      <c r="AY450" s="36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27"/>
      <c r="BL450" s="27"/>
    </row>
    <row r="451" spans="1:64">
      <c r="A451" s="27" t="s">
        <v>54</v>
      </c>
      <c r="B451" s="26">
        <v>46219</v>
      </c>
      <c r="C451" s="27">
        <v>29797</v>
      </c>
      <c r="D451" s="27"/>
      <c r="E451" s="27" t="s">
        <v>203</v>
      </c>
      <c r="F451" s="27" t="s">
        <v>59</v>
      </c>
      <c r="G451" s="27" t="s">
        <v>104</v>
      </c>
      <c r="H451" s="30" t="s">
        <v>151</v>
      </c>
      <c r="I451" s="31" t="s">
        <v>380</v>
      </c>
      <c r="J451" s="30" t="s">
        <v>151</v>
      </c>
      <c r="K451" s="27">
        <v>1</v>
      </c>
      <c r="L451" s="27" t="s">
        <v>214</v>
      </c>
      <c r="M451" s="27"/>
      <c r="N451" s="31" t="s">
        <v>1114</v>
      </c>
      <c r="O451" s="27"/>
      <c r="P451" s="30"/>
      <c r="Q451" s="30" t="s">
        <v>1364</v>
      </c>
      <c r="R451" s="26">
        <v>46220</v>
      </c>
      <c r="S451" s="26">
        <v>46223</v>
      </c>
      <c r="T451" s="31"/>
      <c r="U451" s="30" t="s">
        <v>68</v>
      </c>
      <c r="V451" s="34" t="s">
        <v>70</v>
      </c>
      <c r="W451" s="27" t="s">
        <v>208</v>
      </c>
      <c r="X451" s="30">
        <v>1</v>
      </c>
      <c r="Y451" s="30">
        <v>1</v>
      </c>
      <c r="Z451" s="30">
        <v>1</v>
      </c>
      <c r="AA451" s="30">
        <v>1</v>
      </c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 t="s">
        <v>1333</v>
      </c>
      <c r="AR451" s="36" t="s">
        <v>41</v>
      </c>
      <c r="AS451" s="36"/>
      <c r="AT451" s="36"/>
      <c r="AU451" s="36"/>
      <c r="AV451" s="36"/>
      <c r="AW451" s="36"/>
      <c r="AX451" s="36"/>
      <c r="AY451" s="36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27"/>
      <c r="BL451" s="27"/>
    </row>
    <row r="452" spans="1:64">
      <c r="A452" s="27" t="s">
        <v>54</v>
      </c>
      <c r="B452" s="26">
        <v>46219</v>
      </c>
      <c r="C452" s="27">
        <v>29820</v>
      </c>
      <c r="D452" s="27"/>
      <c r="E452" s="27" t="s">
        <v>233</v>
      </c>
      <c r="F452" s="27" t="s">
        <v>59</v>
      </c>
      <c r="G452" s="27" t="s">
        <v>104</v>
      </c>
      <c r="H452" s="30" t="s">
        <v>60</v>
      </c>
      <c r="I452" s="31" t="s">
        <v>1365</v>
      </c>
      <c r="J452" s="30" t="s">
        <v>60</v>
      </c>
      <c r="K452" s="27">
        <v>1</v>
      </c>
      <c r="L452" s="27" t="s">
        <v>205</v>
      </c>
      <c r="M452" s="27"/>
      <c r="N452" s="31" t="s">
        <v>1114</v>
      </c>
      <c r="O452" s="27"/>
      <c r="P452" s="30"/>
      <c r="Q452" s="30" t="s">
        <v>1293</v>
      </c>
      <c r="R452" s="26">
        <v>46221</v>
      </c>
      <c r="S452" s="26">
        <v>46223</v>
      </c>
      <c r="T452" s="31"/>
      <c r="U452" s="30" t="s">
        <v>68</v>
      </c>
      <c r="V452" s="34" t="s">
        <v>70</v>
      </c>
      <c r="W452" s="27" t="s">
        <v>208</v>
      </c>
      <c r="X452" s="30">
        <v>1</v>
      </c>
      <c r="Y452" s="30">
        <v>1</v>
      </c>
      <c r="Z452" s="30">
        <v>1</v>
      </c>
      <c r="AA452" s="30">
        <v>1</v>
      </c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 t="s">
        <v>69</v>
      </c>
      <c r="AR452" s="36" t="s">
        <v>81</v>
      </c>
      <c r="AS452" s="36" t="s">
        <v>41</v>
      </c>
      <c r="AT452" s="36"/>
      <c r="AU452" s="36"/>
      <c r="AV452" s="36"/>
      <c r="AW452" s="36"/>
      <c r="AX452" s="36"/>
      <c r="AY452" s="36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27"/>
      <c r="BL452" s="27"/>
    </row>
    <row r="453" spans="1:64">
      <c r="A453" s="27" t="s">
        <v>54</v>
      </c>
      <c r="B453" s="26">
        <v>46219</v>
      </c>
      <c r="C453" s="27">
        <v>29806</v>
      </c>
      <c r="D453" s="27"/>
      <c r="E453" s="27" t="s">
        <v>203</v>
      </c>
      <c r="F453" s="27" t="s">
        <v>59</v>
      </c>
      <c r="G453" s="27" t="s">
        <v>104</v>
      </c>
      <c r="H453" s="30" t="s">
        <v>60</v>
      </c>
      <c r="I453" s="31" t="s">
        <v>1290</v>
      </c>
      <c r="J453" s="30" t="s">
        <v>60</v>
      </c>
      <c r="K453" s="27">
        <v>1</v>
      </c>
      <c r="L453" s="27" t="s">
        <v>214</v>
      </c>
      <c r="M453" s="27"/>
      <c r="N453" s="31" t="s">
        <v>81</v>
      </c>
      <c r="O453" s="27"/>
      <c r="P453" s="30"/>
      <c r="Q453" s="30" t="s">
        <v>865</v>
      </c>
      <c r="R453" s="26">
        <v>46221</v>
      </c>
      <c r="S453" s="26">
        <v>46223</v>
      </c>
      <c r="T453" s="31"/>
      <c r="U453" s="30" t="s">
        <v>68</v>
      </c>
      <c r="V453" s="34" t="s">
        <v>70</v>
      </c>
      <c r="W453" s="27" t="s">
        <v>208</v>
      </c>
      <c r="X453" s="30">
        <v>1</v>
      </c>
      <c r="Y453" s="30">
        <v>1</v>
      </c>
      <c r="Z453" s="30">
        <v>1</v>
      </c>
      <c r="AA453" s="30">
        <v>1</v>
      </c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 t="s">
        <v>69</v>
      </c>
      <c r="AR453" s="36" t="s">
        <v>81</v>
      </c>
      <c r="AS453" s="36" t="s">
        <v>90</v>
      </c>
      <c r="AT453" s="36"/>
      <c r="AU453" s="36"/>
      <c r="AV453" s="36"/>
      <c r="AW453" s="36"/>
      <c r="AX453" s="36"/>
      <c r="AY453" s="36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27"/>
      <c r="BL453" s="27"/>
    </row>
    <row r="454" spans="1:64">
      <c r="A454" s="27" t="s">
        <v>54</v>
      </c>
      <c r="B454" s="26">
        <v>46219</v>
      </c>
      <c r="C454" s="27">
        <v>29796</v>
      </c>
      <c r="D454" s="27"/>
      <c r="E454" s="27" t="s">
        <v>203</v>
      </c>
      <c r="F454" s="27" t="s">
        <v>59</v>
      </c>
      <c r="G454" s="27" t="s">
        <v>104</v>
      </c>
      <c r="H454" s="30" t="s">
        <v>60</v>
      </c>
      <c r="I454" s="31" t="s">
        <v>1366</v>
      </c>
      <c r="J454" s="30" t="s">
        <v>60</v>
      </c>
      <c r="K454" s="27">
        <v>1</v>
      </c>
      <c r="L454" s="27" t="s">
        <v>205</v>
      </c>
      <c r="M454" s="27"/>
      <c r="N454" s="31" t="s">
        <v>81</v>
      </c>
      <c r="O454" s="27"/>
      <c r="P454" s="30"/>
      <c r="Q454" s="30" t="s">
        <v>66</v>
      </c>
      <c r="R454" s="26">
        <v>46221</v>
      </c>
      <c r="S454" s="26">
        <v>46223</v>
      </c>
      <c r="T454" s="31"/>
      <c r="U454" s="30" t="s">
        <v>68</v>
      </c>
      <c r="V454" s="34" t="s">
        <v>70</v>
      </c>
      <c r="W454" s="27" t="s">
        <v>208</v>
      </c>
      <c r="X454" s="30">
        <v>1</v>
      </c>
      <c r="Y454" s="30">
        <v>1</v>
      </c>
      <c r="Z454" s="30">
        <v>1</v>
      </c>
      <c r="AA454" s="30">
        <v>1</v>
      </c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 t="s">
        <v>69</v>
      </c>
      <c r="AR454" s="36" t="s">
        <v>81</v>
      </c>
      <c r="AS454" s="36" t="s">
        <v>41</v>
      </c>
      <c r="AT454" s="36"/>
      <c r="AU454" s="36"/>
      <c r="AV454" s="36"/>
      <c r="AW454" s="36"/>
      <c r="AX454" s="36"/>
      <c r="AY454" s="36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27"/>
      <c r="BL454" s="27"/>
    </row>
    <row r="455" spans="1:64">
      <c r="A455" s="27" t="s">
        <v>54</v>
      </c>
      <c r="B455" s="26">
        <v>46219</v>
      </c>
      <c r="C455" s="27">
        <v>29804</v>
      </c>
      <c r="D455" s="27"/>
      <c r="E455" s="27" t="s">
        <v>1367</v>
      </c>
      <c r="F455" s="27" t="s">
        <v>59</v>
      </c>
      <c r="G455" s="27" t="s">
        <v>104</v>
      </c>
      <c r="H455" s="30" t="s">
        <v>60</v>
      </c>
      <c r="I455" s="31" t="s">
        <v>647</v>
      </c>
      <c r="J455" s="30" t="s">
        <v>60</v>
      </c>
      <c r="K455" s="27">
        <v>1</v>
      </c>
      <c r="L455" s="27" t="s">
        <v>205</v>
      </c>
      <c r="M455" s="27"/>
      <c r="N455" s="31" t="s">
        <v>81</v>
      </c>
      <c r="O455" s="27"/>
      <c r="P455" s="30"/>
      <c r="Q455" s="30" t="s">
        <v>66</v>
      </c>
      <c r="R455" s="26">
        <v>46221</v>
      </c>
      <c r="S455" s="26">
        <v>46223</v>
      </c>
      <c r="T455" s="31"/>
      <c r="U455" s="30" t="s">
        <v>68</v>
      </c>
      <c r="V455" s="34" t="s">
        <v>70</v>
      </c>
      <c r="W455" s="27" t="s">
        <v>208</v>
      </c>
      <c r="X455" s="30">
        <v>1</v>
      </c>
      <c r="Y455" s="30">
        <v>1</v>
      </c>
      <c r="Z455" s="30">
        <v>1</v>
      </c>
      <c r="AA455" s="30">
        <v>1</v>
      </c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 t="s">
        <v>69</v>
      </c>
      <c r="AR455" s="36" t="s">
        <v>81</v>
      </c>
      <c r="AS455" s="36" t="s">
        <v>41</v>
      </c>
      <c r="AT455" s="36"/>
      <c r="AU455" s="36"/>
      <c r="AV455" s="36"/>
      <c r="AW455" s="36"/>
      <c r="AX455" s="36"/>
      <c r="AY455" s="36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27"/>
      <c r="BL455" s="27"/>
    </row>
    <row r="456" spans="1:64">
      <c r="A456" s="27" t="s">
        <v>54</v>
      </c>
      <c r="B456" s="26">
        <v>46219</v>
      </c>
      <c r="C456" s="27">
        <v>29809</v>
      </c>
      <c r="D456" s="27"/>
      <c r="E456" s="27" t="s">
        <v>203</v>
      </c>
      <c r="F456" s="27" t="s">
        <v>59</v>
      </c>
      <c r="G456" s="27" t="s">
        <v>104</v>
      </c>
      <c r="H456" s="30" t="s">
        <v>60</v>
      </c>
      <c r="I456" s="31" t="s">
        <v>649</v>
      </c>
      <c r="J456" s="30" t="s">
        <v>60</v>
      </c>
      <c r="K456" s="27" t="s">
        <v>279</v>
      </c>
      <c r="L456" s="27" t="s">
        <v>214</v>
      </c>
      <c r="M456" s="27"/>
      <c r="N456" s="31" t="s">
        <v>81</v>
      </c>
      <c r="O456" s="27"/>
      <c r="P456" s="30"/>
      <c r="Q456" s="30" t="s">
        <v>1228</v>
      </c>
      <c r="R456" s="26">
        <v>46221</v>
      </c>
      <c r="S456" s="26">
        <v>46223</v>
      </c>
      <c r="T456" s="31"/>
      <c r="U456" s="30" t="s">
        <v>68</v>
      </c>
      <c r="V456" s="34" t="s">
        <v>70</v>
      </c>
      <c r="W456" s="27" t="s">
        <v>208</v>
      </c>
      <c r="X456" s="30">
        <v>1</v>
      </c>
      <c r="Y456" s="30">
        <v>1</v>
      </c>
      <c r="Z456" s="30">
        <v>1</v>
      </c>
      <c r="AA456" s="30">
        <v>1</v>
      </c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 t="s">
        <v>69</v>
      </c>
      <c r="AR456" s="36" t="s">
        <v>81</v>
      </c>
      <c r="AS456" s="36" t="s">
        <v>41</v>
      </c>
      <c r="AT456" s="36"/>
      <c r="AU456" s="36"/>
      <c r="AV456" s="36"/>
      <c r="AW456" s="36"/>
      <c r="AX456" s="36"/>
      <c r="AY456" s="36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27"/>
      <c r="BL456" s="27"/>
    </row>
    <row r="457" spans="1:64">
      <c r="A457" s="27" t="s">
        <v>54</v>
      </c>
      <c r="B457" s="26">
        <v>46219</v>
      </c>
      <c r="C457" s="27">
        <v>29813</v>
      </c>
      <c r="D457" s="27"/>
      <c r="E457" s="27" t="s">
        <v>203</v>
      </c>
      <c r="F457" s="27" t="s">
        <v>59</v>
      </c>
      <c r="G457" s="27" t="s">
        <v>104</v>
      </c>
      <c r="H457" s="30" t="s">
        <v>170</v>
      </c>
      <c r="I457" s="31" t="s">
        <v>1235</v>
      </c>
      <c r="J457" s="30" t="s">
        <v>170</v>
      </c>
      <c r="K457" s="27">
        <v>1</v>
      </c>
      <c r="L457" s="27" t="s">
        <v>205</v>
      </c>
      <c r="M457" s="27"/>
      <c r="N457" s="31" t="s">
        <v>1114</v>
      </c>
      <c r="O457" s="27"/>
      <c r="P457" s="30"/>
      <c r="Q457" s="30" t="s">
        <v>920</v>
      </c>
      <c r="R457" s="26">
        <v>46221</v>
      </c>
      <c r="S457" s="26">
        <v>46223</v>
      </c>
      <c r="T457" s="31"/>
      <c r="U457" s="30" t="s">
        <v>68</v>
      </c>
      <c r="V457" s="34" t="s">
        <v>70</v>
      </c>
      <c r="W457" s="27" t="s">
        <v>208</v>
      </c>
      <c r="X457" s="30">
        <v>1</v>
      </c>
      <c r="Y457" s="30">
        <v>1</v>
      </c>
      <c r="Z457" s="30">
        <v>1</v>
      </c>
      <c r="AA457" s="30">
        <v>1</v>
      </c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 t="s">
        <v>1333</v>
      </c>
      <c r="AR457" s="36"/>
      <c r="AS457" s="36" t="s">
        <v>41</v>
      </c>
      <c r="AT457" s="36"/>
      <c r="AU457" s="36"/>
      <c r="AV457" s="36"/>
      <c r="AW457" s="36"/>
      <c r="AX457" s="36"/>
      <c r="AY457" s="36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27"/>
      <c r="BL457" s="27"/>
    </row>
    <row r="458" spans="1:64">
      <c r="A458" s="27" t="s">
        <v>54</v>
      </c>
      <c r="B458" s="26">
        <v>46219</v>
      </c>
      <c r="C458" s="27">
        <v>29805</v>
      </c>
      <c r="D458" s="27"/>
      <c r="E458" s="27" t="s">
        <v>233</v>
      </c>
      <c r="F458" s="27" t="s">
        <v>59</v>
      </c>
      <c r="G458" s="27" t="s">
        <v>104</v>
      </c>
      <c r="H458" s="30" t="s">
        <v>170</v>
      </c>
      <c r="I458" s="31" t="s">
        <v>210</v>
      </c>
      <c r="J458" s="30" t="s">
        <v>170</v>
      </c>
      <c r="K458" s="27">
        <v>1</v>
      </c>
      <c r="L458" s="27" t="s">
        <v>205</v>
      </c>
      <c r="M458" s="27"/>
      <c r="N458" s="31" t="s">
        <v>1114</v>
      </c>
      <c r="O458" s="27"/>
      <c r="P458" s="30"/>
      <c r="Q458" s="30" t="s">
        <v>1368</v>
      </c>
      <c r="R458" s="26">
        <v>46221</v>
      </c>
      <c r="S458" s="26">
        <v>46223</v>
      </c>
      <c r="T458" s="31"/>
      <c r="U458" s="30" t="s">
        <v>68</v>
      </c>
      <c r="V458" s="34" t="s">
        <v>70</v>
      </c>
      <c r="W458" s="27" t="s">
        <v>208</v>
      </c>
      <c r="X458" s="30">
        <v>1</v>
      </c>
      <c r="Y458" s="30">
        <v>1</v>
      </c>
      <c r="Z458" s="30">
        <v>1</v>
      </c>
      <c r="AA458" s="30">
        <v>1</v>
      </c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 t="s">
        <v>1333</v>
      </c>
      <c r="AR458" s="36"/>
      <c r="AS458" s="36" t="s">
        <v>41</v>
      </c>
      <c r="AT458" s="36"/>
      <c r="AU458" s="36"/>
      <c r="AV458" s="36"/>
      <c r="AW458" s="36"/>
      <c r="AX458" s="36"/>
      <c r="AY458" s="36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27"/>
      <c r="BL458" s="27"/>
    </row>
    <row r="459" spans="1:64">
      <c r="A459" s="27" t="s">
        <v>54</v>
      </c>
      <c r="B459" s="26">
        <v>46219</v>
      </c>
      <c r="C459" s="27">
        <v>29814</v>
      </c>
      <c r="D459" s="27"/>
      <c r="E459" s="27" t="s">
        <v>203</v>
      </c>
      <c r="F459" s="27" t="s">
        <v>59</v>
      </c>
      <c r="G459" s="27" t="s">
        <v>104</v>
      </c>
      <c r="H459" s="30" t="s">
        <v>170</v>
      </c>
      <c r="I459" s="31" t="s">
        <v>770</v>
      </c>
      <c r="J459" s="30" t="s">
        <v>170</v>
      </c>
      <c r="K459" s="27">
        <v>1</v>
      </c>
      <c r="L459" s="27" t="s">
        <v>205</v>
      </c>
      <c r="M459" s="27"/>
      <c r="N459" s="31" t="s">
        <v>1114</v>
      </c>
      <c r="O459" s="27"/>
      <c r="P459" s="30"/>
      <c r="Q459" s="30" t="s">
        <v>181</v>
      </c>
      <c r="R459" s="26">
        <v>46221</v>
      </c>
      <c r="S459" s="26">
        <v>46223</v>
      </c>
      <c r="T459" s="31"/>
      <c r="U459" s="30" t="s">
        <v>68</v>
      </c>
      <c r="V459" s="34" t="s">
        <v>70</v>
      </c>
      <c r="W459" s="27" t="s">
        <v>208</v>
      </c>
      <c r="X459" s="30">
        <v>1</v>
      </c>
      <c r="Y459" s="30">
        <v>1</v>
      </c>
      <c r="Z459" s="30">
        <v>1</v>
      </c>
      <c r="AA459" s="30">
        <v>1</v>
      </c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 t="s">
        <v>1333</v>
      </c>
      <c r="AR459" s="36"/>
      <c r="AS459" s="36" t="s">
        <v>41</v>
      </c>
      <c r="AT459" s="36"/>
      <c r="AU459" s="36"/>
      <c r="AV459" s="36"/>
      <c r="AW459" s="36"/>
      <c r="AX459" s="36"/>
      <c r="AY459" s="36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27"/>
      <c r="BL459" s="27"/>
    </row>
    <row r="460" spans="1:64">
      <c r="A460" s="27" t="s">
        <v>54</v>
      </c>
      <c r="B460" s="26">
        <v>46219</v>
      </c>
      <c r="C460" s="27">
        <v>29800</v>
      </c>
      <c r="D460" s="27"/>
      <c r="E460" s="27" t="s">
        <v>233</v>
      </c>
      <c r="F460" s="27" t="s">
        <v>59</v>
      </c>
      <c r="G460" s="27" t="s">
        <v>104</v>
      </c>
      <c r="H460" s="30" t="s">
        <v>170</v>
      </c>
      <c r="I460" s="31" t="s">
        <v>921</v>
      </c>
      <c r="J460" s="30" t="s">
        <v>170</v>
      </c>
      <c r="K460" s="27">
        <v>1</v>
      </c>
      <c r="L460" s="27" t="s">
        <v>205</v>
      </c>
      <c r="M460" s="27"/>
      <c r="N460" s="31" t="s">
        <v>1114</v>
      </c>
      <c r="O460" s="27"/>
      <c r="P460" s="30"/>
      <c r="Q460" s="30" t="s">
        <v>1369</v>
      </c>
      <c r="R460" s="26">
        <v>46221</v>
      </c>
      <c r="S460" s="26">
        <v>46223</v>
      </c>
      <c r="T460" s="31"/>
      <c r="U460" s="30" t="s">
        <v>68</v>
      </c>
      <c r="V460" s="34" t="s">
        <v>70</v>
      </c>
      <c r="W460" s="27" t="s">
        <v>208</v>
      </c>
      <c r="X460" s="30">
        <v>1</v>
      </c>
      <c r="Y460" s="30">
        <v>1</v>
      </c>
      <c r="Z460" s="30">
        <v>1</v>
      </c>
      <c r="AA460" s="30">
        <v>1</v>
      </c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 t="s">
        <v>1333</v>
      </c>
      <c r="AR460" s="36"/>
      <c r="AS460" s="36" t="s">
        <v>41</v>
      </c>
      <c r="AT460" s="36"/>
      <c r="AU460" s="36"/>
      <c r="AV460" s="36"/>
      <c r="AW460" s="36"/>
      <c r="AX460" s="36"/>
      <c r="AY460" s="36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27"/>
      <c r="BL460" s="27"/>
    </row>
    <row r="461" spans="1:64">
      <c r="A461" s="27" t="s">
        <v>54</v>
      </c>
      <c r="B461" s="26">
        <v>46219</v>
      </c>
      <c r="C461" s="27">
        <v>29816</v>
      </c>
      <c r="D461" s="27"/>
      <c r="E461" s="27" t="s">
        <v>203</v>
      </c>
      <c r="F461" s="27" t="s">
        <v>59</v>
      </c>
      <c r="G461" s="27" t="s">
        <v>104</v>
      </c>
      <c r="H461" s="30" t="s">
        <v>28</v>
      </c>
      <c r="I461" s="31" t="s">
        <v>451</v>
      </c>
      <c r="J461" s="30" t="s">
        <v>28</v>
      </c>
      <c r="K461" s="27">
        <v>1</v>
      </c>
      <c r="L461" s="27" t="s">
        <v>205</v>
      </c>
      <c r="M461" s="27"/>
      <c r="N461" s="31" t="s">
        <v>384</v>
      </c>
      <c r="O461" s="27"/>
      <c r="P461" s="30"/>
      <c r="Q461" s="30" t="s">
        <v>654</v>
      </c>
      <c r="R461" s="26">
        <v>46220</v>
      </c>
      <c r="S461" s="26">
        <v>46220</v>
      </c>
      <c r="T461" s="31"/>
      <c r="U461" s="30" t="s">
        <v>68</v>
      </c>
      <c r="V461" s="34" t="s">
        <v>70</v>
      </c>
      <c r="W461" s="27" t="s">
        <v>208</v>
      </c>
      <c r="X461" s="30">
        <v>1</v>
      </c>
      <c r="Y461" s="30">
        <v>1</v>
      </c>
      <c r="Z461" s="30">
        <v>1</v>
      </c>
      <c r="AA461" s="30">
        <v>1</v>
      </c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 t="s">
        <v>69</v>
      </c>
      <c r="AR461" s="36" t="s">
        <v>260</v>
      </c>
      <c r="AS461" s="36"/>
      <c r="AT461" s="36"/>
      <c r="AU461" s="36"/>
      <c r="AV461" s="36"/>
      <c r="AW461" s="36"/>
      <c r="AX461" s="36"/>
      <c r="AY461" s="36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27"/>
      <c r="BL461" s="27"/>
    </row>
    <row r="462" spans="1:64">
      <c r="A462" s="27" t="s">
        <v>54</v>
      </c>
      <c r="B462" s="26">
        <v>46219</v>
      </c>
      <c r="C462" s="27">
        <v>29802</v>
      </c>
      <c r="D462" s="27"/>
      <c r="E462" s="27" t="s">
        <v>203</v>
      </c>
      <c r="F462" s="27" t="s">
        <v>59</v>
      </c>
      <c r="G462" s="27" t="s">
        <v>104</v>
      </c>
      <c r="H462" s="30" t="s">
        <v>28</v>
      </c>
      <c r="I462" s="31" t="s">
        <v>459</v>
      </c>
      <c r="J462" s="30" t="s">
        <v>28</v>
      </c>
      <c r="K462" s="27">
        <v>1</v>
      </c>
      <c r="L462" s="27" t="s">
        <v>205</v>
      </c>
      <c r="M462" s="27"/>
      <c r="N462" s="31" t="s">
        <v>384</v>
      </c>
      <c r="O462" s="27"/>
      <c r="P462" s="30"/>
      <c r="Q462" s="30" t="s">
        <v>1297</v>
      </c>
      <c r="R462" s="26">
        <v>46190</v>
      </c>
      <c r="S462" s="26">
        <v>46190</v>
      </c>
      <c r="T462" s="31"/>
      <c r="U462" s="30" t="s">
        <v>68</v>
      </c>
      <c r="V462" s="34" t="s">
        <v>70</v>
      </c>
      <c r="W462" s="27" t="s">
        <v>208</v>
      </c>
      <c r="X462" s="30">
        <v>1</v>
      </c>
      <c r="Y462" s="30">
        <v>1</v>
      </c>
      <c r="Z462" s="30">
        <v>1</v>
      </c>
      <c r="AA462" s="30">
        <v>1</v>
      </c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 t="s">
        <v>69</v>
      </c>
      <c r="AR462" s="36" t="s">
        <v>260</v>
      </c>
      <c r="AS462" s="36"/>
      <c r="AT462" s="36"/>
      <c r="AU462" s="36"/>
      <c r="AV462" s="36"/>
      <c r="AW462" s="36"/>
      <c r="AX462" s="36"/>
      <c r="AY462" s="36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27"/>
      <c r="BL462" s="27"/>
    </row>
    <row r="463" spans="1:64">
      <c r="A463" s="27" t="s">
        <v>54</v>
      </c>
      <c r="B463" s="26">
        <v>46219</v>
      </c>
      <c r="C463" s="27">
        <v>29815</v>
      </c>
      <c r="D463" s="27"/>
      <c r="E463" s="27" t="s">
        <v>203</v>
      </c>
      <c r="F463" s="27" t="s">
        <v>59</v>
      </c>
      <c r="G463" s="27" t="s">
        <v>104</v>
      </c>
      <c r="H463" s="30" t="s">
        <v>28</v>
      </c>
      <c r="I463" s="31" t="s">
        <v>1237</v>
      </c>
      <c r="J463" s="30" t="s">
        <v>28</v>
      </c>
      <c r="K463" s="27">
        <v>1</v>
      </c>
      <c r="L463" s="27" t="s">
        <v>205</v>
      </c>
      <c r="M463" s="27"/>
      <c r="N463" s="31" t="s">
        <v>384</v>
      </c>
      <c r="O463" s="27"/>
      <c r="P463" s="30"/>
      <c r="Q463" s="30" t="s">
        <v>1371</v>
      </c>
      <c r="R463" s="26">
        <v>46190</v>
      </c>
      <c r="S463" s="26">
        <v>46190</v>
      </c>
      <c r="T463" s="31"/>
      <c r="U463" s="30" t="s">
        <v>68</v>
      </c>
      <c r="V463" s="34" t="s">
        <v>70</v>
      </c>
      <c r="W463" s="27" t="s">
        <v>208</v>
      </c>
      <c r="X463" s="30">
        <v>1</v>
      </c>
      <c r="Y463" s="30">
        <v>1</v>
      </c>
      <c r="Z463" s="30">
        <v>1</v>
      </c>
      <c r="AA463" s="30">
        <v>1</v>
      </c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 t="s">
        <v>69</v>
      </c>
      <c r="AR463" s="36" t="s">
        <v>260</v>
      </c>
      <c r="AS463" s="36"/>
      <c r="AT463" s="36"/>
      <c r="AU463" s="36"/>
      <c r="AV463" s="36"/>
      <c r="AW463" s="36"/>
      <c r="AX463" s="36"/>
      <c r="AY463" s="36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27"/>
      <c r="BL463" s="27"/>
    </row>
    <row r="464" spans="1:64">
      <c r="A464" s="27" t="s">
        <v>187</v>
      </c>
      <c r="B464" s="26">
        <v>46219</v>
      </c>
      <c r="C464" s="27">
        <v>29684</v>
      </c>
      <c r="D464" s="27"/>
      <c r="E464" s="27" t="s">
        <v>367</v>
      </c>
      <c r="F464" s="27" t="s">
        <v>59</v>
      </c>
      <c r="G464" s="27" t="s">
        <v>104</v>
      </c>
      <c r="H464" s="30" t="s">
        <v>498</v>
      </c>
      <c r="I464" s="31" t="s">
        <v>1372</v>
      </c>
      <c r="J464" s="30" t="s">
        <v>1373</v>
      </c>
      <c r="K464" s="27">
        <v>2</v>
      </c>
      <c r="L464" s="27">
        <v>64</v>
      </c>
      <c r="M464" s="27">
        <v>78</v>
      </c>
      <c r="N464" s="31"/>
      <c r="O464" s="27" t="s">
        <v>302</v>
      </c>
      <c r="P464" s="30"/>
      <c r="Q464" s="30" t="s">
        <v>1374</v>
      </c>
      <c r="R464" s="26">
        <v>46235</v>
      </c>
      <c r="S464" s="27"/>
      <c r="T464" s="59"/>
      <c r="U464" s="30" t="s">
        <v>419</v>
      </c>
      <c r="V464" s="34" t="s">
        <v>90</v>
      </c>
      <c r="W464" s="27" t="s">
        <v>320</v>
      </c>
      <c r="X464" s="30">
        <v>1</v>
      </c>
      <c r="Y464" s="30">
        <v>1</v>
      </c>
      <c r="Z464" s="30">
        <v>1</v>
      </c>
      <c r="AA464" s="30"/>
      <c r="AB464" s="30" t="s">
        <v>90</v>
      </c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 t="s">
        <v>69</v>
      </c>
      <c r="AR464" s="36"/>
      <c r="AS464" s="36"/>
      <c r="AT464" s="36"/>
      <c r="AU464" s="36"/>
      <c r="AV464" s="36"/>
      <c r="AW464" s="36"/>
      <c r="AX464" s="36" t="s">
        <v>302</v>
      </c>
      <c r="AY464" s="36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27"/>
      <c r="BL464" s="27"/>
    </row>
    <row r="465" spans="1:64">
      <c r="A465" s="27" t="s">
        <v>187</v>
      </c>
      <c r="B465" s="26">
        <v>46220</v>
      </c>
      <c r="C465" s="27"/>
      <c r="D465" s="27">
        <v>139460</v>
      </c>
      <c r="E465" s="27" t="s">
        <v>1375</v>
      </c>
      <c r="F465" s="27" t="s">
        <v>552</v>
      </c>
      <c r="G465" s="27" t="s">
        <v>246</v>
      </c>
      <c r="H465" s="30" t="s">
        <v>110</v>
      </c>
      <c r="I465" s="31" t="s">
        <v>565</v>
      </c>
      <c r="J465" s="30" t="s">
        <v>110</v>
      </c>
      <c r="K465" s="27">
        <v>1</v>
      </c>
      <c r="L465" s="27"/>
      <c r="M465" s="27"/>
      <c r="N465" s="31" t="s">
        <v>508</v>
      </c>
      <c r="O465" s="27"/>
      <c r="P465" s="30"/>
      <c r="Q465" s="30" t="s">
        <v>566</v>
      </c>
      <c r="R465" s="62">
        <v>46223</v>
      </c>
      <c r="S465" s="26">
        <v>46230</v>
      </c>
      <c r="T465" s="31"/>
      <c r="U465" s="30" t="s">
        <v>68</v>
      </c>
      <c r="V465" s="34" t="s">
        <v>70</v>
      </c>
      <c r="W465" s="27" t="s">
        <v>284</v>
      </c>
      <c r="X465" s="30">
        <v>1</v>
      </c>
      <c r="Y465" s="30">
        <v>1</v>
      </c>
      <c r="Z465" s="30">
        <v>1</v>
      </c>
      <c r="AA465" s="30">
        <v>1</v>
      </c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6" t="s">
        <v>576</v>
      </c>
      <c r="AS465" s="36"/>
      <c r="AT465" s="36" t="s">
        <v>619</v>
      </c>
      <c r="AU465" s="36" t="s">
        <v>1376</v>
      </c>
      <c r="AV465" s="36"/>
      <c r="AW465" s="36"/>
      <c r="AX465" s="36"/>
      <c r="AY465" s="36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27"/>
      <c r="BL465" s="27"/>
    </row>
    <row r="466" spans="1:64">
      <c r="A466" s="27" t="s">
        <v>187</v>
      </c>
      <c r="B466" s="26">
        <v>46220</v>
      </c>
      <c r="C466" s="27"/>
      <c r="D466" s="27">
        <v>139468</v>
      </c>
      <c r="E466" s="27" t="s">
        <v>1377</v>
      </c>
      <c r="F466" s="27" t="s">
        <v>552</v>
      </c>
      <c r="G466" s="27" t="s">
        <v>1123</v>
      </c>
      <c r="H466" s="30" t="s">
        <v>110</v>
      </c>
      <c r="I466" s="31" t="s">
        <v>1378</v>
      </c>
      <c r="J466" s="30" t="s">
        <v>1022</v>
      </c>
      <c r="K466" s="27">
        <v>1</v>
      </c>
      <c r="L466" s="27"/>
      <c r="M466" s="27"/>
      <c r="N466" s="31" t="s">
        <v>318</v>
      </c>
      <c r="O466" s="27"/>
      <c r="P466" s="30"/>
      <c r="Q466" s="30" t="s">
        <v>66</v>
      </c>
      <c r="R466" s="26">
        <v>46221</v>
      </c>
      <c r="S466" s="26">
        <v>46227</v>
      </c>
      <c r="T466" s="31"/>
      <c r="U466" s="30" t="s">
        <v>68</v>
      </c>
      <c r="V466" s="34" t="s">
        <v>70</v>
      </c>
      <c r="W466" s="27" t="s">
        <v>284</v>
      </c>
      <c r="X466" s="30">
        <v>1</v>
      </c>
      <c r="Y466" s="30">
        <v>1</v>
      </c>
      <c r="Z466" s="30">
        <v>1</v>
      </c>
      <c r="AA466" s="30">
        <v>1</v>
      </c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6" t="s">
        <v>318</v>
      </c>
      <c r="AS466" s="36" t="s">
        <v>41</v>
      </c>
      <c r="AT466" s="36"/>
      <c r="AU466" s="36"/>
      <c r="AV466" s="36"/>
      <c r="AW466" s="36"/>
      <c r="AX466" s="36"/>
      <c r="AY466" s="36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27"/>
      <c r="BL466" s="27"/>
    </row>
    <row r="467" spans="1:64">
      <c r="A467" s="27" t="s">
        <v>187</v>
      </c>
      <c r="B467" s="26">
        <v>46220</v>
      </c>
      <c r="C467" s="27">
        <v>29688</v>
      </c>
      <c r="D467" s="27"/>
      <c r="E467" s="27" t="s">
        <v>1379</v>
      </c>
      <c r="F467" s="27" t="s">
        <v>59</v>
      </c>
      <c r="G467" s="27" t="s">
        <v>151</v>
      </c>
      <c r="H467" s="30" t="s">
        <v>110</v>
      </c>
      <c r="I467" s="31" t="s">
        <v>1380</v>
      </c>
      <c r="J467" s="30" t="s">
        <v>1381</v>
      </c>
      <c r="K467" s="27">
        <v>91</v>
      </c>
      <c r="L467" s="27">
        <v>496</v>
      </c>
      <c r="M467" s="27"/>
      <c r="N467" s="31" t="s">
        <v>846</v>
      </c>
      <c r="O467" s="27"/>
      <c r="P467" s="30"/>
      <c r="Q467" s="30" t="s">
        <v>66</v>
      </c>
      <c r="R467" s="26">
        <v>46226</v>
      </c>
      <c r="S467" s="26">
        <v>46230</v>
      </c>
      <c r="T467" s="31"/>
      <c r="U467" s="30" t="s">
        <v>68</v>
      </c>
      <c r="V467" s="34" t="s">
        <v>70</v>
      </c>
      <c r="W467" s="27" t="s">
        <v>621</v>
      </c>
      <c r="X467" s="30">
        <v>1</v>
      </c>
      <c r="Y467" s="30">
        <v>1</v>
      </c>
      <c r="Z467" s="30">
        <v>1</v>
      </c>
      <c r="AA467" s="30">
        <v>1</v>
      </c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6" t="s">
        <v>87</v>
      </c>
      <c r="AS467" s="36"/>
      <c r="AT467" s="36"/>
      <c r="AU467" s="36"/>
      <c r="AV467" s="36" t="s">
        <v>310</v>
      </c>
      <c r="AW467" s="36"/>
      <c r="AX467" s="36" t="s">
        <v>325</v>
      </c>
      <c r="AY467" s="36" t="s">
        <v>1283</v>
      </c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27"/>
      <c r="BL467" s="27"/>
    </row>
    <row r="468" spans="1:64">
      <c r="A468" s="27" t="s">
        <v>187</v>
      </c>
      <c r="B468" s="26">
        <v>46220</v>
      </c>
      <c r="C468" s="27"/>
      <c r="D468" s="27">
        <v>47217</v>
      </c>
      <c r="E468" s="27" t="s">
        <v>1382</v>
      </c>
      <c r="F468" s="27" t="s">
        <v>48</v>
      </c>
      <c r="G468" s="27" t="s">
        <v>438</v>
      </c>
      <c r="H468" s="30" t="s">
        <v>104</v>
      </c>
      <c r="I468" s="31" t="s">
        <v>1383</v>
      </c>
      <c r="J468" s="30" t="s">
        <v>1384</v>
      </c>
      <c r="K468" s="27">
        <v>1</v>
      </c>
      <c r="L468" s="27">
        <v>186</v>
      </c>
      <c r="M468" s="27">
        <v>232</v>
      </c>
      <c r="N468" s="31" t="s">
        <v>310</v>
      </c>
      <c r="O468" s="27"/>
      <c r="P468" s="30"/>
      <c r="Q468" s="30" t="s">
        <v>66</v>
      </c>
      <c r="R468" s="26">
        <v>46222</v>
      </c>
      <c r="S468" s="27"/>
      <c r="T468" s="31"/>
      <c r="U468" s="30" t="s">
        <v>32</v>
      </c>
      <c r="V468" s="34" t="s">
        <v>33</v>
      </c>
      <c r="W468" s="27" t="s">
        <v>174</v>
      </c>
      <c r="X468" s="30">
        <v>1</v>
      </c>
      <c r="Y468" s="30">
        <v>3</v>
      </c>
      <c r="Z468" s="30">
        <v>2</v>
      </c>
      <c r="AA468" s="30">
        <v>1</v>
      </c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6" t="s">
        <v>1385</v>
      </c>
      <c r="AS468" s="36"/>
      <c r="AT468" s="36" t="s">
        <v>41</v>
      </c>
      <c r="AU468" s="36"/>
      <c r="AV468" s="36"/>
      <c r="AW468" s="36"/>
      <c r="AX468" s="36"/>
      <c r="AY468" s="36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27"/>
      <c r="BL468" s="27"/>
    </row>
    <row r="469" spans="1:64">
      <c r="A469" s="68" t="s">
        <v>187</v>
      </c>
      <c r="B469" s="26">
        <v>46220</v>
      </c>
      <c r="C469" s="27">
        <v>29125</v>
      </c>
      <c r="D469" s="27"/>
      <c r="E469" s="27" t="s">
        <v>1386</v>
      </c>
      <c r="F469" s="27" t="s">
        <v>59</v>
      </c>
      <c r="G469" s="27" t="s">
        <v>104</v>
      </c>
      <c r="H469" s="30" t="s">
        <v>1387</v>
      </c>
      <c r="I469" s="31" t="s">
        <v>1388</v>
      </c>
      <c r="J469" s="30" t="s">
        <v>1188</v>
      </c>
      <c r="K469" s="27">
        <v>2</v>
      </c>
      <c r="L469" s="27">
        <v>50</v>
      </c>
      <c r="M469" s="27"/>
      <c r="N469" s="31" t="s">
        <v>1347</v>
      </c>
      <c r="O469" s="27"/>
      <c r="P469" s="30"/>
      <c r="Q469" s="30" t="s">
        <v>1389</v>
      </c>
      <c r="R469" s="26">
        <v>46227</v>
      </c>
      <c r="S469" s="26">
        <v>46231</v>
      </c>
      <c r="T469" s="31" t="s">
        <v>1390</v>
      </c>
      <c r="U469" s="30" t="s">
        <v>68</v>
      </c>
      <c r="V469" s="34" t="s">
        <v>70</v>
      </c>
      <c r="W469" s="27" t="s">
        <v>1391</v>
      </c>
      <c r="X469" s="30">
        <v>2</v>
      </c>
      <c r="Y469" s="30">
        <v>2</v>
      </c>
      <c r="Z469" s="30">
        <v>2</v>
      </c>
      <c r="AA469" s="30">
        <v>1</v>
      </c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6" t="s">
        <v>69</v>
      </c>
      <c r="AS469" s="36"/>
      <c r="AT469" s="36"/>
      <c r="AU469" s="36" t="s">
        <v>1347</v>
      </c>
      <c r="AV469" s="36"/>
      <c r="AW469" s="36"/>
      <c r="AX469" s="36"/>
      <c r="AY469" s="36" t="s">
        <v>90</v>
      </c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27"/>
      <c r="BL469" s="27"/>
    </row>
    <row r="470" spans="1:64">
      <c r="A470" s="68" t="s">
        <v>187</v>
      </c>
      <c r="B470" s="26">
        <v>46220</v>
      </c>
      <c r="C470" s="27">
        <v>29841</v>
      </c>
      <c r="D470" s="27"/>
      <c r="E470" s="27" t="s">
        <v>212</v>
      </c>
      <c r="F470" s="27" t="s">
        <v>59</v>
      </c>
      <c r="G470" s="27" t="s">
        <v>104</v>
      </c>
      <c r="H470" s="30" t="s">
        <v>60</v>
      </c>
      <c r="I470" s="31" t="s">
        <v>1392</v>
      </c>
      <c r="J470" s="30" t="s">
        <v>60</v>
      </c>
      <c r="K470" s="27">
        <v>1</v>
      </c>
      <c r="L470" s="27" t="s">
        <v>205</v>
      </c>
      <c r="M470" s="27"/>
      <c r="N470" s="31" t="s">
        <v>81</v>
      </c>
      <c r="O470" s="27"/>
      <c r="P470" s="30"/>
      <c r="Q470" s="30" t="s">
        <v>66</v>
      </c>
      <c r="R470" s="26">
        <v>46223</v>
      </c>
      <c r="S470" s="26">
        <v>46223</v>
      </c>
      <c r="T470" s="31"/>
      <c r="U470" s="30" t="s">
        <v>68</v>
      </c>
      <c r="V470" s="34" t="s">
        <v>70</v>
      </c>
      <c r="W470" s="27" t="s">
        <v>208</v>
      </c>
      <c r="X470" s="30">
        <v>1</v>
      </c>
      <c r="Y470" s="30">
        <v>1</v>
      </c>
      <c r="Z470" s="30">
        <v>1</v>
      </c>
      <c r="AA470" s="30">
        <v>1</v>
      </c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6" t="s">
        <v>69</v>
      </c>
      <c r="AS470" s="36"/>
      <c r="AT470" s="36"/>
      <c r="AU470" s="36" t="s">
        <v>88</v>
      </c>
      <c r="AV470" s="36"/>
      <c r="AW470" s="36"/>
      <c r="AX470" s="36"/>
      <c r="AY470" s="36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27"/>
      <c r="BL470" s="27"/>
    </row>
    <row r="471" spans="1:64">
      <c r="A471" s="68" t="s">
        <v>187</v>
      </c>
      <c r="B471" s="26">
        <v>46220</v>
      </c>
      <c r="C471" s="27">
        <v>29823</v>
      </c>
      <c r="D471" s="27"/>
      <c r="E471" s="27" t="s">
        <v>212</v>
      </c>
      <c r="F471" s="27" t="s">
        <v>59</v>
      </c>
      <c r="G471" s="27" t="s">
        <v>104</v>
      </c>
      <c r="H471" s="30" t="s">
        <v>60</v>
      </c>
      <c r="I471" s="31" t="s">
        <v>1393</v>
      </c>
      <c r="J471" s="30" t="s">
        <v>60</v>
      </c>
      <c r="K471" s="27">
        <v>1</v>
      </c>
      <c r="L471" s="27" t="s">
        <v>205</v>
      </c>
      <c r="M471" s="27"/>
      <c r="N471" s="31" t="s">
        <v>81</v>
      </c>
      <c r="O471" s="27"/>
      <c r="P471" s="30"/>
      <c r="Q471" s="30" t="s">
        <v>1394</v>
      </c>
      <c r="R471" s="26">
        <v>46223</v>
      </c>
      <c r="S471" s="26">
        <v>46223</v>
      </c>
      <c r="T471" s="31"/>
      <c r="U471" s="30" t="s">
        <v>68</v>
      </c>
      <c r="V471" s="34" t="s">
        <v>70</v>
      </c>
      <c r="W471" s="27" t="s">
        <v>208</v>
      </c>
      <c r="X471" s="30">
        <v>1</v>
      </c>
      <c r="Y471" s="30">
        <v>1</v>
      </c>
      <c r="Z471" s="30">
        <v>1</v>
      </c>
      <c r="AA471" s="30">
        <v>1</v>
      </c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6" t="s">
        <v>69</v>
      </c>
      <c r="AS471" s="36"/>
      <c r="AT471" s="36"/>
      <c r="AU471" s="36" t="s">
        <v>88</v>
      </c>
      <c r="AV471" s="36"/>
      <c r="AW471" s="36"/>
      <c r="AX471" s="36"/>
      <c r="AY471" s="36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27"/>
      <c r="BL471" s="27"/>
    </row>
    <row r="472" spans="1:64">
      <c r="A472" s="68" t="s">
        <v>187</v>
      </c>
      <c r="B472" s="26">
        <v>46220</v>
      </c>
      <c r="C472" s="27">
        <v>29825</v>
      </c>
      <c r="D472" s="27"/>
      <c r="E472" s="27" t="s">
        <v>233</v>
      </c>
      <c r="F472" s="27" t="s">
        <v>59</v>
      </c>
      <c r="G472" s="27" t="s">
        <v>104</v>
      </c>
      <c r="H472" s="30" t="s">
        <v>60</v>
      </c>
      <c r="I472" s="31" t="s">
        <v>1395</v>
      </c>
      <c r="J472" s="30" t="s">
        <v>60</v>
      </c>
      <c r="K472" s="27">
        <v>1</v>
      </c>
      <c r="L472" s="27" t="s">
        <v>205</v>
      </c>
      <c r="M472" s="27"/>
      <c r="N472" s="31" t="s">
        <v>81</v>
      </c>
      <c r="O472" s="27"/>
      <c r="P472" s="30"/>
      <c r="Q472" s="30" t="s">
        <v>1396</v>
      </c>
      <c r="R472" s="26">
        <v>46223</v>
      </c>
      <c r="S472" s="26">
        <v>46223</v>
      </c>
      <c r="T472" s="31"/>
      <c r="U472" s="30" t="s">
        <v>68</v>
      </c>
      <c r="V472" s="34" t="s">
        <v>70</v>
      </c>
      <c r="W472" s="27" t="s">
        <v>208</v>
      </c>
      <c r="X472" s="30">
        <v>1</v>
      </c>
      <c r="Y472" s="30">
        <v>1</v>
      </c>
      <c r="Z472" s="30">
        <v>1</v>
      </c>
      <c r="AA472" s="30">
        <v>1</v>
      </c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6" t="s">
        <v>69</v>
      </c>
      <c r="AS472" s="36"/>
      <c r="AT472" s="36"/>
      <c r="AU472" s="36" t="s">
        <v>88</v>
      </c>
      <c r="AV472" s="36"/>
      <c r="AW472" s="36"/>
      <c r="AX472" s="36"/>
      <c r="AY472" s="36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27"/>
      <c r="BL472" s="27"/>
    </row>
    <row r="473" spans="1:64">
      <c r="A473" s="68" t="s">
        <v>187</v>
      </c>
      <c r="B473" s="26">
        <v>46220</v>
      </c>
      <c r="C473" s="27">
        <v>29826</v>
      </c>
      <c r="D473" s="27"/>
      <c r="E473" s="27" t="s">
        <v>203</v>
      </c>
      <c r="F473" s="27" t="s">
        <v>59</v>
      </c>
      <c r="G473" s="27" t="s">
        <v>104</v>
      </c>
      <c r="H473" s="30" t="s">
        <v>151</v>
      </c>
      <c r="I473" s="31" t="s">
        <v>1397</v>
      </c>
      <c r="J473" s="30" t="s">
        <v>378</v>
      </c>
      <c r="K473" s="27">
        <v>1</v>
      </c>
      <c r="L473" s="27" t="s">
        <v>205</v>
      </c>
      <c r="M473" s="27"/>
      <c r="N473" s="31" t="s">
        <v>81</v>
      </c>
      <c r="O473" s="27"/>
      <c r="P473" s="30"/>
      <c r="Q473" s="30" t="s">
        <v>278</v>
      </c>
      <c r="R473" s="26">
        <v>46226</v>
      </c>
      <c r="S473" s="26">
        <v>46227</v>
      </c>
      <c r="T473" s="31"/>
      <c r="U473" s="30" t="s">
        <v>68</v>
      </c>
      <c r="V473" s="34" t="s">
        <v>70</v>
      </c>
      <c r="W473" s="27" t="s">
        <v>208</v>
      </c>
      <c r="X473" s="30">
        <v>3</v>
      </c>
      <c r="Y473" s="30">
        <v>1</v>
      </c>
      <c r="Z473" s="30">
        <v>1</v>
      </c>
      <c r="AA473" s="30">
        <v>1</v>
      </c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6" t="s">
        <v>69</v>
      </c>
      <c r="AS473" s="36"/>
      <c r="AT473" s="36"/>
      <c r="AU473" s="36"/>
      <c r="AV473" s="36" t="s">
        <v>81</v>
      </c>
      <c r="AW473" s="36"/>
      <c r="AX473" s="36" t="s">
        <v>906</v>
      </c>
      <c r="AY473" s="36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27"/>
      <c r="BL473" s="27"/>
    </row>
    <row r="474" spans="1:64">
      <c r="A474" s="68" t="s">
        <v>187</v>
      </c>
      <c r="B474" s="26">
        <v>46220</v>
      </c>
      <c r="C474" s="27">
        <v>29836</v>
      </c>
      <c r="D474" s="27"/>
      <c r="E474" s="27" t="s">
        <v>212</v>
      </c>
      <c r="F474" s="27" t="s">
        <v>59</v>
      </c>
      <c r="G474" s="27" t="s">
        <v>104</v>
      </c>
      <c r="H474" s="30" t="s">
        <v>151</v>
      </c>
      <c r="I474" s="31" t="s">
        <v>1398</v>
      </c>
      <c r="J474" s="30" t="s">
        <v>378</v>
      </c>
      <c r="K474" s="27">
        <v>1</v>
      </c>
      <c r="L474" s="27" t="s">
        <v>205</v>
      </c>
      <c r="M474" s="27"/>
      <c r="N474" s="31" t="s">
        <v>81</v>
      </c>
      <c r="O474" s="27"/>
      <c r="P474" s="30"/>
      <c r="Q474" s="30" t="s">
        <v>836</v>
      </c>
      <c r="R474" s="26">
        <v>46226</v>
      </c>
      <c r="S474" s="26">
        <v>46227</v>
      </c>
      <c r="T474" s="31"/>
      <c r="U474" s="30" t="s">
        <v>68</v>
      </c>
      <c r="V474" s="34" t="s">
        <v>70</v>
      </c>
      <c r="W474" s="27" t="s">
        <v>208</v>
      </c>
      <c r="X474" s="30">
        <v>3</v>
      </c>
      <c r="Y474" s="30">
        <v>1</v>
      </c>
      <c r="Z474" s="30">
        <v>1</v>
      </c>
      <c r="AA474" s="30">
        <v>1</v>
      </c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6" t="s">
        <v>69</v>
      </c>
      <c r="AS474" s="36"/>
      <c r="AT474" s="36"/>
      <c r="AU474" s="36"/>
      <c r="AV474" s="36" t="s">
        <v>81</v>
      </c>
      <c r="AW474" s="36"/>
      <c r="AX474" s="36"/>
      <c r="AY474" s="36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27"/>
      <c r="BL474" s="27"/>
    </row>
    <row r="475" spans="1:64">
      <c r="A475" s="68" t="s">
        <v>187</v>
      </c>
      <c r="B475" s="26">
        <v>46220</v>
      </c>
      <c r="C475" s="27">
        <v>29833</v>
      </c>
      <c r="D475" s="27"/>
      <c r="E475" s="27" t="s">
        <v>212</v>
      </c>
      <c r="F475" s="27" t="s">
        <v>59</v>
      </c>
      <c r="G475" s="27" t="s">
        <v>104</v>
      </c>
      <c r="H475" s="30" t="s">
        <v>862</v>
      </c>
      <c r="I475" s="31" t="s">
        <v>1399</v>
      </c>
      <c r="J475" s="30" t="s">
        <v>378</v>
      </c>
      <c r="K475" s="27">
        <v>1</v>
      </c>
      <c r="L475" s="27" t="s">
        <v>214</v>
      </c>
      <c r="M475" s="27"/>
      <c r="N475" s="31" t="s">
        <v>81</v>
      </c>
      <c r="O475" s="27"/>
      <c r="P475" s="30"/>
      <c r="Q475" s="30" t="s">
        <v>1400</v>
      </c>
      <c r="R475" s="26">
        <v>46226</v>
      </c>
      <c r="S475" s="26">
        <v>46227</v>
      </c>
      <c r="T475" s="31"/>
      <c r="U475" s="30" t="s">
        <v>68</v>
      </c>
      <c r="V475" s="34" t="s">
        <v>70</v>
      </c>
      <c r="W475" s="27" t="s">
        <v>208</v>
      </c>
      <c r="X475" s="30">
        <v>3</v>
      </c>
      <c r="Y475" s="30">
        <v>1</v>
      </c>
      <c r="Z475" s="30">
        <v>1</v>
      </c>
      <c r="AA475" s="30">
        <v>1</v>
      </c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6" t="s">
        <v>69</v>
      </c>
      <c r="AS475" s="36"/>
      <c r="AT475" s="36"/>
      <c r="AU475" s="36"/>
      <c r="AV475" s="36" t="s">
        <v>81</v>
      </c>
      <c r="AW475" s="36"/>
      <c r="AX475" s="36" t="s">
        <v>90</v>
      </c>
      <c r="AY475" s="36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27"/>
      <c r="BL475" s="27"/>
    </row>
    <row r="476" spans="1:64">
      <c r="A476" s="68" t="s">
        <v>187</v>
      </c>
      <c r="B476" s="26">
        <v>46220</v>
      </c>
      <c r="C476" s="27">
        <v>29835</v>
      </c>
      <c r="D476" s="27"/>
      <c r="E476" s="27" t="s">
        <v>212</v>
      </c>
      <c r="F476" s="27" t="s">
        <v>59</v>
      </c>
      <c r="G476" s="27" t="s">
        <v>104</v>
      </c>
      <c r="H476" s="30" t="s">
        <v>378</v>
      </c>
      <c r="I476" s="31" t="s">
        <v>1401</v>
      </c>
      <c r="J476" s="30" t="s">
        <v>378</v>
      </c>
      <c r="K476" s="27">
        <v>1</v>
      </c>
      <c r="L476" s="27" t="s">
        <v>205</v>
      </c>
      <c r="M476" s="27"/>
      <c r="N476" s="31" t="s">
        <v>81</v>
      </c>
      <c r="O476" s="27"/>
      <c r="P476" s="30"/>
      <c r="Q476" s="30" t="s">
        <v>1402</v>
      </c>
      <c r="R476" s="26">
        <v>46226</v>
      </c>
      <c r="S476" s="26">
        <v>46227</v>
      </c>
      <c r="T476" s="31"/>
      <c r="U476" s="30" t="s">
        <v>68</v>
      </c>
      <c r="V476" s="34" t="s">
        <v>70</v>
      </c>
      <c r="W476" s="27" t="s">
        <v>208</v>
      </c>
      <c r="X476" s="30">
        <v>3</v>
      </c>
      <c r="Y476" s="30">
        <v>1</v>
      </c>
      <c r="Z476" s="30">
        <v>1</v>
      </c>
      <c r="AA476" s="30">
        <v>1</v>
      </c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6" t="s">
        <v>69</v>
      </c>
      <c r="AS476" s="36"/>
      <c r="AT476" s="36"/>
      <c r="AU476" s="36"/>
      <c r="AV476" s="36" t="s">
        <v>81</v>
      </c>
      <c r="AW476" s="36"/>
      <c r="AX476" s="36" t="s">
        <v>906</v>
      </c>
      <c r="AY476" s="36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27"/>
      <c r="BL476" s="27"/>
    </row>
    <row r="477" spans="1:64">
      <c r="A477" s="68" t="s">
        <v>187</v>
      </c>
      <c r="B477" s="26">
        <v>46220</v>
      </c>
      <c r="C477" s="27">
        <v>29845</v>
      </c>
      <c r="D477" s="27"/>
      <c r="E477" s="27" t="s">
        <v>212</v>
      </c>
      <c r="F477" s="27" t="s">
        <v>59</v>
      </c>
      <c r="G477" s="27" t="s">
        <v>104</v>
      </c>
      <c r="H477" s="30" t="s">
        <v>767</v>
      </c>
      <c r="I477" s="31" t="s">
        <v>1403</v>
      </c>
      <c r="J477" s="30" t="s">
        <v>767</v>
      </c>
      <c r="K477" s="27">
        <v>1</v>
      </c>
      <c r="L477" s="27" t="s">
        <v>205</v>
      </c>
      <c r="M477" s="27"/>
      <c r="N477" s="31" t="s">
        <v>154</v>
      </c>
      <c r="O477" s="27"/>
      <c r="P477" s="30"/>
      <c r="Q477" s="30" t="s">
        <v>66</v>
      </c>
      <c r="R477" s="26">
        <v>46224</v>
      </c>
      <c r="S477" s="26">
        <v>46225</v>
      </c>
      <c r="T477" s="31"/>
      <c r="U477" s="30" t="s">
        <v>68</v>
      </c>
      <c r="V477" s="34" t="s">
        <v>70</v>
      </c>
      <c r="W477" s="27" t="s">
        <v>208</v>
      </c>
      <c r="X477" s="30">
        <v>1</v>
      </c>
      <c r="Y477" s="30">
        <v>1</v>
      </c>
      <c r="Z477" s="30">
        <v>1</v>
      </c>
      <c r="AA477" s="30">
        <v>1</v>
      </c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6" t="s">
        <v>69</v>
      </c>
      <c r="AS477" s="36"/>
      <c r="AT477" s="36"/>
      <c r="AU477" s="36" t="s">
        <v>154</v>
      </c>
      <c r="AV477" s="36" t="s">
        <v>41</v>
      </c>
      <c r="AW477" s="36"/>
      <c r="AX477" s="36"/>
      <c r="AY477" s="36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27"/>
      <c r="BL477" s="27"/>
    </row>
    <row r="478" spans="1:64">
      <c r="A478" s="68" t="s">
        <v>187</v>
      </c>
      <c r="B478" s="26">
        <v>46220</v>
      </c>
      <c r="C478" s="27">
        <v>29839</v>
      </c>
      <c r="D478" s="27"/>
      <c r="E478" s="27" t="s">
        <v>233</v>
      </c>
      <c r="F478" s="27" t="s">
        <v>59</v>
      </c>
      <c r="G478" s="27" t="s">
        <v>104</v>
      </c>
      <c r="H478" s="30" t="s">
        <v>195</v>
      </c>
      <c r="I478" s="31" t="s">
        <v>1404</v>
      </c>
      <c r="J478" s="30" t="s">
        <v>195</v>
      </c>
      <c r="K478" s="27">
        <v>1</v>
      </c>
      <c r="L478" s="27" t="s">
        <v>214</v>
      </c>
      <c r="M478" s="27"/>
      <c r="N478" s="31" t="s">
        <v>94</v>
      </c>
      <c r="O478" s="27"/>
      <c r="P478" s="30"/>
      <c r="Q478" s="30" t="s">
        <v>66</v>
      </c>
      <c r="R478" s="26">
        <v>46224</v>
      </c>
      <c r="S478" s="26">
        <v>46225</v>
      </c>
      <c r="T478" s="31"/>
      <c r="U478" s="30" t="s">
        <v>68</v>
      </c>
      <c r="V478" s="34" t="s">
        <v>70</v>
      </c>
      <c r="W478" s="27" t="s">
        <v>208</v>
      </c>
      <c r="X478" s="30">
        <v>1</v>
      </c>
      <c r="Y478" s="30">
        <v>1</v>
      </c>
      <c r="Z478" s="30">
        <v>1</v>
      </c>
      <c r="AA478" s="30">
        <v>1</v>
      </c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6" t="s">
        <v>69</v>
      </c>
      <c r="AS478" s="36"/>
      <c r="AT478" s="36"/>
      <c r="AU478" s="36"/>
      <c r="AV478" s="36" t="s">
        <v>105</v>
      </c>
      <c r="AW478" s="36"/>
      <c r="AX478" s="36"/>
      <c r="AY478" s="36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27"/>
      <c r="BL478" s="27"/>
    </row>
    <row r="479" spans="1:64">
      <c r="A479" s="68" t="s">
        <v>187</v>
      </c>
      <c r="B479" s="26">
        <v>46220</v>
      </c>
      <c r="C479" s="27">
        <v>29843</v>
      </c>
      <c r="D479" s="27"/>
      <c r="E479" s="27" t="s">
        <v>212</v>
      </c>
      <c r="F479" s="27" t="s">
        <v>59</v>
      </c>
      <c r="G479" s="27" t="s">
        <v>104</v>
      </c>
      <c r="H479" s="30" t="s">
        <v>28</v>
      </c>
      <c r="I479" s="31" t="s">
        <v>1405</v>
      </c>
      <c r="J479" s="30" t="s">
        <v>383</v>
      </c>
      <c r="K479" s="27">
        <v>1</v>
      </c>
      <c r="L479" s="27" t="s">
        <v>214</v>
      </c>
      <c r="M479" s="27"/>
      <c r="N479" s="31" t="s">
        <v>258</v>
      </c>
      <c r="O479" s="27"/>
      <c r="P479" s="30"/>
      <c r="Q479" s="30" t="s">
        <v>1406</v>
      </c>
      <c r="R479" s="26">
        <v>46221</v>
      </c>
      <c r="S479" s="26">
        <v>46221</v>
      </c>
      <c r="T479" s="31"/>
      <c r="U479" s="30" t="s">
        <v>68</v>
      </c>
      <c r="V479" s="34" t="s">
        <v>70</v>
      </c>
      <c r="W479" s="27" t="s">
        <v>208</v>
      </c>
      <c r="X479" s="30">
        <v>1</v>
      </c>
      <c r="Y479" s="30">
        <v>1</v>
      </c>
      <c r="Z479" s="30">
        <v>1</v>
      </c>
      <c r="AA479" s="30">
        <v>1</v>
      </c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6" t="s">
        <v>69</v>
      </c>
      <c r="AS479" s="36" t="s">
        <v>260</v>
      </c>
      <c r="AT479" s="36"/>
      <c r="AU479" s="36"/>
      <c r="AV479" s="36"/>
      <c r="AW479" s="36"/>
      <c r="AX479" s="36"/>
      <c r="AY479" s="36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27"/>
      <c r="BL479" s="27"/>
    </row>
    <row r="480" spans="1:64">
      <c r="A480" s="68" t="s">
        <v>187</v>
      </c>
      <c r="B480" s="26">
        <v>46220</v>
      </c>
      <c r="C480" s="27">
        <v>29837</v>
      </c>
      <c r="D480" s="27"/>
      <c r="E480" s="27" t="s">
        <v>203</v>
      </c>
      <c r="F480" s="27" t="s">
        <v>59</v>
      </c>
      <c r="G480" s="27" t="s">
        <v>104</v>
      </c>
      <c r="H480" s="30" t="s">
        <v>28</v>
      </c>
      <c r="I480" s="31" t="s">
        <v>1407</v>
      </c>
      <c r="J480" s="30" t="s">
        <v>383</v>
      </c>
      <c r="K480" s="27">
        <v>1</v>
      </c>
      <c r="L480" s="27" t="s">
        <v>205</v>
      </c>
      <c r="M480" s="27"/>
      <c r="N480" s="31" t="s">
        <v>258</v>
      </c>
      <c r="O480" s="27"/>
      <c r="P480" s="30"/>
      <c r="Q480" s="30" t="s">
        <v>491</v>
      </c>
      <c r="R480" s="26">
        <v>46221</v>
      </c>
      <c r="S480" s="26">
        <v>46221</v>
      </c>
      <c r="T480" s="31"/>
      <c r="U480" s="30" t="s">
        <v>68</v>
      </c>
      <c r="V480" s="34" t="s">
        <v>70</v>
      </c>
      <c r="W480" s="27" t="s">
        <v>208</v>
      </c>
      <c r="X480" s="30">
        <v>1</v>
      </c>
      <c r="Y480" s="30">
        <v>1</v>
      </c>
      <c r="Z480" s="30">
        <v>1</v>
      </c>
      <c r="AA480" s="30">
        <v>1</v>
      </c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6" t="s">
        <v>69</v>
      </c>
      <c r="AS480" s="36" t="s">
        <v>260</v>
      </c>
      <c r="AT480" s="36"/>
      <c r="AU480" s="36"/>
      <c r="AV480" s="36"/>
      <c r="AW480" s="36"/>
      <c r="AX480" s="36"/>
      <c r="AY480" s="36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27"/>
      <c r="BL480" s="27"/>
    </row>
    <row r="481" spans="1:64">
      <c r="A481" s="68" t="s">
        <v>187</v>
      </c>
      <c r="B481" s="26">
        <v>46220</v>
      </c>
      <c r="C481" s="27">
        <v>29838</v>
      </c>
      <c r="D481" s="27"/>
      <c r="E481" s="27" t="s">
        <v>212</v>
      </c>
      <c r="F481" s="27" t="s">
        <v>59</v>
      </c>
      <c r="G481" s="27" t="s">
        <v>104</v>
      </c>
      <c r="H481" s="30" t="s">
        <v>28</v>
      </c>
      <c r="I481" s="31" t="s">
        <v>651</v>
      </c>
      <c r="J481" s="30" t="s">
        <v>383</v>
      </c>
      <c r="K481" s="27">
        <v>1</v>
      </c>
      <c r="L481" s="27" t="s">
        <v>205</v>
      </c>
      <c r="M481" s="27"/>
      <c r="N481" s="31" t="s">
        <v>258</v>
      </c>
      <c r="O481" s="27"/>
      <c r="P481" s="30"/>
      <c r="Q481" s="30" t="s">
        <v>296</v>
      </c>
      <c r="R481" s="26">
        <v>46221</v>
      </c>
      <c r="S481" s="26">
        <v>46221</v>
      </c>
      <c r="T481" s="31"/>
      <c r="U481" s="30" t="s">
        <v>68</v>
      </c>
      <c r="V481" s="34" t="s">
        <v>70</v>
      </c>
      <c r="W481" s="27" t="s">
        <v>208</v>
      </c>
      <c r="X481" s="30">
        <v>1</v>
      </c>
      <c r="Y481" s="30">
        <v>1</v>
      </c>
      <c r="Z481" s="30">
        <v>1</v>
      </c>
      <c r="AA481" s="30">
        <v>1</v>
      </c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6" t="s">
        <v>69</v>
      </c>
      <c r="AS481" s="36" t="s">
        <v>260</v>
      </c>
      <c r="AT481" s="36"/>
      <c r="AU481" s="36"/>
      <c r="AV481" s="36"/>
      <c r="AW481" s="36"/>
      <c r="AX481" s="36"/>
      <c r="AY481" s="36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27"/>
      <c r="BL481" s="27"/>
    </row>
    <row r="482" spans="1:64">
      <c r="A482" s="68" t="s">
        <v>54</v>
      </c>
      <c r="B482" s="26">
        <v>46220</v>
      </c>
      <c r="C482" s="27">
        <v>29976</v>
      </c>
      <c r="D482" s="27"/>
      <c r="E482" s="27" t="s">
        <v>314</v>
      </c>
      <c r="F482" s="27" t="s">
        <v>59</v>
      </c>
      <c r="G482" s="27" t="s">
        <v>104</v>
      </c>
      <c r="H482" s="30" t="s">
        <v>480</v>
      </c>
      <c r="I482" s="31" t="s">
        <v>1288</v>
      </c>
      <c r="J482" s="30" t="s">
        <v>1408</v>
      </c>
      <c r="K482" s="27">
        <v>15</v>
      </c>
      <c r="L482" s="27">
        <v>256.5</v>
      </c>
      <c r="M482" s="27"/>
      <c r="N482" s="31"/>
      <c r="O482" s="27" t="s">
        <v>272</v>
      </c>
      <c r="P482" s="30"/>
      <c r="Q482" s="30"/>
      <c r="R482" s="27"/>
      <c r="S482" s="27"/>
      <c r="T482" s="59" t="s">
        <v>625</v>
      </c>
      <c r="U482" s="30" t="s">
        <v>626</v>
      </c>
      <c r="V482" s="34" t="s">
        <v>627</v>
      </c>
      <c r="W482" s="27" t="s">
        <v>320</v>
      </c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6" t="s">
        <v>69</v>
      </c>
      <c r="AS482" s="36"/>
      <c r="AT482" s="36"/>
      <c r="AU482" s="36"/>
      <c r="AV482" s="36"/>
      <c r="AW482" s="36"/>
      <c r="AX482" s="36" t="s">
        <v>504</v>
      </c>
      <c r="AY482" s="36"/>
      <c r="AZ482" s="30" t="s">
        <v>118</v>
      </c>
      <c r="BA482" s="30"/>
      <c r="BB482" s="30"/>
      <c r="BC482" s="27" t="s">
        <v>272</v>
      </c>
      <c r="BD482" s="30"/>
      <c r="BE482" s="30"/>
      <c r="BF482" s="30"/>
      <c r="BG482" s="30"/>
      <c r="BH482" s="30"/>
      <c r="BI482" s="30"/>
      <c r="BJ482" s="30"/>
      <c r="BK482" s="27"/>
      <c r="BL482" s="27"/>
    </row>
    <row r="483" spans="1:64">
      <c r="A483" s="68" t="s">
        <v>187</v>
      </c>
      <c r="B483" s="26">
        <v>46220</v>
      </c>
      <c r="C483" s="27">
        <v>29827</v>
      </c>
      <c r="D483" s="27"/>
      <c r="E483" s="27" t="s">
        <v>233</v>
      </c>
      <c r="F483" s="27" t="s">
        <v>59</v>
      </c>
      <c r="G483" s="27" t="s">
        <v>104</v>
      </c>
      <c r="H483" s="30" t="s">
        <v>538</v>
      </c>
      <c r="I483" s="31" t="s">
        <v>830</v>
      </c>
      <c r="J483" s="30" t="s">
        <v>757</v>
      </c>
      <c r="K483" s="27">
        <v>1</v>
      </c>
      <c r="L483" s="27" t="s">
        <v>205</v>
      </c>
      <c r="M483" s="27"/>
      <c r="N483" s="31" t="s">
        <v>154</v>
      </c>
      <c r="O483" s="27"/>
      <c r="P483" s="30"/>
      <c r="Q483" s="30" t="s">
        <v>66</v>
      </c>
      <c r="R483" s="26">
        <v>46224</v>
      </c>
      <c r="S483" s="26">
        <v>46225</v>
      </c>
      <c r="T483" s="31"/>
      <c r="U483" s="30" t="s">
        <v>68</v>
      </c>
      <c r="V483" s="34" t="s">
        <v>70</v>
      </c>
      <c r="W483" s="27" t="s">
        <v>208</v>
      </c>
      <c r="X483" s="30">
        <v>1</v>
      </c>
      <c r="Y483" s="30">
        <v>1</v>
      </c>
      <c r="Z483" s="30">
        <v>1</v>
      </c>
      <c r="AA483" s="30">
        <v>1</v>
      </c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6" t="s">
        <v>69</v>
      </c>
      <c r="AS483" s="36"/>
      <c r="AT483" s="36"/>
      <c r="AU483" s="36" t="s">
        <v>154</v>
      </c>
      <c r="AV483" s="36" t="s">
        <v>41</v>
      </c>
      <c r="AW483" s="36"/>
      <c r="AX483" s="36"/>
      <c r="AY483" s="36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27"/>
      <c r="BL483" s="27"/>
    </row>
    <row r="484" spans="1:64">
      <c r="A484" s="68" t="s">
        <v>187</v>
      </c>
      <c r="B484" s="26">
        <v>46220</v>
      </c>
      <c r="C484" s="27">
        <v>29847</v>
      </c>
      <c r="D484" s="27"/>
      <c r="E484" s="27" t="s">
        <v>212</v>
      </c>
      <c r="F484" s="27" t="s">
        <v>59</v>
      </c>
      <c r="G484" s="27" t="s">
        <v>104</v>
      </c>
      <c r="H484" s="30" t="s">
        <v>412</v>
      </c>
      <c r="I484" s="31" t="s">
        <v>1409</v>
      </c>
      <c r="J484" s="30" t="s">
        <v>412</v>
      </c>
      <c r="K484" s="27">
        <v>1</v>
      </c>
      <c r="L484" s="27" t="s">
        <v>205</v>
      </c>
      <c r="M484" s="27"/>
      <c r="N484" s="31" t="s">
        <v>1410</v>
      </c>
      <c r="O484" s="27"/>
      <c r="P484" s="30"/>
      <c r="Q484" s="30" t="s">
        <v>66</v>
      </c>
      <c r="R484" s="26">
        <v>46227</v>
      </c>
      <c r="S484" s="26">
        <v>46230</v>
      </c>
      <c r="T484" s="31" t="s">
        <v>1411</v>
      </c>
      <c r="U484" s="30" t="s">
        <v>68</v>
      </c>
      <c r="V484" s="34" t="s">
        <v>70</v>
      </c>
      <c r="W484" s="27" t="s">
        <v>208</v>
      </c>
      <c r="X484" s="30">
        <v>1</v>
      </c>
      <c r="Y484" s="30">
        <v>1</v>
      </c>
      <c r="Z484" s="30">
        <v>1</v>
      </c>
      <c r="AA484" s="30">
        <v>1</v>
      </c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6" t="s">
        <v>69</v>
      </c>
      <c r="AS484" s="36"/>
      <c r="AT484" s="36"/>
      <c r="AU484" s="36"/>
      <c r="AV484" s="36" t="s">
        <v>81</v>
      </c>
      <c r="AW484" s="36" t="s">
        <v>1410</v>
      </c>
      <c r="AX484" s="36"/>
      <c r="AY484" s="36" t="s">
        <v>41</v>
      </c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27"/>
      <c r="BL484" s="27"/>
    </row>
    <row r="485" spans="1:64">
      <c r="A485" s="68" t="s">
        <v>187</v>
      </c>
      <c r="B485" s="26">
        <v>46220</v>
      </c>
      <c r="C485" s="27">
        <v>29844</v>
      </c>
      <c r="D485" s="27"/>
      <c r="E485" s="27" t="s">
        <v>212</v>
      </c>
      <c r="F485" s="27" t="s">
        <v>59</v>
      </c>
      <c r="G485" s="27" t="s">
        <v>104</v>
      </c>
      <c r="H485" s="30" t="s">
        <v>569</v>
      </c>
      <c r="I485" s="31" t="s">
        <v>1412</v>
      </c>
      <c r="J485" s="30" t="s">
        <v>569</v>
      </c>
      <c r="K485" s="27">
        <v>1</v>
      </c>
      <c r="L485" s="27" t="s">
        <v>214</v>
      </c>
      <c r="M485" s="27"/>
      <c r="N485" s="31" t="s">
        <v>455</v>
      </c>
      <c r="O485" s="27"/>
      <c r="P485" s="30"/>
      <c r="Q485" s="30" t="s">
        <v>66</v>
      </c>
      <c r="R485" s="26">
        <v>46224</v>
      </c>
      <c r="S485" s="26">
        <v>46226</v>
      </c>
      <c r="T485" s="31"/>
      <c r="U485" s="30" t="s">
        <v>68</v>
      </c>
      <c r="V485" s="34" t="s">
        <v>70</v>
      </c>
      <c r="W485" s="27" t="s">
        <v>208</v>
      </c>
      <c r="X485" s="30">
        <v>1</v>
      </c>
      <c r="Y485" s="30">
        <v>1</v>
      </c>
      <c r="Z485" s="30">
        <v>1</v>
      </c>
      <c r="AA485" s="30">
        <v>1</v>
      </c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6" t="s">
        <v>69</v>
      </c>
      <c r="AS485" s="36"/>
      <c r="AT485" s="36"/>
      <c r="AU485" s="36" t="s">
        <v>455</v>
      </c>
      <c r="AV485" s="36" t="s">
        <v>41</v>
      </c>
      <c r="AW485" s="36"/>
      <c r="AX485" s="36"/>
      <c r="AY485" s="36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27"/>
      <c r="BL485" s="27"/>
    </row>
    <row r="486" spans="1:64">
      <c r="A486" s="68" t="s">
        <v>187</v>
      </c>
      <c r="B486" s="26">
        <v>46220</v>
      </c>
      <c r="C486" s="27">
        <v>29846</v>
      </c>
      <c r="D486" s="27"/>
      <c r="E486" s="27" t="s">
        <v>212</v>
      </c>
      <c r="F486" s="27" t="s">
        <v>59</v>
      </c>
      <c r="G486" s="27" t="s">
        <v>104</v>
      </c>
      <c r="H486" s="30" t="s">
        <v>953</v>
      </c>
      <c r="I486" s="31" t="s">
        <v>1413</v>
      </c>
      <c r="J486" s="30" t="s">
        <v>1414</v>
      </c>
      <c r="K486" s="27">
        <v>1</v>
      </c>
      <c r="L486" s="27" t="s">
        <v>205</v>
      </c>
      <c r="M486" s="27"/>
      <c r="N486" s="31" t="s">
        <v>94</v>
      </c>
      <c r="O486" s="27"/>
      <c r="P486" s="30"/>
      <c r="Q486" s="30" t="s">
        <v>66</v>
      </c>
      <c r="R486" s="26">
        <v>46224</v>
      </c>
      <c r="S486" s="26">
        <v>46225</v>
      </c>
      <c r="T486" s="31"/>
      <c r="U486" s="30" t="s">
        <v>68</v>
      </c>
      <c r="V486" s="34" t="s">
        <v>70</v>
      </c>
      <c r="W486" s="27" t="s">
        <v>208</v>
      </c>
      <c r="X486" s="30">
        <v>1</v>
      </c>
      <c r="Y486" s="30">
        <v>1</v>
      </c>
      <c r="Z486" s="30">
        <v>1</v>
      </c>
      <c r="AA486" s="30">
        <v>1</v>
      </c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6" t="s">
        <v>69</v>
      </c>
      <c r="AS486" s="36"/>
      <c r="AT486" s="36"/>
      <c r="AU486" s="36"/>
      <c r="AV486" s="36" t="s">
        <v>105</v>
      </c>
      <c r="AW486" s="36"/>
      <c r="AX486" s="36"/>
      <c r="AY486" s="36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27"/>
      <c r="BL486" s="27"/>
    </row>
    <row r="487" spans="1:64">
      <c r="A487" s="68" t="s">
        <v>187</v>
      </c>
      <c r="B487" s="26">
        <v>46220</v>
      </c>
      <c r="C487" s="27">
        <v>29832</v>
      </c>
      <c r="D487" s="27"/>
      <c r="E487" s="27" t="s">
        <v>212</v>
      </c>
      <c r="F487" s="27" t="s">
        <v>59</v>
      </c>
      <c r="G487" s="27" t="s">
        <v>104</v>
      </c>
      <c r="H487" s="30" t="s">
        <v>243</v>
      </c>
      <c r="I487" s="31" t="s">
        <v>1307</v>
      </c>
      <c r="J487" s="30" t="s">
        <v>656</v>
      </c>
      <c r="K487" s="27">
        <v>1</v>
      </c>
      <c r="L487" s="27" t="s">
        <v>205</v>
      </c>
      <c r="M487" s="27"/>
      <c r="N487" s="31" t="s">
        <v>94</v>
      </c>
      <c r="O487" s="27"/>
      <c r="P487" s="30"/>
      <c r="Q487" s="30" t="s">
        <v>66</v>
      </c>
      <c r="R487" s="26">
        <v>46224</v>
      </c>
      <c r="S487" s="26">
        <v>46225</v>
      </c>
      <c r="T487" s="31"/>
      <c r="U487" s="30" t="s">
        <v>68</v>
      </c>
      <c r="V487" s="34" t="s">
        <v>70</v>
      </c>
      <c r="W487" s="27" t="s">
        <v>208</v>
      </c>
      <c r="X487" s="30">
        <v>1</v>
      </c>
      <c r="Y487" s="30">
        <v>1</v>
      </c>
      <c r="Z487" s="30">
        <v>1</v>
      </c>
      <c r="AA487" s="30">
        <v>1</v>
      </c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6" t="s">
        <v>69</v>
      </c>
      <c r="AS487" s="36"/>
      <c r="AT487" s="36"/>
      <c r="AU487" s="36"/>
      <c r="AV487" s="36" t="s">
        <v>105</v>
      </c>
      <c r="AW487" s="36"/>
      <c r="AX487" s="36"/>
      <c r="AY487" s="36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27"/>
      <c r="BL487" s="27"/>
    </row>
    <row r="488" spans="1:64">
      <c r="A488" s="68" t="s">
        <v>187</v>
      </c>
      <c r="B488" s="26">
        <v>46220</v>
      </c>
      <c r="C488" s="27">
        <v>29848</v>
      </c>
      <c r="D488" s="27"/>
      <c r="E488" s="27" t="s">
        <v>212</v>
      </c>
      <c r="F488" s="27" t="s">
        <v>59</v>
      </c>
      <c r="G488" s="27" t="s">
        <v>104</v>
      </c>
      <c r="H488" s="30" t="s">
        <v>953</v>
      </c>
      <c r="I488" s="31" t="s">
        <v>1415</v>
      </c>
      <c r="J488" s="30" t="s">
        <v>1414</v>
      </c>
      <c r="K488" s="27">
        <v>1</v>
      </c>
      <c r="L488" s="27" t="s">
        <v>205</v>
      </c>
      <c r="M488" s="27"/>
      <c r="N488" s="31" t="s">
        <v>94</v>
      </c>
      <c r="O488" s="27"/>
      <c r="P488" s="30"/>
      <c r="Q488" s="30" t="s">
        <v>66</v>
      </c>
      <c r="R488" s="26">
        <v>46224</v>
      </c>
      <c r="S488" s="26">
        <v>46225</v>
      </c>
      <c r="T488" s="31"/>
      <c r="U488" s="30" t="s">
        <v>68</v>
      </c>
      <c r="V488" s="34" t="s">
        <v>70</v>
      </c>
      <c r="W488" s="27" t="s">
        <v>208</v>
      </c>
      <c r="X488" s="30">
        <v>1</v>
      </c>
      <c r="Y488" s="30">
        <v>1</v>
      </c>
      <c r="Z488" s="30">
        <v>1</v>
      </c>
      <c r="AA488" s="30">
        <v>1</v>
      </c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6" t="s">
        <v>69</v>
      </c>
      <c r="AS488" s="36"/>
      <c r="AT488" s="36"/>
      <c r="AU488" s="36"/>
      <c r="AV488" s="36" t="s">
        <v>94</v>
      </c>
      <c r="AW488" s="36" t="s">
        <v>90</v>
      </c>
      <c r="AX488" s="36"/>
      <c r="AY488" s="36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27"/>
      <c r="BL488" s="27"/>
    </row>
    <row r="489" spans="1:64">
      <c r="A489" s="68" t="s">
        <v>187</v>
      </c>
      <c r="B489" s="26">
        <v>46220</v>
      </c>
      <c r="C489" s="27">
        <v>29824</v>
      </c>
      <c r="D489" s="27"/>
      <c r="E489" s="27" t="s">
        <v>212</v>
      </c>
      <c r="F489" s="27" t="s">
        <v>59</v>
      </c>
      <c r="G489" s="27" t="s">
        <v>104</v>
      </c>
      <c r="H489" s="30" t="s">
        <v>243</v>
      </c>
      <c r="I489" s="31" t="s">
        <v>1416</v>
      </c>
      <c r="J489" s="30" t="s">
        <v>656</v>
      </c>
      <c r="K489" s="27">
        <v>1</v>
      </c>
      <c r="L489" s="27" t="s">
        <v>205</v>
      </c>
      <c r="M489" s="27"/>
      <c r="N489" s="31" t="s">
        <v>94</v>
      </c>
      <c r="O489" s="27"/>
      <c r="P489" s="30"/>
      <c r="Q489" s="30" t="s">
        <v>1417</v>
      </c>
      <c r="R489" s="26">
        <v>46224</v>
      </c>
      <c r="S489" s="26">
        <v>46225</v>
      </c>
      <c r="T489" s="31"/>
      <c r="U489" s="30" t="s">
        <v>68</v>
      </c>
      <c r="V489" s="34" t="s">
        <v>70</v>
      </c>
      <c r="W489" s="27" t="s">
        <v>208</v>
      </c>
      <c r="X489" s="30">
        <v>1</v>
      </c>
      <c r="Y489" s="30">
        <v>1</v>
      </c>
      <c r="Z489" s="30">
        <v>1</v>
      </c>
      <c r="AA489" s="30">
        <v>1</v>
      </c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6" t="s">
        <v>69</v>
      </c>
      <c r="AS489" s="36"/>
      <c r="AT489" s="36"/>
      <c r="AU489" s="36"/>
      <c r="AV489" s="36" t="s">
        <v>105</v>
      </c>
      <c r="AW489" s="36"/>
      <c r="AX489" s="36"/>
      <c r="AY489" s="36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27"/>
      <c r="BL489" s="27"/>
    </row>
    <row r="490" spans="1:64">
      <c r="A490" s="68" t="s">
        <v>187</v>
      </c>
      <c r="B490" s="26">
        <v>46220</v>
      </c>
      <c r="C490" s="27">
        <v>9453</v>
      </c>
      <c r="D490" s="27" t="s">
        <v>401</v>
      </c>
      <c r="E490" s="27"/>
      <c r="F490" s="27" t="s">
        <v>48</v>
      </c>
      <c r="G490" s="27" t="s">
        <v>110</v>
      </c>
      <c r="H490" s="30" t="s">
        <v>343</v>
      </c>
      <c r="I490" s="31" t="s">
        <v>1418</v>
      </c>
      <c r="J490" s="30" t="s">
        <v>343</v>
      </c>
      <c r="K490" s="27">
        <v>11</v>
      </c>
      <c r="L490" s="27">
        <v>132</v>
      </c>
      <c r="M490" s="27"/>
      <c r="N490" s="31" t="s">
        <v>1327</v>
      </c>
      <c r="O490" s="27"/>
      <c r="P490" s="30"/>
      <c r="Q490" s="30" t="s">
        <v>434</v>
      </c>
      <c r="R490" s="26">
        <v>46223</v>
      </c>
      <c r="S490" s="26">
        <v>46225</v>
      </c>
      <c r="T490" s="31"/>
      <c r="U490" s="30" t="s">
        <v>68</v>
      </c>
      <c r="V490" s="34" t="s">
        <v>70</v>
      </c>
      <c r="W490" s="27" t="s">
        <v>826</v>
      </c>
      <c r="X490" s="30">
        <v>1</v>
      </c>
      <c r="Y490" s="30">
        <v>1</v>
      </c>
      <c r="Z490" s="30">
        <v>1</v>
      </c>
      <c r="AA490" s="30">
        <v>1</v>
      </c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6" t="s">
        <v>1419</v>
      </c>
      <c r="AS490" s="36"/>
      <c r="AT490" s="36"/>
      <c r="AU490" s="36" t="s">
        <v>41</v>
      </c>
      <c r="AV490" s="36"/>
      <c r="AW490" s="36"/>
      <c r="AX490" s="36"/>
      <c r="AY490" s="36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27"/>
      <c r="BL490" s="27"/>
    </row>
    <row r="491" spans="1:64">
      <c r="A491" s="68" t="s">
        <v>187</v>
      </c>
      <c r="B491" s="26">
        <v>46220</v>
      </c>
      <c r="C491" s="27">
        <v>29840</v>
      </c>
      <c r="D491" s="27"/>
      <c r="E491" s="27"/>
      <c r="F491" s="27" t="s">
        <v>59</v>
      </c>
      <c r="G491" s="27" t="s">
        <v>104</v>
      </c>
      <c r="H491" s="30" t="s">
        <v>60</v>
      </c>
      <c r="I491" s="31" t="s">
        <v>753</v>
      </c>
      <c r="J491" s="30" t="s">
        <v>60</v>
      </c>
      <c r="K491" s="27">
        <v>1</v>
      </c>
      <c r="L491" s="27" t="s">
        <v>205</v>
      </c>
      <c r="M491" s="27"/>
      <c r="N491" s="31" t="s">
        <v>81</v>
      </c>
      <c r="O491" s="27"/>
      <c r="P491" s="30"/>
      <c r="Q491" s="30" t="s">
        <v>434</v>
      </c>
      <c r="R491" s="26">
        <v>46221</v>
      </c>
      <c r="S491" s="26">
        <v>46223</v>
      </c>
      <c r="T491" s="31"/>
      <c r="U491" s="30" t="s">
        <v>68</v>
      </c>
      <c r="V491" s="34" t="s">
        <v>70</v>
      </c>
      <c r="W491" s="27" t="s">
        <v>208</v>
      </c>
      <c r="X491" s="30">
        <v>1</v>
      </c>
      <c r="Y491" s="30">
        <v>1</v>
      </c>
      <c r="Z491" s="30">
        <v>1</v>
      </c>
      <c r="AA491" s="30">
        <v>1</v>
      </c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6" t="s">
        <v>1420</v>
      </c>
      <c r="AS491" s="36" t="s">
        <v>906</v>
      </c>
      <c r="AT491" s="36"/>
      <c r="AU491" s="36"/>
      <c r="AV491" s="36"/>
      <c r="AW491" s="36"/>
      <c r="AX491" s="36"/>
      <c r="AY491" s="36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27"/>
      <c r="BL491" s="27"/>
    </row>
    <row r="492" spans="1:64">
      <c r="A492" s="68" t="s">
        <v>187</v>
      </c>
      <c r="B492" s="26">
        <v>46220</v>
      </c>
      <c r="C492" s="27">
        <v>29830</v>
      </c>
      <c r="D492" s="27"/>
      <c r="E492" s="27" t="s">
        <v>1421</v>
      </c>
      <c r="F492" s="27" t="s">
        <v>59</v>
      </c>
      <c r="G492" s="27" t="s">
        <v>104</v>
      </c>
      <c r="H492" s="30" t="s">
        <v>60</v>
      </c>
      <c r="I492" s="31" t="s">
        <v>752</v>
      </c>
      <c r="J492" s="30" t="s">
        <v>60</v>
      </c>
      <c r="K492" s="27">
        <v>1</v>
      </c>
      <c r="L492" s="27" t="s">
        <v>205</v>
      </c>
      <c r="M492" s="27"/>
      <c r="N492" s="31" t="s">
        <v>81</v>
      </c>
      <c r="O492" s="27"/>
      <c r="P492" s="30"/>
      <c r="Q492" s="30" t="s">
        <v>434</v>
      </c>
      <c r="R492" s="26">
        <v>46221</v>
      </c>
      <c r="S492" s="26">
        <v>46223</v>
      </c>
      <c r="T492" s="31"/>
      <c r="U492" s="30" t="s">
        <v>68</v>
      </c>
      <c r="V492" s="34" t="s">
        <v>70</v>
      </c>
      <c r="W492" s="27" t="s">
        <v>208</v>
      </c>
      <c r="X492" s="30">
        <v>1</v>
      </c>
      <c r="Y492" s="30">
        <v>1</v>
      </c>
      <c r="Z492" s="30">
        <v>1</v>
      </c>
      <c r="AA492" s="30">
        <v>1</v>
      </c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6" t="s">
        <v>1420</v>
      </c>
      <c r="AS492" s="36" t="s">
        <v>906</v>
      </c>
      <c r="AT492" s="36"/>
      <c r="AU492" s="36"/>
      <c r="AV492" s="36"/>
      <c r="AW492" s="36"/>
      <c r="AX492" s="36"/>
      <c r="AY492" s="36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27"/>
      <c r="BL492" s="27"/>
    </row>
    <row r="493" spans="1:64">
      <c r="A493" s="68" t="s">
        <v>187</v>
      </c>
      <c r="B493" s="26">
        <v>46220</v>
      </c>
      <c r="C493" s="27">
        <v>29842</v>
      </c>
      <c r="D493" s="27"/>
      <c r="E493" s="27" t="s">
        <v>1422</v>
      </c>
      <c r="F493" s="27" t="s">
        <v>59</v>
      </c>
      <c r="G493" s="27" t="s">
        <v>104</v>
      </c>
      <c r="H493" s="30" t="s">
        <v>60</v>
      </c>
      <c r="I493" s="31" t="s">
        <v>1423</v>
      </c>
      <c r="J493" s="30" t="s">
        <v>60</v>
      </c>
      <c r="K493" s="27">
        <v>1</v>
      </c>
      <c r="L493" s="27" t="s">
        <v>205</v>
      </c>
      <c r="M493" s="27"/>
      <c r="N493" s="31" t="s">
        <v>81</v>
      </c>
      <c r="O493" s="27"/>
      <c r="P493" s="30"/>
      <c r="Q493" s="30" t="s">
        <v>66</v>
      </c>
      <c r="R493" s="26">
        <v>46221</v>
      </c>
      <c r="S493" s="26">
        <v>46223</v>
      </c>
      <c r="T493" s="31"/>
      <c r="U493" s="30" t="s">
        <v>68</v>
      </c>
      <c r="V493" s="34" t="s">
        <v>70</v>
      </c>
      <c r="W493" s="27" t="s">
        <v>208</v>
      </c>
      <c r="X493" s="30">
        <v>1</v>
      </c>
      <c r="Y493" s="30">
        <v>1</v>
      </c>
      <c r="Z493" s="30">
        <v>1</v>
      </c>
      <c r="AA493" s="30">
        <v>1</v>
      </c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6" t="s">
        <v>1420</v>
      </c>
      <c r="AS493" s="36" t="s">
        <v>41</v>
      </c>
      <c r="AT493" s="36"/>
      <c r="AU493" s="36"/>
      <c r="AV493" s="36"/>
      <c r="AW493" s="36"/>
      <c r="AX493" s="36"/>
      <c r="AY493" s="36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27"/>
      <c r="BL493" s="27"/>
    </row>
    <row r="494" spans="1:64">
      <c r="A494" s="68" t="s">
        <v>187</v>
      </c>
      <c r="B494" s="26">
        <v>46220</v>
      </c>
      <c r="C494" s="27">
        <v>29834</v>
      </c>
      <c r="D494" s="27"/>
      <c r="E494" s="27" t="s">
        <v>203</v>
      </c>
      <c r="F494" s="27" t="s">
        <v>59</v>
      </c>
      <c r="G494" s="27" t="s">
        <v>104</v>
      </c>
      <c r="H494" s="30" t="s">
        <v>60</v>
      </c>
      <c r="I494" s="31" t="s">
        <v>1424</v>
      </c>
      <c r="J494" s="30" t="s">
        <v>60</v>
      </c>
      <c r="K494" s="27">
        <v>1</v>
      </c>
      <c r="L494" s="27" t="s">
        <v>205</v>
      </c>
      <c r="M494" s="27"/>
      <c r="N494" s="31" t="s">
        <v>81</v>
      </c>
      <c r="O494" s="27"/>
      <c r="P494" s="30"/>
      <c r="Q494" s="30" t="s">
        <v>66</v>
      </c>
      <c r="R494" s="26">
        <v>46221</v>
      </c>
      <c r="S494" s="26">
        <v>46223</v>
      </c>
      <c r="T494" s="31"/>
      <c r="U494" s="30" t="s">
        <v>68</v>
      </c>
      <c r="V494" s="34" t="s">
        <v>70</v>
      </c>
      <c r="W494" s="27" t="s">
        <v>208</v>
      </c>
      <c r="X494" s="30">
        <v>1</v>
      </c>
      <c r="Y494" s="30">
        <v>1</v>
      </c>
      <c r="Z494" s="30">
        <v>1</v>
      </c>
      <c r="AA494" s="30">
        <v>1</v>
      </c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6" t="s">
        <v>1420</v>
      </c>
      <c r="AS494" s="36" t="s">
        <v>90</v>
      </c>
      <c r="AT494" s="36"/>
      <c r="AU494" s="36"/>
      <c r="AV494" s="36"/>
      <c r="AW494" s="36"/>
      <c r="AX494" s="36"/>
      <c r="AY494" s="36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27"/>
      <c r="BL494" s="27"/>
    </row>
    <row r="495" spans="1:64">
      <c r="A495" s="68" t="s">
        <v>187</v>
      </c>
      <c r="B495" s="26">
        <v>46220</v>
      </c>
      <c r="C495" s="27">
        <v>29829</v>
      </c>
      <c r="D495" s="27"/>
      <c r="E495" s="27" t="s">
        <v>203</v>
      </c>
      <c r="F495" s="27" t="s">
        <v>59</v>
      </c>
      <c r="G495" s="27" t="s">
        <v>104</v>
      </c>
      <c r="H495" s="30" t="s">
        <v>60</v>
      </c>
      <c r="I495" s="31" t="s">
        <v>1425</v>
      </c>
      <c r="J495" s="30" t="s">
        <v>60</v>
      </c>
      <c r="K495" s="27">
        <v>1</v>
      </c>
      <c r="L495" s="27" t="s">
        <v>205</v>
      </c>
      <c r="M495" s="27"/>
      <c r="N495" s="31" t="s">
        <v>81</v>
      </c>
      <c r="O495" s="27"/>
      <c r="P495" s="30"/>
      <c r="Q495" s="30" t="s">
        <v>1293</v>
      </c>
      <c r="R495" s="26">
        <v>46221</v>
      </c>
      <c r="S495" s="26">
        <v>46223</v>
      </c>
      <c r="T495" s="31"/>
      <c r="U495" s="30" t="s">
        <v>68</v>
      </c>
      <c r="V495" s="34" t="s">
        <v>70</v>
      </c>
      <c r="W495" s="27" t="s">
        <v>208</v>
      </c>
      <c r="X495" s="30">
        <v>1</v>
      </c>
      <c r="Y495" s="30">
        <v>1</v>
      </c>
      <c r="Z495" s="30">
        <v>1</v>
      </c>
      <c r="AA495" s="30">
        <v>1</v>
      </c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6" t="s">
        <v>1420</v>
      </c>
      <c r="AS495" s="36" t="s">
        <v>90</v>
      </c>
      <c r="AT495" s="36"/>
      <c r="AU495" s="36"/>
      <c r="AV495" s="36"/>
      <c r="AW495" s="36"/>
      <c r="AX495" s="36"/>
      <c r="AY495" s="36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27"/>
      <c r="BL495" s="27"/>
    </row>
    <row r="496" spans="1:64">
      <c r="A496" s="68" t="s">
        <v>187</v>
      </c>
      <c r="B496" s="26">
        <v>46220</v>
      </c>
      <c r="C496" s="27">
        <v>29828</v>
      </c>
      <c r="D496" s="27"/>
      <c r="E496" s="27" t="s">
        <v>1421</v>
      </c>
      <c r="F496" s="27" t="s">
        <v>59</v>
      </c>
      <c r="G496" s="27" t="s">
        <v>104</v>
      </c>
      <c r="H496" s="30" t="s">
        <v>60</v>
      </c>
      <c r="I496" s="31" t="s">
        <v>487</v>
      </c>
      <c r="J496" s="30" t="s">
        <v>60</v>
      </c>
      <c r="K496" s="27">
        <v>1</v>
      </c>
      <c r="L496" s="27" t="s">
        <v>205</v>
      </c>
      <c r="M496" s="27"/>
      <c r="N496" s="31" t="s">
        <v>81</v>
      </c>
      <c r="O496" s="27"/>
      <c r="P496" s="30"/>
      <c r="Q496" s="30" t="s">
        <v>1426</v>
      </c>
      <c r="R496" s="26">
        <v>46221</v>
      </c>
      <c r="S496" s="26">
        <v>46223</v>
      </c>
      <c r="T496" s="31"/>
      <c r="U496" s="30" t="s">
        <v>68</v>
      </c>
      <c r="V496" s="34" t="s">
        <v>70</v>
      </c>
      <c r="W496" s="27" t="s">
        <v>208</v>
      </c>
      <c r="X496" s="30">
        <v>1</v>
      </c>
      <c r="Y496" s="30">
        <v>1</v>
      </c>
      <c r="Z496" s="30">
        <v>1</v>
      </c>
      <c r="AA496" s="30">
        <v>1</v>
      </c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6" t="s">
        <v>1420</v>
      </c>
      <c r="AS496" s="36" t="s">
        <v>906</v>
      </c>
      <c r="AT496" s="36"/>
      <c r="AU496" s="36"/>
      <c r="AV496" s="36"/>
      <c r="AW496" s="36"/>
      <c r="AX496" s="36"/>
      <c r="AY496" s="36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27"/>
      <c r="BL496" s="27"/>
    </row>
    <row r="497" spans="1:64">
      <c r="A497" s="68" t="s">
        <v>187</v>
      </c>
      <c r="B497" s="26">
        <v>46220</v>
      </c>
      <c r="C497" s="27">
        <v>29831</v>
      </c>
      <c r="D497" s="27"/>
      <c r="E497" s="27" t="s">
        <v>1422</v>
      </c>
      <c r="F497" s="27" t="s">
        <v>59</v>
      </c>
      <c r="G497" s="27" t="s">
        <v>104</v>
      </c>
      <c r="H497" s="30" t="s">
        <v>365</v>
      </c>
      <c r="I497" s="31" t="s">
        <v>1428</v>
      </c>
      <c r="J497" s="30" t="s">
        <v>60</v>
      </c>
      <c r="K497" s="27">
        <v>1</v>
      </c>
      <c r="L497" s="27" t="s">
        <v>205</v>
      </c>
      <c r="M497" s="27"/>
      <c r="N497" s="31" t="s">
        <v>81</v>
      </c>
      <c r="O497" s="27"/>
      <c r="P497" s="30"/>
      <c r="Q497" s="30" t="s">
        <v>1228</v>
      </c>
      <c r="R497" s="26">
        <v>46221</v>
      </c>
      <c r="S497" s="26">
        <v>46223</v>
      </c>
      <c r="T497" s="31"/>
      <c r="U497" s="30" t="s">
        <v>68</v>
      </c>
      <c r="V497" s="34" t="s">
        <v>70</v>
      </c>
      <c r="W497" s="27" t="s">
        <v>208</v>
      </c>
      <c r="X497" s="30">
        <v>1</v>
      </c>
      <c r="Y497" s="30">
        <v>1</v>
      </c>
      <c r="Z497" s="30">
        <v>1</v>
      </c>
      <c r="AA497" s="30">
        <v>1</v>
      </c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6" t="s">
        <v>1420</v>
      </c>
      <c r="AS497" s="36" t="s">
        <v>906</v>
      </c>
      <c r="AT497" s="36"/>
      <c r="AU497" s="36"/>
      <c r="AV497" s="36"/>
      <c r="AW497" s="36"/>
      <c r="AX497" s="36"/>
      <c r="AY497" s="36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27"/>
      <c r="BL497" s="27"/>
    </row>
    <row r="498" spans="1:64">
      <c r="A498" s="68" t="s">
        <v>187</v>
      </c>
      <c r="B498" s="26">
        <v>46220</v>
      </c>
      <c r="C498" s="27"/>
      <c r="D498" s="27">
        <v>139459</v>
      </c>
      <c r="E498" s="27" t="s">
        <v>1429</v>
      </c>
      <c r="F498" s="27" t="s">
        <v>59</v>
      </c>
      <c r="G498" s="27" t="s">
        <v>151</v>
      </c>
      <c r="H498" s="30" t="s">
        <v>438</v>
      </c>
      <c r="I498" s="31" t="s">
        <v>1430</v>
      </c>
      <c r="J498" s="30" t="s">
        <v>438</v>
      </c>
      <c r="K498" s="27">
        <v>1</v>
      </c>
      <c r="L498" s="27">
        <v>116</v>
      </c>
      <c r="M498" s="27">
        <v>164</v>
      </c>
      <c r="N498" s="31" t="s">
        <v>394</v>
      </c>
      <c r="O498" s="27"/>
      <c r="P498" s="30"/>
      <c r="Q498" s="30" t="s">
        <v>66</v>
      </c>
      <c r="R498" s="26">
        <v>46226</v>
      </c>
      <c r="S498" s="26">
        <v>46230</v>
      </c>
      <c r="T498" s="31"/>
      <c r="U498" s="30" t="s">
        <v>68</v>
      </c>
      <c r="V498" s="34" t="s">
        <v>70</v>
      </c>
      <c r="W498" s="27" t="s">
        <v>284</v>
      </c>
      <c r="X498" s="30">
        <v>1</v>
      </c>
      <c r="Y498" s="30">
        <v>1</v>
      </c>
      <c r="Z498" s="30">
        <v>1</v>
      </c>
      <c r="AA498" s="30">
        <v>1</v>
      </c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6"/>
      <c r="AS498" s="36" t="s">
        <v>69</v>
      </c>
      <c r="AT498" s="36"/>
      <c r="AU498" s="36"/>
      <c r="AV498" s="36" t="s">
        <v>310</v>
      </c>
      <c r="AW498" s="36"/>
      <c r="AX498" s="36" t="s">
        <v>443</v>
      </c>
      <c r="AY498" s="36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27"/>
      <c r="BL498" s="27"/>
    </row>
    <row r="499" spans="1:64">
      <c r="A499" s="68" t="s">
        <v>54</v>
      </c>
      <c r="B499" s="26">
        <v>46221</v>
      </c>
      <c r="C499" s="27">
        <v>29685</v>
      </c>
      <c r="D499" s="27"/>
      <c r="E499" s="27" t="s">
        <v>1431</v>
      </c>
      <c r="F499" s="27" t="s">
        <v>59</v>
      </c>
      <c r="G499" s="27" t="s">
        <v>28</v>
      </c>
      <c r="H499" s="30" t="s">
        <v>110</v>
      </c>
      <c r="I499" s="31" t="s">
        <v>1432</v>
      </c>
      <c r="J499" s="30" t="s">
        <v>1433</v>
      </c>
      <c r="K499" s="27">
        <v>15</v>
      </c>
      <c r="L499" s="27">
        <v>102</v>
      </c>
      <c r="M499" s="27"/>
      <c r="N499" s="31" t="s">
        <v>115</v>
      </c>
      <c r="O499" s="27"/>
      <c r="P499" s="30"/>
      <c r="Q499" s="30" t="s">
        <v>1434</v>
      </c>
      <c r="R499" s="26">
        <v>46224</v>
      </c>
      <c r="S499" s="26">
        <v>46230</v>
      </c>
      <c r="T499" s="31"/>
      <c r="U499" s="30" t="s">
        <v>68</v>
      </c>
      <c r="V499" s="34" t="s">
        <v>70</v>
      </c>
      <c r="W499" s="27" t="s">
        <v>1435</v>
      </c>
      <c r="X499" s="30">
        <v>1</v>
      </c>
      <c r="Y499" s="30">
        <v>1</v>
      </c>
      <c r="Z499" s="30">
        <v>1</v>
      </c>
      <c r="AA499" s="30">
        <v>1</v>
      </c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6"/>
      <c r="AS499" s="36" t="s">
        <v>1436</v>
      </c>
      <c r="AT499" s="36"/>
      <c r="AU499" s="36" t="s">
        <v>469</v>
      </c>
      <c r="AV499" s="36" t="s">
        <v>119</v>
      </c>
      <c r="AW499" s="36"/>
      <c r="AX499" s="36"/>
      <c r="AY499" s="36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27"/>
      <c r="BL499" s="27"/>
    </row>
    <row r="500" spans="1:64">
      <c r="A500" s="68" t="s">
        <v>54</v>
      </c>
      <c r="B500" s="26">
        <v>46221</v>
      </c>
      <c r="C500" s="27">
        <v>29858</v>
      </c>
      <c r="D500" s="27"/>
      <c r="E500" s="27" t="s">
        <v>1437</v>
      </c>
      <c r="F500" s="27" t="s">
        <v>59</v>
      </c>
      <c r="G500" s="27" t="s">
        <v>104</v>
      </c>
      <c r="H500" s="30" t="s">
        <v>60</v>
      </c>
      <c r="I500" s="31" t="s">
        <v>752</v>
      </c>
      <c r="J500" s="30" t="s">
        <v>60</v>
      </c>
      <c r="K500" s="27">
        <v>1</v>
      </c>
      <c r="L500" s="27" t="s">
        <v>205</v>
      </c>
      <c r="M500" s="27"/>
      <c r="N500" s="31" t="s">
        <v>507</v>
      </c>
      <c r="O500" s="27"/>
      <c r="P500" s="30"/>
      <c r="Q500" s="30" t="s">
        <v>66</v>
      </c>
      <c r="R500" s="26">
        <v>46225</v>
      </c>
      <c r="S500" s="26">
        <v>46226</v>
      </c>
      <c r="T500" s="31"/>
      <c r="U500" s="30" t="s">
        <v>68</v>
      </c>
      <c r="V500" s="34" t="s">
        <v>70</v>
      </c>
      <c r="W500" s="27" t="s">
        <v>208</v>
      </c>
      <c r="X500" s="30">
        <v>3</v>
      </c>
      <c r="Y500" s="30">
        <v>1</v>
      </c>
      <c r="Z500" s="30">
        <v>1</v>
      </c>
      <c r="AA500" s="30">
        <v>1</v>
      </c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6"/>
      <c r="AS500" s="36" t="s">
        <v>69</v>
      </c>
      <c r="AT500" s="36"/>
      <c r="AU500" s="36"/>
      <c r="AV500" s="36"/>
      <c r="AW500" s="36" t="s">
        <v>1114</v>
      </c>
      <c r="AX500" s="36"/>
      <c r="AY500" s="36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27"/>
      <c r="BL500" s="27"/>
    </row>
    <row r="501" spans="1:64">
      <c r="A501" s="68" t="s">
        <v>54</v>
      </c>
      <c r="B501" s="26">
        <v>46221</v>
      </c>
      <c r="C501" s="27">
        <v>29849</v>
      </c>
      <c r="D501" s="27"/>
      <c r="E501" s="27" t="s">
        <v>1437</v>
      </c>
      <c r="F501" s="27" t="s">
        <v>59</v>
      </c>
      <c r="G501" s="27" t="s">
        <v>104</v>
      </c>
      <c r="H501" s="30" t="s">
        <v>60</v>
      </c>
      <c r="I501" s="31" t="s">
        <v>649</v>
      </c>
      <c r="J501" s="30" t="s">
        <v>60</v>
      </c>
      <c r="K501" s="27">
        <v>1</v>
      </c>
      <c r="L501" s="27" t="s">
        <v>214</v>
      </c>
      <c r="M501" s="27"/>
      <c r="N501" s="31" t="s">
        <v>507</v>
      </c>
      <c r="O501" s="27"/>
      <c r="P501" s="30"/>
      <c r="Q501" s="30" t="s">
        <v>650</v>
      </c>
      <c r="R501" s="26">
        <v>46225</v>
      </c>
      <c r="S501" s="26">
        <v>46226</v>
      </c>
      <c r="T501" s="31"/>
      <c r="U501" s="30" t="s">
        <v>68</v>
      </c>
      <c r="V501" s="34" t="s">
        <v>70</v>
      </c>
      <c r="W501" s="27" t="s">
        <v>208</v>
      </c>
      <c r="X501" s="30">
        <v>3</v>
      </c>
      <c r="Y501" s="30">
        <v>1</v>
      </c>
      <c r="Z501" s="30">
        <v>1</v>
      </c>
      <c r="AA501" s="30">
        <v>1</v>
      </c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6"/>
      <c r="AS501" s="36" t="s">
        <v>69</v>
      </c>
      <c r="AT501" s="36"/>
      <c r="AU501" s="36"/>
      <c r="AV501" s="36"/>
      <c r="AW501" s="36" t="s">
        <v>1438</v>
      </c>
      <c r="AX501" s="36"/>
      <c r="AY501" s="36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27"/>
      <c r="BL501" s="27"/>
    </row>
    <row r="502" spans="1:64">
      <c r="A502" s="68" t="s">
        <v>54</v>
      </c>
      <c r="B502" s="26">
        <v>46221</v>
      </c>
      <c r="C502" s="27">
        <v>29851</v>
      </c>
      <c r="D502" s="27"/>
      <c r="E502" s="27" t="s">
        <v>1437</v>
      </c>
      <c r="F502" s="27" t="s">
        <v>59</v>
      </c>
      <c r="G502" s="27" t="s">
        <v>104</v>
      </c>
      <c r="H502" s="30" t="s">
        <v>60</v>
      </c>
      <c r="I502" s="31" t="s">
        <v>751</v>
      </c>
      <c r="J502" s="30" t="s">
        <v>60</v>
      </c>
      <c r="K502" s="27">
        <v>1</v>
      </c>
      <c r="L502" s="27" t="s">
        <v>205</v>
      </c>
      <c r="M502" s="27"/>
      <c r="N502" s="31" t="s">
        <v>507</v>
      </c>
      <c r="O502" s="27"/>
      <c r="P502" s="30"/>
      <c r="Q502" s="30" t="s">
        <v>1439</v>
      </c>
      <c r="R502" s="26">
        <v>46225</v>
      </c>
      <c r="S502" s="26">
        <v>46226</v>
      </c>
      <c r="T502" s="31"/>
      <c r="U502" s="30" t="s">
        <v>68</v>
      </c>
      <c r="V502" s="34" t="s">
        <v>70</v>
      </c>
      <c r="W502" s="27" t="s">
        <v>208</v>
      </c>
      <c r="X502" s="30">
        <v>3</v>
      </c>
      <c r="Y502" s="30">
        <v>1</v>
      </c>
      <c r="Z502" s="30">
        <v>1</v>
      </c>
      <c r="AA502" s="30">
        <v>1</v>
      </c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6"/>
      <c r="AS502" s="36" t="s">
        <v>69</v>
      </c>
      <c r="AT502" s="36"/>
      <c r="AU502" s="36"/>
      <c r="AV502" s="36"/>
      <c r="AW502" s="36" t="s">
        <v>1438</v>
      </c>
      <c r="AX502" s="36"/>
      <c r="AY502" s="36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27"/>
      <c r="BL502" s="27"/>
    </row>
    <row r="503" spans="1:64">
      <c r="A503" s="68" t="s">
        <v>54</v>
      </c>
      <c r="B503" s="26">
        <v>46221</v>
      </c>
      <c r="C503" s="27">
        <v>29850</v>
      </c>
      <c r="D503" s="27"/>
      <c r="E503" s="27" t="s">
        <v>1437</v>
      </c>
      <c r="F503" s="27" t="s">
        <v>59</v>
      </c>
      <c r="G503" s="27" t="s">
        <v>104</v>
      </c>
      <c r="H503" s="30" t="s">
        <v>195</v>
      </c>
      <c r="I503" s="31" t="s">
        <v>763</v>
      </c>
      <c r="J503" s="30" t="s">
        <v>760</v>
      </c>
      <c r="K503" s="27">
        <v>1</v>
      </c>
      <c r="L503" s="27" t="s">
        <v>205</v>
      </c>
      <c r="M503" s="27"/>
      <c r="N503" s="31" t="s">
        <v>94</v>
      </c>
      <c r="O503" s="27"/>
      <c r="P503" s="30"/>
      <c r="Q503" s="30" t="s">
        <v>66</v>
      </c>
      <c r="R503" s="26">
        <v>46224</v>
      </c>
      <c r="S503" s="26">
        <v>46225</v>
      </c>
      <c r="T503" s="31"/>
      <c r="U503" s="30" t="s">
        <v>68</v>
      </c>
      <c r="V503" s="34" t="s">
        <v>70</v>
      </c>
      <c r="W503" s="27" t="s">
        <v>208</v>
      </c>
      <c r="X503" s="30">
        <v>1</v>
      </c>
      <c r="Y503" s="30">
        <v>1</v>
      </c>
      <c r="Z503" s="30">
        <v>1</v>
      </c>
      <c r="AA503" s="30">
        <v>1</v>
      </c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6"/>
      <c r="AS503" s="36" t="s">
        <v>69</v>
      </c>
      <c r="AT503" s="36"/>
      <c r="AU503" s="36"/>
      <c r="AV503" s="36" t="s">
        <v>105</v>
      </c>
      <c r="AW503" s="36"/>
      <c r="AX503" s="36"/>
      <c r="AY503" s="36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27"/>
      <c r="BL503" s="27"/>
    </row>
    <row r="504" spans="1:64">
      <c r="A504" s="68" t="s">
        <v>54</v>
      </c>
      <c r="B504" s="26">
        <v>46221</v>
      </c>
      <c r="C504" s="27">
        <v>29856</v>
      </c>
      <c r="D504" s="27"/>
      <c r="E504" s="27" t="s">
        <v>1437</v>
      </c>
      <c r="F504" s="27" t="s">
        <v>59</v>
      </c>
      <c r="G504" s="27" t="s">
        <v>104</v>
      </c>
      <c r="H504" s="30" t="s">
        <v>170</v>
      </c>
      <c r="I504" s="31" t="s">
        <v>921</v>
      </c>
      <c r="J504" s="30" t="s">
        <v>170</v>
      </c>
      <c r="K504" s="27">
        <v>1</v>
      </c>
      <c r="L504" s="27" t="s">
        <v>205</v>
      </c>
      <c r="M504" s="27"/>
      <c r="N504" s="31" t="s">
        <v>81</v>
      </c>
      <c r="O504" s="27"/>
      <c r="P504" s="30"/>
      <c r="Q504" s="30" t="s">
        <v>66</v>
      </c>
      <c r="R504" s="26">
        <v>46225</v>
      </c>
      <c r="S504" s="26">
        <v>46227</v>
      </c>
      <c r="T504" s="31"/>
      <c r="U504" s="30" t="s">
        <v>68</v>
      </c>
      <c r="V504" s="34" t="s">
        <v>70</v>
      </c>
      <c r="W504" s="27" t="s">
        <v>208</v>
      </c>
      <c r="X504" s="30">
        <v>1</v>
      </c>
      <c r="Y504" s="30">
        <v>1</v>
      </c>
      <c r="Z504" s="30">
        <v>1</v>
      </c>
      <c r="AA504" s="30">
        <v>1</v>
      </c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6"/>
      <c r="AS504" s="36" t="s">
        <v>69</v>
      </c>
      <c r="AT504" s="36"/>
      <c r="AU504" s="36"/>
      <c r="AV504" s="36" t="s">
        <v>81</v>
      </c>
      <c r="AW504" s="36" t="s">
        <v>41</v>
      </c>
      <c r="AX504" s="36"/>
      <c r="AY504" s="36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27"/>
      <c r="BL504" s="27"/>
    </row>
    <row r="505" spans="1:64">
      <c r="A505" s="68" t="s">
        <v>54</v>
      </c>
      <c r="B505" s="26">
        <v>46221</v>
      </c>
      <c r="C505" s="27">
        <v>29862</v>
      </c>
      <c r="D505" s="27"/>
      <c r="E505" s="27" t="s">
        <v>1440</v>
      </c>
      <c r="F505" s="27" t="s">
        <v>59</v>
      </c>
      <c r="G505" s="27" t="s">
        <v>104</v>
      </c>
      <c r="H505" s="30" t="s">
        <v>170</v>
      </c>
      <c r="I505" s="31" t="s">
        <v>210</v>
      </c>
      <c r="J505" s="30" t="s">
        <v>170</v>
      </c>
      <c r="K505" s="27">
        <v>1</v>
      </c>
      <c r="L505" s="27" t="s">
        <v>205</v>
      </c>
      <c r="M505" s="27"/>
      <c r="N505" s="31" t="s">
        <v>372</v>
      </c>
      <c r="O505" s="27"/>
      <c r="P505" s="30"/>
      <c r="Q505" s="30" t="s">
        <v>66</v>
      </c>
      <c r="R505" s="26">
        <v>46225</v>
      </c>
      <c r="S505" s="26">
        <v>46227</v>
      </c>
      <c r="T505" s="31"/>
      <c r="U505" s="30" t="s">
        <v>68</v>
      </c>
      <c r="V505" s="34" t="s">
        <v>70</v>
      </c>
      <c r="W505" s="27" t="s">
        <v>208</v>
      </c>
      <c r="X505" s="30">
        <v>1</v>
      </c>
      <c r="Y505" s="30">
        <v>1</v>
      </c>
      <c r="Z505" s="30">
        <v>1</v>
      </c>
      <c r="AA505" s="30">
        <v>1</v>
      </c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6"/>
      <c r="AS505" s="36" t="s">
        <v>69</v>
      </c>
      <c r="AT505" s="36"/>
      <c r="AU505" s="36"/>
      <c r="AV505" s="36" t="s">
        <v>81</v>
      </c>
      <c r="AW505" s="36" t="s">
        <v>41</v>
      </c>
      <c r="AX505" s="36"/>
      <c r="AY505" s="36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27"/>
      <c r="BL505" s="27"/>
    </row>
    <row r="506" spans="1:64">
      <c r="A506" s="68" t="s">
        <v>54</v>
      </c>
      <c r="B506" s="26">
        <v>46221</v>
      </c>
      <c r="C506" s="27">
        <v>29860</v>
      </c>
      <c r="D506" s="27"/>
      <c r="E506" s="27" t="s">
        <v>1437</v>
      </c>
      <c r="F506" s="27" t="s">
        <v>59</v>
      </c>
      <c r="G506" s="27" t="s">
        <v>104</v>
      </c>
      <c r="H506" s="30" t="s">
        <v>169</v>
      </c>
      <c r="I506" s="31" t="s">
        <v>1307</v>
      </c>
      <c r="J506" s="30" t="s">
        <v>656</v>
      </c>
      <c r="K506" s="27">
        <v>1</v>
      </c>
      <c r="L506" s="27" t="s">
        <v>205</v>
      </c>
      <c r="M506" s="27"/>
      <c r="N506" s="31" t="s">
        <v>94</v>
      </c>
      <c r="O506" s="27"/>
      <c r="P506" s="30"/>
      <c r="Q506" s="30" t="s">
        <v>66</v>
      </c>
      <c r="R506" s="26">
        <v>46224</v>
      </c>
      <c r="S506" s="26">
        <v>46225</v>
      </c>
      <c r="T506" s="31"/>
      <c r="U506" s="30" t="s">
        <v>68</v>
      </c>
      <c r="V506" s="34" t="s">
        <v>70</v>
      </c>
      <c r="W506" s="27" t="s">
        <v>208</v>
      </c>
      <c r="X506" s="30">
        <v>1</v>
      </c>
      <c r="Y506" s="30">
        <v>1</v>
      </c>
      <c r="Z506" s="30">
        <v>1</v>
      </c>
      <c r="AA506" s="30">
        <v>1</v>
      </c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6"/>
      <c r="AS506" s="36" t="s">
        <v>69</v>
      </c>
      <c r="AT506" s="36"/>
      <c r="AU506" s="36"/>
      <c r="AV506" s="36" t="s">
        <v>105</v>
      </c>
      <c r="AW506" s="36"/>
      <c r="AX506" s="36"/>
      <c r="AY506" s="36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27"/>
      <c r="BL506" s="27"/>
    </row>
    <row r="507" spans="1:64">
      <c r="A507" s="68" t="s">
        <v>54</v>
      </c>
      <c r="B507" s="26">
        <v>46221</v>
      </c>
      <c r="C507" s="27">
        <v>29857</v>
      </c>
      <c r="D507" s="27"/>
      <c r="E507" s="27" t="s">
        <v>1437</v>
      </c>
      <c r="F507" s="27" t="s">
        <v>59</v>
      </c>
      <c r="G507" s="27" t="s">
        <v>104</v>
      </c>
      <c r="H507" s="30" t="s">
        <v>106</v>
      </c>
      <c r="I507" s="31" t="s">
        <v>1353</v>
      </c>
      <c r="J507" s="30" t="s">
        <v>106</v>
      </c>
      <c r="K507" s="27">
        <v>1</v>
      </c>
      <c r="L507" s="27" t="s">
        <v>205</v>
      </c>
      <c r="M507" s="27"/>
      <c r="N507" s="31" t="s">
        <v>455</v>
      </c>
      <c r="O507" s="27"/>
      <c r="P507" s="30"/>
      <c r="Q507" s="30" t="s">
        <v>66</v>
      </c>
      <c r="R507" s="26">
        <v>46225</v>
      </c>
      <c r="S507" s="26">
        <v>46226</v>
      </c>
      <c r="T507" s="31"/>
      <c r="U507" s="30" t="s">
        <v>68</v>
      </c>
      <c r="V507" s="34" t="s">
        <v>70</v>
      </c>
      <c r="W507" s="27" t="s">
        <v>208</v>
      </c>
      <c r="X507" s="30">
        <v>1</v>
      </c>
      <c r="Y507" s="30">
        <v>1</v>
      </c>
      <c r="Z507" s="30">
        <v>1</v>
      </c>
      <c r="AA507" s="30">
        <v>1</v>
      </c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6"/>
      <c r="AS507" s="36" t="s">
        <v>69</v>
      </c>
      <c r="AT507" s="36"/>
      <c r="AU507" s="36" t="s">
        <v>455</v>
      </c>
      <c r="AV507" s="36"/>
      <c r="AW507" s="36" t="s">
        <v>41</v>
      </c>
      <c r="AX507" s="36"/>
      <c r="AY507" s="36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27"/>
      <c r="BL507" s="27"/>
    </row>
    <row r="508" spans="1:64">
      <c r="A508" s="68" t="s">
        <v>54</v>
      </c>
      <c r="B508" s="26">
        <v>46221</v>
      </c>
      <c r="C508" s="27">
        <v>29853</v>
      </c>
      <c r="D508" s="27"/>
      <c r="E508" s="27" t="s">
        <v>1437</v>
      </c>
      <c r="F508" s="27" t="s">
        <v>59</v>
      </c>
      <c r="G508" s="27" t="s">
        <v>104</v>
      </c>
      <c r="H508" s="30" t="s">
        <v>175</v>
      </c>
      <c r="I508" s="31" t="s">
        <v>1352</v>
      </c>
      <c r="J508" s="30" t="s">
        <v>175</v>
      </c>
      <c r="K508" s="27">
        <v>1</v>
      </c>
      <c r="L508" s="27" t="s">
        <v>205</v>
      </c>
      <c r="M508" s="27"/>
      <c r="N508" s="31" t="s">
        <v>455</v>
      </c>
      <c r="O508" s="27"/>
      <c r="P508" s="30"/>
      <c r="Q508" s="30" t="s">
        <v>66</v>
      </c>
      <c r="R508" s="26">
        <v>46224</v>
      </c>
      <c r="S508" s="26">
        <v>46226</v>
      </c>
      <c r="T508" s="31"/>
      <c r="U508" s="30" t="s">
        <v>68</v>
      </c>
      <c r="V508" s="34" t="s">
        <v>70</v>
      </c>
      <c r="W508" s="27" t="s">
        <v>208</v>
      </c>
      <c r="X508" s="30">
        <v>1</v>
      </c>
      <c r="Y508" s="30">
        <v>1</v>
      </c>
      <c r="Z508" s="30">
        <v>1</v>
      </c>
      <c r="AA508" s="30">
        <v>1</v>
      </c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6"/>
      <c r="AS508" s="36" t="s">
        <v>69</v>
      </c>
      <c r="AT508" s="36"/>
      <c r="AU508" s="36" t="s">
        <v>455</v>
      </c>
      <c r="AV508" s="36" t="s">
        <v>41</v>
      </c>
      <c r="AW508" s="36"/>
      <c r="AX508" s="36"/>
      <c r="AY508" s="36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27"/>
      <c r="BL508" s="27"/>
    </row>
    <row r="509" spans="1:64">
      <c r="A509" s="68" t="s">
        <v>54</v>
      </c>
      <c r="B509" s="26">
        <v>46221</v>
      </c>
      <c r="C509" s="27">
        <v>29852</v>
      </c>
      <c r="D509" s="27"/>
      <c r="E509" s="27" t="s">
        <v>1437</v>
      </c>
      <c r="F509" s="27" t="s">
        <v>59</v>
      </c>
      <c r="G509" s="27" t="s">
        <v>104</v>
      </c>
      <c r="H509" s="30" t="s">
        <v>60</v>
      </c>
      <c r="I509" s="31" t="s">
        <v>753</v>
      </c>
      <c r="J509" s="30" t="s">
        <v>60</v>
      </c>
      <c r="K509" s="27">
        <v>1</v>
      </c>
      <c r="L509" s="27" t="s">
        <v>205</v>
      </c>
      <c r="M509" s="27"/>
      <c r="N509" s="31" t="s">
        <v>507</v>
      </c>
      <c r="O509" s="27"/>
      <c r="P509" s="30"/>
      <c r="Q509" s="30" t="s">
        <v>1441</v>
      </c>
      <c r="R509" s="26">
        <v>46225</v>
      </c>
      <c r="S509" s="26">
        <v>46226</v>
      </c>
      <c r="T509" s="31"/>
      <c r="U509" s="30" t="s">
        <v>68</v>
      </c>
      <c r="V509" s="34" t="s">
        <v>70</v>
      </c>
      <c r="W509" s="27" t="s">
        <v>208</v>
      </c>
      <c r="X509" s="30">
        <v>3</v>
      </c>
      <c r="Y509" s="30">
        <v>1</v>
      </c>
      <c r="Z509" s="30">
        <v>1</v>
      </c>
      <c r="AA509" s="30">
        <v>1</v>
      </c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6"/>
      <c r="AS509" s="36" t="s">
        <v>69</v>
      </c>
      <c r="AT509" s="36"/>
      <c r="AU509" s="36"/>
      <c r="AV509" s="36"/>
      <c r="AW509" s="36" t="s">
        <v>1438</v>
      </c>
      <c r="AX509" s="36"/>
      <c r="AY509" s="36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27"/>
      <c r="BL509" s="27"/>
    </row>
    <row r="510" spans="1:64">
      <c r="A510" s="68" t="s">
        <v>54</v>
      </c>
      <c r="B510" s="26">
        <v>46221</v>
      </c>
      <c r="C510" s="27">
        <v>29863</v>
      </c>
      <c r="D510" s="27"/>
      <c r="E510" s="27" t="s">
        <v>1437</v>
      </c>
      <c r="F510" s="27" t="s">
        <v>59</v>
      </c>
      <c r="G510" s="27" t="s">
        <v>104</v>
      </c>
      <c r="H510" s="30" t="s">
        <v>60</v>
      </c>
      <c r="I510" s="31" t="s">
        <v>487</v>
      </c>
      <c r="J510" s="30" t="s">
        <v>60</v>
      </c>
      <c r="K510" s="27">
        <v>1</v>
      </c>
      <c r="L510" s="27" t="s">
        <v>205</v>
      </c>
      <c r="M510" s="27"/>
      <c r="N510" s="31" t="s">
        <v>507</v>
      </c>
      <c r="O510" s="27"/>
      <c r="P510" s="30"/>
      <c r="Q510" s="30" t="s">
        <v>1442</v>
      </c>
      <c r="R510" s="26">
        <v>46225</v>
      </c>
      <c r="S510" s="26">
        <v>46226</v>
      </c>
      <c r="T510" s="31"/>
      <c r="U510" s="30" t="s">
        <v>68</v>
      </c>
      <c r="V510" s="34" t="s">
        <v>70</v>
      </c>
      <c r="W510" s="27" t="s">
        <v>208</v>
      </c>
      <c r="X510" s="30">
        <v>3</v>
      </c>
      <c r="Y510" s="30">
        <v>1</v>
      </c>
      <c r="Z510" s="30">
        <v>1</v>
      </c>
      <c r="AA510" s="30">
        <v>1</v>
      </c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6"/>
      <c r="AS510" s="36" t="s">
        <v>69</v>
      </c>
      <c r="AT510" s="36"/>
      <c r="AU510" s="36"/>
      <c r="AV510" s="36"/>
      <c r="AW510" s="36" t="s">
        <v>1114</v>
      </c>
      <c r="AX510" s="36"/>
      <c r="AY510" s="36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27"/>
      <c r="BL510" s="27"/>
    </row>
    <row r="511" spans="1:64">
      <c r="A511" s="68" t="s">
        <v>54</v>
      </c>
      <c r="B511" s="26">
        <v>46221</v>
      </c>
      <c r="C511" s="27">
        <v>29855</v>
      </c>
      <c r="D511" s="27"/>
      <c r="E511" s="27" t="s">
        <v>1437</v>
      </c>
      <c r="F511" s="27" t="s">
        <v>59</v>
      </c>
      <c r="G511" s="27" t="s">
        <v>104</v>
      </c>
      <c r="H511" s="30" t="s">
        <v>60</v>
      </c>
      <c r="I511" s="31" t="s">
        <v>647</v>
      </c>
      <c r="J511" s="30" t="s">
        <v>60</v>
      </c>
      <c r="K511" s="27">
        <v>1</v>
      </c>
      <c r="L511" s="27" t="s">
        <v>205</v>
      </c>
      <c r="M511" s="27"/>
      <c r="N511" s="31" t="s">
        <v>507</v>
      </c>
      <c r="O511" s="27"/>
      <c r="P511" s="30"/>
      <c r="Q511" s="30" t="s">
        <v>66</v>
      </c>
      <c r="R511" s="26">
        <v>46225</v>
      </c>
      <c r="S511" s="26">
        <v>46226</v>
      </c>
      <c r="T511" s="31"/>
      <c r="U511" s="30" t="s">
        <v>68</v>
      </c>
      <c r="V511" s="34" t="s">
        <v>70</v>
      </c>
      <c r="W511" s="27" t="s">
        <v>208</v>
      </c>
      <c r="X511" s="30">
        <v>3</v>
      </c>
      <c r="Y511" s="30">
        <v>1</v>
      </c>
      <c r="Z511" s="30">
        <v>1</v>
      </c>
      <c r="AA511" s="30">
        <v>1</v>
      </c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6"/>
      <c r="AS511" s="36" t="s">
        <v>69</v>
      </c>
      <c r="AT511" s="36"/>
      <c r="AU511" s="36"/>
      <c r="AV511" s="36"/>
      <c r="AW511" s="36" t="s">
        <v>1114</v>
      </c>
      <c r="AX511" s="36"/>
      <c r="AY511" s="36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27"/>
      <c r="BL511" s="27"/>
    </row>
    <row r="512" spans="1:64">
      <c r="A512" s="68" t="s">
        <v>54</v>
      </c>
      <c r="B512" s="26">
        <v>46221</v>
      </c>
      <c r="C512" s="27">
        <v>29854</v>
      </c>
      <c r="D512" s="27"/>
      <c r="E512" s="27" t="s">
        <v>1437</v>
      </c>
      <c r="F512" s="27" t="s">
        <v>59</v>
      </c>
      <c r="G512" s="27" t="s">
        <v>104</v>
      </c>
      <c r="H512" s="30" t="s">
        <v>28</v>
      </c>
      <c r="I512" s="31" t="s">
        <v>459</v>
      </c>
      <c r="J512" s="30" t="s">
        <v>383</v>
      </c>
      <c r="K512" s="27">
        <v>1</v>
      </c>
      <c r="L512" s="27" t="s">
        <v>205</v>
      </c>
      <c r="M512" s="27"/>
      <c r="N512" s="31" t="s">
        <v>258</v>
      </c>
      <c r="O512" s="27"/>
      <c r="P512" s="30"/>
      <c r="Q512" s="30" t="s">
        <v>66</v>
      </c>
      <c r="R512" s="26">
        <v>46224</v>
      </c>
      <c r="S512" s="26">
        <v>46224</v>
      </c>
      <c r="T512" s="31"/>
      <c r="U512" s="30" t="s">
        <v>68</v>
      </c>
      <c r="V512" s="34" t="s">
        <v>70</v>
      </c>
      <c r="W512" s="27" t="s">
        <v>208</v>
      </c>
      <c r="X512" s="30">
        <v>1</v>
      </c>
      <c r="Y512" s="30">
        <v>1</v>
      </c>
      <c r="Z512" s="30">
        <v>1</v>
      </c>
      <c r="AA512" s="30">
        <v>1</v>
      </c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6"/>
      <c r="AS512" s="36" t="s">
        <v>69</v>
      </c>
      <c r="AT512" s="36"/>
      <c r="AU512" s="36"/>
      <c r="AV512" s="36" t="s">
        <v>1239</v>
      </c>
      <c r="AW512" s="36"/>
      <c r="AX512" s="36"/>
      <c r="AY512" s="36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27"/>
      <c r="BL512" s="27"/>
    </row>
    <row r="513" spans="1:64">
      <c r="A513" s="68" t="s">
        <v>54</v>
      </c>
      <c r="B513" s="26">
        <v>46221</v>
      </c>
      <c r="C513" s="27">
        <v>29859</v>
      </c>
      <c r="D513" s="27"/>
      <c r="E513" s="27" t="s">
        <v>1437</v>
      </c>
      <c r="F513" s="27" t="s">
        <v>59</v>
      </c>
      <c r="G513" s="27" t="s">
        <v>104</v>
      </c>
      <c r="H513" s="30" t="s">
        <v>28</v>
      </c>
      <c r="I513" s="31" t="s">
        <v>1443</v>
      </c>
      <c r="J513" s="30" t="s">
        <v>383</v>
      </c>
      <c r="K513" s="27">
        <v>1</v>
      </c>
      <c r="L513" s="27" t="s">
        <v>205</v>
      </c>
      <c r="M513" s="27"/>
      <c r="N513" s="31" t="s">
        <v>258</v>
      </c>
      <c r="O513" s="27"/>
      <c r="P513" s="30"/>
      <c r="Q513" s="30" t="s">
        <v>66</v>
      </c>
      <c r="R513" s="26">
        <v>46227</v>
      </c>
      <c r="S513" s="26">
        <v>46228</v>
      </c>
      <c r="T513" s="31"/>
      <c r="U513" s="30" t="s">
        <v>68</v>
      </c>
      <c r="V513" s="34" t="s">
        <v>70</v>
      </c>
      <c r="W513" s="27" t="s">
        <v>208</v>
      </c>
      <c r="X513" s="30">
        <v>3</v>
      </c>
      <c r="Y513" s="30">
        <v>1</v>
      </c>
      <c r="Z513" s="30">
        <v>1</v>
      </c>
      <c r="AA513" s="30">
        <v>1</v>
      </c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6"/>
      <c r="AS513" s="36" t="s">
        <v>69</v>
      </c>
      <c r="AT513" s="36"/>
      <c r="AU513" s="36"/>
      <c r="AV513" s="36"/>
      <c r="AW513" s="36"/>
      <c r="AX513" s="36"/>
      <c r="AY513" s="36" t="s">
        <v>260</v>
      </c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27"/>
      <c r="BL513" s="27"/>
    </row>
    <row r="514" spans="1:64">
      <c r="A514" s="68" t="s">
        <v>54</v>
      </c>
      <c r="B514" s="26">
        <v>46221</v>
      </c>
      <c r="C514" s="27">
        <v>29861</v>
      </c>
      <c r="D514" s="27"/>
      <c r="E514" s="27" t="s">
        <v>1440</v>
      </c>
      <c r="F514" s="27" t="s">
        <v>59</v>
      </c>
      <c r="G514" s="27" t="s">
        <v>104</v>
      </c>
      <c r="H514" s="30" t="s">
        <v>151</v>
      </c>
      <c r="I514" s="31" t="s">
        <v>1358</v>
      </c>
      <c r="J514" s="30" t="s">
        <v>378</v>
      </c>
      <c r="K514" s="27">
        <v>1</v>
      </c>
      <c r="L514" s="27" t="s">
        <v>205</v>
      </c>
      <c r="M514" s="27"/>
      <c r="N514" s="31" t="s">
        <v>81</v>
      </c>
      <c r="O514" s="27"/>
      <c r="P514" s="30"/>
      <c r="Q514" s="30" t="s">
        <v>1444</v>
      </c>
      <c r="R514" s="26">
        <v>46226</v>
      </c>
      <c r="S514" s="26">
        <v>46227</v>
      </c>
      <c r="T514" s="31"/>
      <c r="U514" s="30" t="s">
        <v>68</v>
      </c>
      <c r="V514" s="34" t="s">
        <v>70</v>
      </c>
      <c r="W514" s="27" t="s">
        <v>208</v>
      </c>
      <c r="X514" s="30">
        <v>2</v>
      </c>
      <c r="Y514" s="30">
        <v>1</v>
      </c>
      <c r="Z514" s="30">
        <v>1</v>
      </c>
      <c r="AA514" s="30">
        <v>1</v>
      </c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6"/>
      <c r="AS514" s="36" t="s">
        <v>69</v>
      </c>
      <c r="AT514" s="36"/>
      <c r="AU514" s="36"/>
      <c r="AV514" s="36" t="s">
        <v>81</v>
      </c>
      <c r="AW514" s="36"/>
      <c r="AX514" s="36"/>
      <c r="AY514" s="36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27"/>
      <c r="BL514" s="27"/>
    </row>
    <row r="515" spans="1:64">
      <c r="A515" s="68" t="s">
        <v>54</v>
      </c>
      <c r="B515" s="26">
        <v>46221</v>
      </c>
      <c r="C515" s="27">
        <v>29864</v>
      </c>
      <c r="D515" s="27"/>
      <c r="E515" s="27" t="s">
        <v>203</v>
      </c>
      <c r="F515" s="27" t="s">
        <v>59</v>
      </c>
      <c r="G515" s="27" t="s">
        <v>104</v>
      </c>
      <c r="H515" s="30" t="s">
        <v>243</v>
      </c>
      <c r="I515" s="31" t="s">
        <v>758</v>
      </c>
      <c r="J515" s="30" t="s">
        <v>656</v>
      </c>
      <c r="K515" s="27">
        <v>1</v>
      </c>
      <c r="L515" s="27" t="s">
        <v>205</v>
      </c>
      <c r="M515" s="27"/>
      <c r="N515" s="31" t="s">
        <v>94</v>
      </c>
      <c r="O515" s="27"/>
      <c r="P515" s="30"/>
      <c r="Q515" s="30" t="s">
        <v>66</v>
      </c>
      <c r="R515" s="26">
        <v>46224</v>
      </c>
      <c r="S515" s="26">
        <v>46225</v>
      </c>
      <c r="T515" s="31"/>
      <c r="U515" s="30" t="s">
        <v>68</v>
      </c>
      <c r="V515" s="34" t="s">
        <v>70</v>
      </c>
      <c r="W515" s="27" t="s">
        <v>208</v>
      </c>
      <c r="X515" s="30">
        <v>1</v>
      </c>
      <c r="Y515" s="30">
        <v>1</v>
      </c>
      <c r="Z515" s="30">
        <v>1</v>
      </c>
      <c r="AA515" s="30">
        <v>1</v>
      </c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6"/>
      <c r="AS515" s="36" t="s">
        <v>69</v>
      </c>
      <c r="AT515" s="36"/>
      <c r="AU515" s="36"/>
      <c r="AV515" s="36" t="s">
        <v>105</v>
      </c>
      <c r="AW515" s="36"/>
      <c r="AX515" s="36"/>
      <c r="AY515" s="36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27"/>
      <c r="BL515" s="27"/>
    </row>
    <row r="516" spans="1:64">
      <c r="A516" s="68" t="s">
        <v>54</v>
      </c>
      <c r="B516" s="26">
        <v>46221</v>
      </c>
      <c r="C516" s="27"/>
      <c r="D516" s="27">
        <v>44622</v>
      </c>
      <c r="E516" s="27" t="s">
        <v>284</v>
      </c>
      <c r="F516" s="27" t="s">
        <v>48</v>
      </c>
      <c r="G516" s="27" t="s">
        <v>110</v>
      </c>
      <c r="H516" s="30" t="s">
        <v>412</v>
      </c>
      <c r="I516" s="31" t="s">
        <v>1445</v>
      </c>
      <c r="J516" s="30" t="s">
        <v>1446</v>
      </c>
      <c r="K516" s="27">
        <v>47</v>
      </c>
      <c r="L516" s="27">
        <v>297</v>
      </c>
      <c r="M516" s="27" t="s">
        <v>1447</v>
      </c>
      <c r="N516" s="31" t="s">
        <v>154</v>
      </c>
      <c r="O516" s="27"/>
      <c r="P516" s="30"/>
      <c r="Q516" s="30" t="s">
        <v>66</v>
      </c>
      <c r="R516" s="26">
        <v>46227</v>
      </c>
      <c r="S516" s="26">
        <v>46230</v>
      </c>
      <c r="T516" s="31"/>
      <c r="U516" s="30" t="s">
        <v>68</v>
      </c>
      <c r="V516" s="34" t="s">
        <v>70</v>
      </c>
      <c r="W516" s="27" t="s">
        <v>284</v>
      </c>
      <c r="X516" s="30">
        <v>3</v>
      </c>
      <c r="Y516" s="30">
        <v>2</v>
      </c>
      <c r="Z516" s="30">
        <v>1</v>
      </c>
      <c r="AA516" s="30">
        <v>1</v>
      </c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6"/>
      <c r="AS516" s="36" t="s">
        <v>600</v>
      </c>
      <c r="AT516" s="36"/>
      <c r="AU516" s="36"/>
      <c r="AV516" s="36" t="s">
        <v>504</v>
      </c>
      <c r="AW516" s="36"/>
      <c r="AX516" s="36" t="s">
        <v>1449</v>
      </c>
      <c r="AY516" s="36" t="s">
        <v>41</v>
      </c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27"/>
      <c r="BL516" s="27"/>
    </row>
    <row r="517" spans="1:64">
      <c r="A517" s="68" t="s">
        <v>54</v>
      </c>
      <c r="B517" s="26">
        <v>46223</v>
      </c>
      <c r="C517" s="27">
        <v>29454</v>
      </c>
      <c r="D517" s="27"/>
      <c r="E517" s="27" t="s">
        <v>58</v>
      </c>
      <c r="F517" s="27" t="s">
        <v>48</v>
      </c>
      <c r="G517" s="27" t="s">
        <v>110</v>
      </c>
      <c r="H517" s="30" t="s">
        <v>403</v>
      </c>
      <c r="I517" s="39" t="s">
        <v>698</v>
      </c>
      <c r="J517" s="39" t="s">
        <v>699</v>
      </c>
      <c r="K517" s="27">
        <v>33</v>
      </c>
      <c r="L517" s="27" t="s">
        <v>1450</v>
      </c>
      <c r="M517" s="27"/>
      <c r="N517" s="31" t="s">
        <v>115</v>
      </c>
      <c r="O517" s="27"/>
      <c r="P517" s="30"/>
      <c r="Q517" s="30" t="s">
        <v>66</v>
      </c>
      <c r="R517" s="26">
        <v>46225</v>
      </c>
      <c r="S517" s="26">
        <v>46230</v>
      </c>
      <c r="T517" s="31" t="s">
        <v>1451</v>
      </c>
      <c r="U517" s="30" t="s">
        <v>68</v>
      </c>
      <c r="V517" s="34" t="s">
        <v>70</v>
      </c>
      <c r="W517" s="27" t="s">
        <v>71</v>
      </c>
      <c r="X517" s="30">
        <v>1</v>
      </c>
      <c r="Y517" s="30">
        <v>1</v>
      </c>
      <c r="Z517" s="30">
        <v>1</v>
      </c>
      <c r="AA517" s="30">
        <v>2</v>
      </c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6"/>
      <c r="AS517" s="36"/>
      <c r="AT517" s="36"/>
      <c r="AU517" s="36" t="s">
        <v>600</v>
      </c>
      <c r="AV517" s="36" t="s">
        <v>115</v>
      </c>
      <c r="AW517" s="36" t="s">
        <v>41</v>
      </c>
      <c r="AX517" s="36"/>
      <c r="AY517" s="36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27"/>
      <c r="BL517" s="27"/>
    </row>
    <row r="518" spans="1:64">
      <c r="A518" s="68" t="s">
        <v>54</v>
      </c>
      <c r="B518" s="26">
        <v>46223</v>
      </c>
      <c r="C518" s="27">
        <v>29455</v>
      </c>
      <c r="D518" s="27"/>
      <c r="E518" s="27" t="s">
        <v>58</v>
      </c>
      <c r="F518" s="27" t="s">
        <v>48</v>
      </c>
      <c r="G518" s="27" t="s">
        <v>110</v>
      </c>
      <c r="H518" s="30" t="s">
        <v>403</v>
      </c>
      <c r="I518" s="29" t="s">
        <v>702</v>
      </c>
      <c r="J518" s="29" t="s">
        <v>703</v>
      </c>
      <c r="K518" s="27">
        <v>19</v>
      </c>
      <c r="L518" s="27" t="s">
        <v>1452</v>
      </c>
      <c r="M518" s="27"/>
      <c r="N518" s="31" t="s">
        <v>115</v>
      </c>
      <c r="O518" s="27"/>
      <c r="P518" s="30"/>
      <c r="Q518" s="30" t="s">
        <v>66</v>
      </c>
      <c r="R518" s="26">
        <v>46225</v>
      </c>
      <c r="S518" s="26">
        <v>46230</v>
      </c>
      <c r="T518" s="31" t="s">
        <v>1451</v>
      </c>
      <c r="U518" s="30" t="s">
        <v>68</v>
      </c>
      <c r="V518" s="34" t="s">
        <v>70</v>
      </c>
      <c r="W518" s="27" t="s">
        <v>71</v>
      </c>
      <c r="X518" s="30">
        <v>1</v>
      </c>
      <c r="Y518" s="30">
        <v>1</v>
      </c>
      <c r="Z518" s="30">
        <v>1</v>
      </c>
      <c r="AA518" s="30">
        <v>2</v>
      </c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6"/>
      <c r="AS518" s="36"/>
      <c r="AT518" s="36"/>
      <c r="AU518" s="36" t="s">
        <v>600</v>
      </c>
      <c r="AV518" s="36" t="s">
        <v>115</v>
      </c>
      <c r="AW518" s="36" t="s">
        <v>41</v>
      </c>
      <c r="AX518" s="36"/>
      <c r="AY518" s="36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27"/>
      <c r="BL518" s="27"/>
    </row>
    <row r="519" spans="1:64">
      <c r="A519" s="68" t="s">
        <v>54</v>
      </c>
      <c r="B519" s="26">
        <v>46223</v>
      </c>
      <c r="C519" s="27">
        <v>30115</v>
      </c>
      <c r="D519" s="27"/>
      <c r="E519" s="27" t="s">
        <v>1453</v>
      </c>
      <c r="F519" s="27" t="s">
        <v>59</v>
      </c>
      <c r="G519" s="27" t="s">
        <v>104</v>
      </c>
      <c r="H519" s="30" t="s">
        <v>144</v>
      </c>
      <c r="I519" s="31" t="s">
        <v>1454</v>
      </c>
      <c r="J519" s="30" t="s">
        <v>1455</v>
      </c>
      <c r="K519" s="27">
        <v>1</v>
      </c>
      <c r="L519" s="27">
        <v>100</v>
      </c>
      <c r="M519" s="27"/>
      <c r="N519" s="31" t="s">
        <v>154</v>
      </c>
      <c r="O519" s="27"/>
      <c r="P519" s="30"/>
      <c r="Q519" s="30" t="s">
        <v>66</v>
      </c>
      <c r="R519" s="26">
        <v>46224</v>
      </c>
      <c r="S519" s="26">
        <v>46225</v>
      </c>
      <c r="T519" s="31"/>
      <c r="U519" s="30" t="s">
        <v>68</v>
      </c>
      <c r="V519" s="34" t="s">
        <v>70</v>
      </c>
      <c r="W519" s="27" t="s">
        <v>85</v>
      </c>
      <c r="X519" s="30">
        <v>1</v>
      </c>
      <c r="Y519" s="30">
        <v>1</v>
      </c>
      <c r="Z519" s="30">
        <v>1</v>
      </c>
      <c r="AA519" s="30">
        <v>1</v>
      </c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6"/>
      <c r="AS519" s="36"/>
      <c r="AT519" s="36"/>
      <c r="AU519" s="36" t="s">
        <v>1449</v>
      </c>
      <c r="AV519" s="36" t="s">
        <v>41</v>
      </c>
      <c r="AW519" s="36"/>
      <c r="AX519" s="36"/>
      <c r="AY519" s="36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27"/>
      <c r="BL519" s="27"/>
    </row>
    <row r="520" spans="1:64">
      <c r="A520" s="68" t="s">
        <v>54</v>
      </c>
      <c r="B520" s="26">
        <v>46223</v>
      </c>
      <c r="C520" s="27">
        <v>30116</v>
      </c>
      <c r="D520" s="27"/>
      <c r="E520" s="27" t="s">
        <v>1453</v>
      </c>
      <c r="F520" s="27" t="s">
        <v>59</v>
      </c>
      <c r="G520" s="27" t="s">
        <v>104</v>
      </c>
      <c r="H520" s="30" t="s">
        <v>144</v>
      </c>
      <c r="I520" s="31" t="s">
        <v>1456</v>
      </c>
      <c r="J520" s="30" t="s">
        <v>1457</v>
      </c>
      <c r="K520" s="27">
        <v>1</v>
      </c>
      <c r="L520" s="27">
        <v>100</v>
      </c>
      <c r="M520" s="27"/>
      <c r="N520" s="31" t="s">
        <v>455</v>
      </c>
      <c r="O520" s="27"/>
      <c r="P520" s="30"/>
      <c r="Q520" s="30" t="s">
        <v>66</v>
      </c>
      <c r="R520" s="26">
        <v>46224</v>
      </c>
      <c r="S520" s="26">
        <v>46226</v>
      </c>
      <c r="T520" s="31"/>
      <c r="U520" s="30" t="s">
        <v>68</v>
      </c>
      <c r="V520" s="34" t="s">
        <v>70</v>
      </c>
      <c r="W520" s="27" t="s">
        <v>85</v>
      </c>
      <c r="X520" s="30">
        <v>1</v>
      </c>
      <c r="Y520" s="30">
        <v>1</v>
      </c>
      <c r="Z520" s="30">
        <v>1</v>
      </c>
      <c r="AA520" s="30">
        <v>1</v>
      </c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6"/>
      <c r="AS520" s="36"/>
      <c r="AT520" s="36"/>
      <c r="AU520" s="36" t="s">
        <v>1323</v>
      </c>
      <c r="AV520" s="36" t="s">
        <v>41</v>
      </c>
      <c r="AW520" s="36"/>
      <c r="AX520" s="36"/>
      <c r="AY520" s="36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27"/>
      <c r="BL520" s="27"/>
    </row>
    <row r="521" spans="1:64">
      <c r="A521" s="68" t="s">
        <v>54</v>
      </c>
      <c r="B521" s="26">
        <v>46223</v>
      </c>
      <c r="C521" s="27">
        <v>30117</v>
      </c>
      <c r="D521" s="27"/>
      <c r="E521" s="27" t="s">
        <v>1453</v>
      </c>
      <c r="F521" s="27" t="s">
        <v>59</v>
      </c>
      <c r="G521" s="27" t="s">
        <v>104</v>
      </c>
      <c r="H521" s="30" t="s">
        <v>144</v>
      </c>
      <c r="I521" s="31" t="s">
        <v>1458</v>
      </c>
      <c r="J521" s="30" t="s">
        <v>1459</v>
      </c>
      <c r="K521" s="27">
        <v>5</v>
      </c>
      <c r="L521" s="27">
        <v>100</v>
      </c>
      <c r="M521" s="27"/>
      <c r="N521" s="31" t="s">
        <v>154</v>
      </c>
      <c r="O521" s="27"/>
      <c r="P521" s="30"/>
      <c r="Q521" s="30" t="s">
        <v>66</v>
      </c>
      <c r="R521" s="26">
        <v>46224</v>
      </c>
      <c r="S521" s="26">
        <v>46225</v>
      </c>
      <c r="T521" s="31"/>
      <c r="U521" s="30" t="s">
        <v>68</v>
      </c>
      <c r="V521" s="34" t="s">
        <v>70</v>
      </c>
      <c r="W521" s="27" t="s">
        <v>85</v>
      </c>
      <c r="X521" s="30">
        <v>1</v>
      </c>
      <c r="Y521" s="30">
        <v>1</v>
      </c>
      <c r="Z521" s="30">
        <v>1</v>
      </c>
      <c r="AA521" s="30">
        <v>1</v>
      </c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6"/>
      <c r="AS521" s="36"/>
      <c r="AT521" s="36"/>
      <c r="AU521" s="36" t="s">
        <v>1449</v>
      </c>
      <c r="AV521" s="36" t="s">
        <v>41</v>
      </c>
      <c r="AW521" s="36"/>
      <c r="AX521" s="36"/>
      <c r="AY521" s="36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27"/>
      <c r="BL521" s="27"/>
    </row>
    <row r="522" spans="1:64">
      <c r="A522" s="68" t="s">
        <v>54</v>
      </c>
      <c r="B522" s="26">
        <v>46223</v>
      </c>
      <c r="C522" s="27">
        <v>30118</v>
      </c>
      <c r="D522" s="27"/>
      <c r="E522" s="27" t="s">
        <v>1453</v>
      </c>
      <c r="F522" s="27" t="s">
        <v>59</v>
      </c>
      <c r="G522" s="27" t="s">
        <v>104</v>
      </c>
      <c r="H522" s="30" t="s">
        <v>144</v>
      </c>
      <c r="I522" s="31" t="s">
        <v>1460</v>
      </c>
      <c r="J522" s="30" t="s">
        <v>1461</v>
      </c>
      <c r="K522" s="27">
        <v>2</v>
      </c>
      <c r="L522" s="27">
        <v>100</v>
      </c>
      <c r="M522" s="27"/>
      <c r="N522" s="31" t="s">
        <v>455</v>
      </c>
      <c r="O522" s="27"/>
      <c r="P522" s="30"/>
      <c r="Q522" s="30" t="s">
        <v>66</v>
      </c>
      <c r="R522" s="26">
        <v>46224</v>
      </c>
      <c r="S522" s="26">
        <v>46226</v>
      </c>
      <c r="T522" s="31"/>
      <c r="U522" s="30" t="s">
        <v>68</v>
      </c>
      <c r="V522" s="34" t="s">
        <v>70</v>
      </c>
      <c r="W522" s="27" t="s">
        <v>85</v>
      </c>
      <c r="X522" s="30">
        <v>1</v>
      </c>
      <c r="Y522" s="30">
        <v>1</v>
      </c>
      <c r="Z522" s="30">
        <v>1</v>
      </c>
      <c r="AA522" s="30">
        <v>1</v>
      </c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6"/>
      <c r="AS522" s="36"/>
      <c r="AT522" s="36"/>
      <c r="AU522" s="36" t="s">
        <v>1323</v>
      </c>
      <c r="AV522" s="36" t="s">
        <v>41</v>
      </c>
      <c r="AW522" s="36"/>
      <c r="AX522" s="36"/>
      <c r="AY522" s="36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27"/>
      <c r="BL522" s="27"/>
    </row>
    <row r="523" spans="1:64">
      <c r="A523" s="68" t="s">
        <v>54</v>
      </c>
      <c r="B523" s="26">
        <v>46223</v>
      </c>
      <c r="C523" s="27">
        <v>30119</v>
      </c>
      <c r="D523" s="27"/>
      <c r="E523" s="27" t="s">
        <v>1453</v>
      </c>
      <c r="F523" s="27" t="s">
        <v>59</v>
      </c>
      <c r="G523" s="27" t="s">
        <v>104</v>
      </c>
      <c r="H523" s="30" t="s">
        <v>767</v>
      </c>
      <c r="I523" s="31" t="s">
        <v>1462</v>
      </c>
      <c r="J523" s="30" t="s">
        <v>1463</v>
      </c>
      <c r="K523" s="27">
        <v>7</v>
      </c>
      <c r="L523" s="27">
        <v>158</v>
      </c>
      <c r="M523" s="27"/>
      <c r="N523" s="31" t="s">
        <v>154</v>
      </c>
      <c r="O523" s="27"/>
      <c r="P523" s="30"/>
      <c r="Q523" s="30" t="s">
        <v>66</v>
      </c>
      <c r="R523" s="26">
        <v>46224</v>
      </c>
      <c r="S523" s="26">
        <v>46225</v>
      </c>
      <c r="T523" s="31"/>
      <c r="U523" s="30" t="s">
        <v>68</v>
      </c>
      <c r="V523" s="34" t="s">
        <v>70</v>
      </c>
      <c r="W523" s="27" t="s">
        <v>85</v>
      </c>
      <c r="X523" s="30">
        <v>1</v>
      </c>
      <c r="Y523" s="30">
        <v>1</v>
      </c>
      <c r="Z523" s="30">
        <v>1</v>
      </c>
      <c r="AA523" s="30">
        <v>1</v>
      </c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6"/>
      <c r="AS523" s="36"/>
      <c r="AT523" s="36"/>
      <c r="AU523" s="36" t="s">
        <v>1449</v>
      </c>
      <c r="AV523" s="36" t="s">
        <v>41</v>
      </c>
      <c r="AW523" s="36"/>
      <c r="AX523" s="36"/>
      <c r="AY523" s="36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27"/>
      <c r="BL523" s="27"/>
    </row>
    <row r="524" spans="1:64">
      <c r="A524" s="68" t="s">
        <v>54</v>
      </c>
      <c r="B524" s="26">
        <v>46223</v>
      </c>
      <c r="C524" s="27">
        <v>30120</v>
      </c>
      <c r="D524" s="27"/>
      <c r="E524" s="27" t="s">
        <v>1453</v>
      </c>
      <c r="F524" s="27" t="s">
        <v>59</v>
      </c>
      <c r="G524" s="27" t="s">
        <v>104</v>
      </c>
      <c r="H524" s="30" t="s">
        <v>767</v>
      </c>
      <c r="I524" s="31" t="s">
        <v>1464</v>
      </c>
      <c r="J524" s="30" t="s">
        <v>1465</v>
      </c>
      <c r="K524" s="27">
        <v>1</v>
      </c>
      <c r="L524" s="27">
        <v>100</v>
      </c>
      <c r="M524" s="27"/>
      <c r="N524" s="31" t="s">
        <v>154</v>
      </c>
      <c r="O524" s="27"/>
      <c r="P524" s="30"/>
      <c r="Q524" s="30" t="s">
        <v>66</v>
      </c>
      <c r="R524" s="26">
        <v>46224</v>
      </c>
      <c r="S524" s="26">
        <v>46225</v>
      </c>
      <c r="T524" s="31"/>
      <c r="U524" s="30" t="s">
        <v>68</v>
      </c>
      <c r="V524" s="34" t="s">
        <v>70</v>
      </c>
      <c r="W524" s="27" t="s">
        <v>85</v>
      </c>
      <c r="X524" s="30">
        <v>1</v>
      </c>
      <c r="Y524" s="30">
        <v>1</v>
      </c>
      <c r="Z524" s="30">
        <v>1</v>
      </c>
      <c r="AA524" s="30">
        <v>1</v>
      </c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6"/>
      <c r="AS524" s="36"/>
      <c r="AT524" s="36"/>
      <c r="AU524" s="36" t="s">
        <v>1449</v>
      </c>
      <c r="AV524" s="36" t="s">
        <v>41</v>
      </c>
      <c r="AW524" s="36"/>
      <c r="AX524" s="36"/>
      <c r="AY524" s="36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27"/>
      <c r="BL524" s="27"/>
    </row>
    <row r="525" spans="1:64">
      <c r="A525" s="68" t="s">
        <v>54</v>
      </c>
      <c r="B525" s="26">
        <v>46223</v>
      </c>
      <c r="C525" s="27">
        <v>30121</v>
      </c>
      <c r="D525" s="27"/>
      <c r="E525" s="27" t="s">
        <v>1453</v>
      </c>
      <c r="F525" s="27" t="s">
        <v>59</v>
      </c>
      <c r="G525" s="27" t="s">
        <v>104</v>
      </c>
      <c r="H525" s="30" t="s">
        <v>757</v>
      </c>
      <c r="I525" s="31" t="s">
        <v>1466</v>
      </c>
      <c r="J525" s="30" t="s">
        <v>1467</v>
      </c>
      <c r="K525" s="27">
        <v>8</v>
      </c>
      <c r="L525" s="27">
        <v>165</v>
      </c>
      <c r="M525" s="27"/>
      <c r="N525" s="31" t="s">
        <v>154</v>
      </c>
      <c r="O525" s="27"/>
      <c r="P525" s="30"/>
      <c r="Q525" s="30" t="s">
        <v>66</v>
      </c>
      <c r="R525" s="26">
        <v>46224</v>
      </c>
      <c r="S525" s="26">
        <v>46225</v>
      </c>
      <c r="T525" s="31"/>
      <c r="U525" s="30" t="s">
        <v>68</v>
      </c>
      <c r="V525" s="34" t="s">
        <v>70</v>
      </c>
      <c r="W525" s="27" t="s">
        <v>85</v>
      </c>
      <c r="X525" s="30">
        <v>1</v>
      </c>
      <c r="Y525" s="30">
        <v>1</v>
      </c>
      <c r="Z525" s="30">
        <v>1</v>
      </c>
      <c r="AA525" s="30">
        <v>1</v>
      </c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6"/>
      <c r="AS525" s="36"/>
      <c r="AT525" s="36"/>
      <c r="AU525" s="36" t="s">
        <v>1449</v>
      </c>
      <c r="AV525" s="36" t="s">
        <v>41</v>
      </c>
      <c r="AW525" s="36"/>
      <c r="AX525" s="36"/>
      <c r="AY525" s="36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27"/>
      <c r="BL525" s="27"/>
    </row>
    <row r="526" spans="1:64">
      <c r="A526" s="68" t="s">
        <v>54</v>
      </c>
      <c r="B526" s="26">
        <v>46223</v>
      </c>
      <c r="C526" s="27">
        <v>30122</v>
      </c>
      <c r="D526" s="27"/>
      <c r="E526" s="27" t="s">
        <v>1453</v>
      </c>
      <c r="F526" s="27" t="s">
        <v>59</v>
      </c>
      <c r="G526" s="27" t="s">
        <v>104</v>
      </c>
      <c r="H526" s="30" t="s">
        <v>431</v>
      </c>
      <c r="I526" s="31" t="s">
        <v>1468</v>
      </c>
      <c r="J526" s="30" t="s">
        <v>1469</v>
      </c>
      <c r="K526" s="27">
        <v>2</v>
      </c>
      <c r="L526" s="27">
        <v>100</v>
      </c>
      <c r="M526" s="27"/>
      <c r="N526" s="31" t="s">
        <v>81</v>
      </c>
      <c r="O526" s="27"/>
      <c r="P526" s="30"/>
      <c r="Q526" s="30" t="s">
        <v>66</v>
      </c>
      <c r="R526" s="26">
        <v>46226</v>
      </c>
      <c r="S526" s="26">
        <v>46227</v>
      </c>
      <c r="T526" s="31"/>
      <c r="U526" s="30" t="s">
        <v>68</v>
      </c>
      <c r="V526" s="34" t="s">
        <v>70</v>
      </c>
      <c r="W526" s="27" t="s">
        <v>85</v>
      </c>
      <c r="X526" s="30">
        <v>1</v>
      </c>
      <c r="Y526" s="30">
        <v>1</v>
      </c>
      <c r="Z526" s="30">
        <v>1</v>
      </c>
      <c r="AA526" s="30">
        <v>1</v>
      </c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6"/>
      <c r="AS526" s="36"/>
      <c r="AT526" s="36"/>
      <c r="AU526" s="36" t="s">
        <v>69</v>
      </c>
      <c r="AV526" s="36" t="s">
        <v>81</v>
      </c>
      <c r="AW526" s="36"/>
      <c r="AX526" s="36" t="s">
        <v>90</v>
      </c>
      <c r="AY526" s="36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27"/>
      <c r="BL526" s="27"/>
    </row>
    <row r="527" spans="1:64">
      <c r="A527" s="68" t="s">
        <v>54</v>
      </c>
      <c r="B527" s="26">
        <v>46223</v>
      </c>
      <c r="C527" s="27">
        <v>30123</v>
      </c>
      <c r="D527" s="27"/>
      <c r="E527" s="27" t="s">
        <v>1453</v>
      </c>
      <c r="F527" s="27" t="s">
        <v>59</v>
      </c>
      <c r="G527" s="27" t="s">
        <v>104</v>
      </c>
      <c r="H527" s="30" t="s">
        <v>431</v>
      </c>
      <c r="I527" s="31" t="s">
        <v>1470</v>
      </c>
      <c r="J527" s="30" t="s">
        <v>1471</v>
      </c>
      <c r="K527" s="27">
        <v>4</v>
      </c>
      <c r="L527" s="27">
        <v>103</v>
      </c>
      <c r="M527" s="27"/>
      <c r="N527" s="31" t="s">
        <v>81</v>
      </c>
      <c r="O527" s="27"/>
      <c r="P527" s="30"/>
      <c r="Q527" s="30" t="s">
        <v>1472</v>
      </c>
      <c r="R527" s="26">
        <v>46226</v>
      </c>
      <c r="S527" s="26">
        <v>46227</v>
      </c>
      <c r="T527" s="31"/>
      <c r="U527" s="30" t="s">
        <v>68</v>
      </c>
      <c r="V527" s="34" t="s">
        <v>70</v>
      </c>
      <c r="W527" s="27" t="s">
        <v>85</v>
      </c>
      <c r="X527" s="30">
        <v>1</v>
      </c>
      <c r="Y527" s="30">
        <v>1</v>
      </c>
      <c r="Z527" s="30">
        <v>1</v>
      </c>
      <c r="AA527" s="30">
        <v>1</v>
      </c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6"/>
      <c r="AS527" s="36"/>
      <c r="AT527" s="36"/>
      <c r="AU527" s="36" t="s">
        <v>69</v>
      </c>
      <c r="AV527" s="36" t="s">
        <v>81</v>
      </c>
      <c r="AW527" s="36"/>
      <c r="AX527" s="36" t="s">
        <v>90</v>
      </c>
      <c r="AY527" s="36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27"/>
      <c r="BL527" s="27"/>
    </row>
    <row r="528" spans="1:64">
      <c r="A528" s="68" t="s">
        <v>54</v>
      </c>
      <c r="B528" s="26">
        <v>46223</v>
      </c>
      <c r="C528" s="27">
        <v>30124</v>
      </c>
      <c r="D528" s="27"/>
      <c r="E528" s="27" t="s">
        <v>1453</v>
      </c>
      <c r="F528" s="27" t="s">
        <v>59</v>
      </c>
      <c r="G528" s="27" t="s">
        <v>104</v>
      </c>
      <c r="H528" s="30" t="s">
        <v>169</v>
      </c>
      <c r="I528" s="31" t="s">
        <v>851</v>
      </c>
      <c r="J528" s="30" t="s">
        <v>1473</v>
      </c>
      <c r="K528" s="27">
        <v>4</v>
      </c>
      <c r="L528" s="27">
        <v>100</v>
      </c>
      <c r="M528" s="27"/>
      <c r="N528" s="31" t="s">
        <v>94</v>
      </c>
      <c r="O528" s="27"/>
      <c r="P528" s="30"/>
      <c r="Q528" s="30" t="s">
        <v>66</v>
      </c>
      <c r="R528" s="26">
        <v>46225</v>
      </c>
      <c r="S528" s="26">
        <v>46225</v>
      </c>
      <c r="T528" s="31"/>
      <c r="U528" s="30" t="s">
        <v>68</v>
      </c>
      <c r="V528" s="34" t="s">
        <v>70</v>
      </c>
      <c r="W528" s="27" t="s">
        <v>85</v>
      </c>
      <c r="X528" s="30">
        <v>1</v>
      </c>
      <c r="Y528" s="30">
        <v>1</v>
      </c>
      <c r="Z528" s="30">
        <v>1</v>
      </c>
      <c r="AA528" s="30">
        <v>1</v>
      </c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6"/>
      <c r="AS528" s="36"/>
      <c r="AT528" s="36"/>
      <c r="AU528" s="36" t="s">
        <v>69</v>
      </c>
      <c r="AV528" s="36" t="s">
        <v>94</v>
      </c>
      <c r="AW528" s="36" t="s">
        <v>41</v>
      </c>
      <c r="AX528" s="36"/>
      <c r="AY528" s="36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27"/>
      <c r="BL528" s="27"/>
    </row>
    <row r="529" spans="1:64">
      <c r="A529" s="68" t="s">
        <v>54</v>
      </c>
      <c r="B529" s="26">
        <v>46223</v>
      </c>
      <c r="C529" s="27">
        <v>29865</v>
      </c>
      <c r="D529" s="27"/>
      <c r="E529" s="27" t="s">
        <v>203</v>
      </c>
      <c r="F529" s="27" t="s">
        <v>59</v>
      </c>
      <c r="G529" s="27" t="s">
        <v>104</v>
      </c>
      <c r="H529" s="30" t="s">
        <v>144</v>
      </c>
      <c r="I529" s="31" t="s">
        <v>1474</v>
      </c>
      <c r="J529" s="30" t="s">
        <v>144</v>
      </c>
      <c r="K529" s="27">
        <v>1</v>
      </c>
      <c r="L529" s="27" t="s">
        <v>205</v>
      </c>
      <c r="M529" s="27"/>
      <c r="N529" s="31" t="s">
        <v>154</v>
      </c>
      <c r="O529" s="27"/>
      <c r="P529" s="30"/>
      <c r="Q529" s="30" t="s">
        <v>66</v>
      </c>
      <c r="R529" s="26">
        <v>46224</v>
      </c>
      <c r="S529" s="26">
        <v>46225</v>
      </c>
      <c r="T529" s="31"/>
      <c r="U529" s="30" t="s">
        <v>68</v>
      </c>
      <c r="V529" s="34" t="s">
        <v>70</v>
      </c>
      <c r="W529" s="27" t="s">
        <v>208</v>
      </c>
      <c r="X529" s="30">
        <v>1</v>
      </c>
      <c r="Y529" s="30">
        <v>1</v>
      </c>
      <c r="Z529" s="30">
        <v>1</v>
      </c>
      <c r="AA529" s="30">
        <v>1</v>
      </c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6"/>
      <c r="AS529" s="36"/>
      <c r="AT529" s="36"/>
      <c r="AU529" s="36" t="s">
        <v>1449</v>
      </c>
      <c r="AV529" s="36" t="s">
        <v>41</v>
      </c>
      <c r="AW529" s="36"/>
      <c r="AX529" s="36"/>
      <c r="AY529" s="36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27"/>
      <c r="BL529" s="27"/>
    </row>
    <row r="530" spans="1:64">
      <c r="A530" s="68" t="s">
        <v>54</v>
      </c>
      <c r="B530" s="26">
        <v>46223</v>
      </c>
      <c r="C530" s="27"/>
      <c r="D530" s="27">
        <v>38347</v>
      </c>
      <c r="E530" s="27" t="s">
        <v>284</v>
      </c>
      <c r="F530" s="27" t="s">
        <v>59</v>
      </c>
      <c r="G530" s="27" t="s">
        <v>104</v>
      </c>
      <c r="H530" s="30" t="s">
        <v>412</v>
      </c>
      <c r="I530" s="31" t="s">
        <v>1475</v>
      </c>
      <c r="J530" s="30" t="s">
        <v>518</v>
      </c>
      <c r="K530" s="27">
        <v>2</v>
      </c>
      <c r="L530" s="27">
        <v>19</v>
      </c>
      <c r="M530" s="27"/>
      <c r="N530" s="31" t="s">
        <v>1410</v>
      </c>
      <c r="O530" s="27"/>
      <c r="P530" s="30"/>
      <c r="Q530" s="30" t="s">
        <v>66</v>
      </c>
      <c r="R530" s="26">
        <v>46227</v>
      </c>
      <c r="S530" s="26">
        <v>46230</v>
      </c>
      <c r="T530" s="31" t="s">
        <v>1476</v>
      </c>
      <c r="U530" s="30" t="s">
        <v>68</v>
      </c>
      <c r="V530" s="34" t="s">
        <v>70</v>
      </c>
      <c r="W530" s="27" t="s">
        <v>284</v>
      </c>
      <c r="X530" s="30">
        <v>1</v>
      </c>
      <c r="Y530" s="30">
        <v>1</v>
      </c>
      <c r="Z530" s="30">
        <v>1</v>
      </c>
      <c r="AA530" s="30">
        <v>1</v>
      </c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6"/>
      <c r="AS530" s="36"/>
      <c r="AT530" s="36"/>
      <c r="AU530" s="36" t="s">
        <v>69</v>
      </c>
      <c r="AV530" s="36" t="s">
        <v>81</v>
      </c>
      <c r="AW530" s="36" t="s">
        <v>1410</v>
      </c>
      <c r="AX530" s="36"/>
      <c r="AY530" s="36" t="s">
        <v>41</v>
      </c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27"/>
      <c r="BL530" s="27"/>
    </row>
    <row r="531" spans="1:64">
      <c r="A531" s="68" t="s">
        <v>54</v>
      </c>
      <c r="B531" s="26">
        <v>46223</v>
      </c>
      <c r="C531" s="27"/>
      <c r="D531" s="27">
        <v>138771</v>
      </c>
      <c r="E531" s="27" t="s">
        <v>284</v>
      </c>
      <c r="F531" s="27" t="s">
        <v>59</v>
      </c>
      <c r="G531" s="27" t="s">
        <v>104</v>
      </c>
      <c r="H531" s="30" t="s">
        <v>144</v>
      </c>
      <c r="I531" s="31" t="s">
        <v>1477</v>
      </c>
      <c r="J531" s="30" t="s">
        <v>1478</v>
      </c>
      <c r="K531" s="27">
        <v>1</v>
      </c>
      <c r="L531" s="63">
        <v>3745</v>
      </c>
      <c r="M531" s="27" t="s">
        <v>1479</v>
      </c>
      <c r="N531" s="31" t="s">
        <v>154</v>
      </c>
      <c r="O531" s="27"/>
      <c r="P531" s="30"/>
      <c r="Q531" s="30" t="s">
        <v>66</v>
      </c>
      <c r="R531" s="26">
        <v>46224</v>
      </c>
      <c r="S531" s="26">
        <v>46225</v>
      </c>
      <c r="T531" s="31"/>
      <c r="U531" s="30" t="s">
        <v>68</v>
      </c>
      <c r="V531" s="34" t="s">
        <v>70</v>
      </c>
      <c r="W531" s="27" t="s">
        <v>284</v>
      </c>
      <c r="X531" s="30">
        <v>1</v>
      </c>
      <c r="Y531" s="30">
        <v>1</v>
      </c>
      <c r="Z531" s="30">
        <v>1</v>
      </c>
      <c r="AA531" s="30">
        <v>1</v>
      </c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6"/>
      <c r="AS531" s="36"/>
      <c r="AT531" s="36"/>
      <c r="AU531" s="36" t="s">
        <v>1449</v>
      </c>
      <c r="AV531" s="36" t="s">
        <v>41</v>
      </c>
      <c r="AW531" s="36"/>
      <c r="AX531" s="36"/>
      <c r="AY531" s="36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27"/>
      <c r="BL531" s="27"/>
    </row>
    <row r="532" spans="1:64">
      <c r="A532" s="68" t="s">
        <v>54</v>
      </c>
      <c r="B532" s="26">
        <v>46223</v>
      </c>
      <c r="C532" s="27"/>
      <c r="D532" s="27">
        <v>138769</v>
      </c>
      <c r="E532" s="27" t="s">
        <v>284</v>
      </c>
      <c r="F532" s="27" t="s">
        <v>59</v>
      </c>
      <c r="G532" s="27" t="s">
        <v>104</v>
      </c>
      <c r="H532" s="30" t="s">
        <v>57</v>
      </c>
      <c r="I532" s="31" t="s">
        <v>1480</v>
      </c>
      <c r="J532" s="30" t="s">
        <v>1481</v>
      </c>
      <c r="K532" s="27">
        <v>1</v>
      </c>
      <c r="L532" s="63">
        <v>2577</v>
      </c>
      <c r="M532" s="48">
        <v>46236</v>
      </c>
      <c r="N532" s="31" t="s">
        <v>455</v>
      </c>
      <c r="O532" s="27"/>
      <c r="P532" s="30"/>
      <c r="Q532" s="30" t="s">
        <v>66</v>
      </c>
      <c r="R532" s="26">
        <v>46224</v>
      </c>
      <c r="S532" s="26">
        <v>46226</v>
      </c>
      <c r="T532" s="31"/>
      <c r="U532" s="30" t="s">
        <v>68</v>
      </c>
      <c r="V532" s="34" t="s">
        <v>70</v>
      </c>
      <c r="W532" s="27" t="s">
        <v>284</v>
      </c>
      <c r="X532" s="30">
        <v>1</v>
      </c>
      <c r="Y532" s="30">
        <v>1</v>
      </c>
      <c r="Z532" s="30">
        <v>1</v>
      </c>
      <c r="AA532" s="30">
        <v>1</v>
      </c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6"/>
      <c r="AS532" s="36"/>
      <c r="AT532" s="36"/>
      <c r="AU532" s="36" t="s">
        <v>1323</v>
      </c>
      <c r="AV532" s="36" t="s">
        <v>41</v>
      </c>
      <c r="AW532" s="36"/>
      <c r="AX532" s="36"/>
      <c r="AY532" s="36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27"/>
      <c r="BL532" s="27"/>
    </row>
    <row r="533" spans="1:64">
      <c r="A533" s="68" t="s">
        <v>54</v>
      </c>
      <c r="B533" s="26">
        <v>46223</v>
      </c>
      <c r="C533" s="27"/>
      <c r="D533" s="27">
        <v>138766</v>
      </c>
      <c r="E533" s="27" t="s">
        <v>284</v>
      </c>
      <c r="F533" s="27" t="s">
        <v>59</v>
      </c>
      <c r="G533" s="27" t="s">
        <v>104</v>
      </c>
      <c r="H533" s="30" t="s">
        <v>170</v>
      </c>
      <c r="I533" s="31" t="s">
        <v>1482</v>
      </c>
      <c r="J533" s="31" t="s">
        <v>1483</v>
      </c>
      <c r="K533" s="27">
        <v>3</v>
      </c>
      <c r="L533" s="63">
        <v>16827</v>
      </c>
      <c r="M533" s="27"/>
      <c r="N533" s="31" t="s">
        <v>81</v>
      </c>
      <c r="O533" s="27"/>
      <c r="P533" s="30"/>
      <c r="Q533" s="30" t="s">
        <v>66</v>
      </c>
      <c r="R533" s="26">
        <v>46225</v>
      </c>
      <c r="S533" s="26">
        <v>46227</v>
      </c>
      <c r="T533" s="31"/>
      <c r="U533" s="30" t="s">
        <v>68</v>
      </c>
      <c r="V533" s="34" t="s">
        <v>70</v>
      </c>
      <c r="W533" s="27" t="s">
        <v>284</v>
      </c>
      <c r="X533" s="30">
        <v>1</v>
      </c>
      <c r="Y533" s="30">
        <v>1</v>
      </c>
      <c r="Z533" s="30">
        <v>1</v>
      </c>
      <c r="AA533" s="30">
        <v>1</v>
      </c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6"/>
      <c r="AS533" s="36"/>
      <c r="AT533" s="36"/>
      <c r="AU533" s="36" t="s">
        <v>69</v>
      </c>
      <c r="AV533" s="36" t="s">
        <v>81</v>
      </c>
      <c r="AW533" s="36" t="s">
        <v>41</v>
      </c>
      <c r="AX533" s="36"/>
      <c r="AY533" s="36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27"/>
      <c r="BL533" s="27"/>
    </row>
    <row r="534" spans="1:64">
      <c r="A534" s="68" t="s">
        <v>54</v>
      </c>
      <c r="B534" s="26">
        <v>46223</v>
      </c>
      <c r="C534" s="27"/>
      <c r="D534" s="27">
        <v>138763</v>
      </c>
      <c r="E534" s="27" t="s">
        <v>284</v>
      </c>
      <c r="F534" s="27" t="s">
        <v>59</v>
      </c>
      <c r="G534" s="27" t="s">
        <v>104</v>
      </c>
      <c r="H534" s="30" t="s">
        <v>170</v>
      </c>
      <c r="I534" s="31" t="s">
        <v>1484</v>
      </c>
      <c r="J534" s="30" t="s">
        <v>1485</v>
      </c>
      <c r="K534" s="27">
        <v>2</v>
      </c>
      <c r="L534" s="27" t="s">
        <v>1486</v>
      </c>
      <c r="M534" s="27"/>
      <c r="N534" s="31" t="s">
        <v>81</v>
      </c>
      <c r="O534" s="27"/>
      <c r="P534" s="30"/>
      <c r="Q534" s="30" t="s">
        <v>66</v>
      </c>
      <c r="R534" s="26">
        <v>46225</v>
      </c>
      <c r="S534" s="26">
        <v>46227</v>
      </c>
      <c r="T534" s="31"/>
      <c r="U534" s="30" t="s">
        <v>68</v>
      </c>
      <c r="V534" s="34" t="s">
        <v>70</v>
      </c>
      <c r="W534" s="27" t="s">
        <v>284</v>
      </c>
      <c r="X534" s="30">
        <v>1</v>
      </c>
      <c r="Y534" s="30">
        <v>1</v>
      </c>
      <c r="Z534" s="30">
        <v>1</v>
      </c>
      <c r="AA534" s="30">
        <v>1</v>
      </c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6"/>
      <c r="AS534" s="36"/>
      <c r="AT534" s="36"/>
      <c r="AU534" s="36" t="s">
        <v>69</v>
      </c>
      <c r="AV534" s="36" t="s">
        <v>81</v>
      </c>
      <c r="AW534" s="36" t="s">
        <v>41</v>
      </c>
      <c r="AX534" s="36"/>
      <c r="AY534" s="36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27"/>
      <c r="BL534" s="27"/>
    </row>
    <row r="535" spans="1:64">
      <c r="A535" s="68" t="s">
        <v>54</v>
      </c>
      <c r="B535" s="26">
        <v>46223</v>
      </c>
      <c r="C535" s="27"/>
      <c r="D535" s="27">
        <v>138778</v>
      </c>
      <c r="E535" s="27" t="s">
        <v>284</v>
      </c>
      <c r="F535" s="27" t="s">
        <v>59</v>
      </c>
      <c r="G535" s="27" t="s">
        <v>104</v>
      </c>
      <c r="H535" s="30" t="s">
        <v>170</v>
      </c>
      <c r="I535" s="31" t="s">
        <v>1487</v>
      </c>
      <c r="J535" s="30" t="s">
        <v>1488</v>
      </c>
      <c r="K535" s="27">
        <v>1</v>
      </c>
      <c r="L535" s="63">
        <v>1435</v>
      </c>
      <c r="M535" s="27"/>
      <c r="N535" s="31" t="s">
        <v>81</v>
      </c>
      <c r="O535" s="27"/>
      <c r="P535" s="30"/>
      <c r="Q535" s="30" t="s">
        <v>66</v>
      </c>
      <c r="R535" s="26">
        <v>46225</v>
      </c>
      <c r="S535" s="26">
        <v>46227</v>
      </c>
      <c r="T535" s="31"/>
      <c r="U535" s="30" t="s">
        <v>68</v>
      </c>
      <c r="V535" s="34" t="s">
        <v>70</v>
      </c>
      <c r="W535" s="27" t="s">
        <v>284</v>
      </c>
      <c r="X535" s="30">
        <v>1</v>
      </c>
      <c r="Y535" s="30">
        <v>1</v>
      </c>
      <c r="Z535" s="30">
        <v>1</v>
      </c>
      <c r="AA535" s="30">
        <v>1</v>
      </c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6"/>
      <c r="AS535" s="36"/>
      <c r="AT535" s="36"/>
      <c r="AU535" s="36" t="s">
        <v>69</v>
      </c>
      <c r="AV535" s="36" t="s">
        <v>81</v>
      </c>
      <c r="AW535" s="36" t="s">
        <v>41</v>
      </c>
      <c r="AX535" s="36"/>
      <c r="AY535" s="36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27"/>
      <c r="BL535" s="27"/>
    </row>
    <row r="536" spans="1:64">
      <c r="A536" s="68" t="s">
        <v>54</v>
      </c>
      <c r="B536" s="26">
        <v>46223</v>
      </c>
      <c r="C536" s="27"/>
      <c r="D536" s="27">
        <v>138772</v>
      </c>
      <c r="E536" s="27" t="s">
        <v>284</v>
      </c>
      <c r="F536" s="27" t="s">
        <v>59</v>
      </c>
      <c r="G536" s="27" t="s">
        <v>104</v>
      </c>
      <c r="H536" s="30" t="s">
        <v>395</v>
      </c>
      <c r="I536" s="31" t="s">
        <v>1489</v>
      </c>
      <c r="J536" s="30" t="s">
        <v>1490</v>
      </c>
      <c r="K536" s="27">
        <v>2</v>
      </c>
      <c r="L536" s="63">
        <v>5447</v>
      </c>
      <c r="M536" s="27"/>
      <c r="N536" s="31" t="s">
        <v>81</v>
      </c>
      <c r="O536" s="27"/>
      <c r="P536" s="30"/>
      <c r="Q536" s="30" t="s">
        <v>66</v>
      </c>
      <c r="R536" s="26">
        <v>46225</v>
      </c>
      <c r="S536" s="26">
        <v>46227</v>
      </c>
      <c r="T536" s="31"/>
      <c r="U536" s="30" t="s">
        <v>68</v>
      </c>
      <c r="V536" s="34" t="s">
        <v>70</v>
      </c>
      <c r="W536" s="27" t="s">
        <v>284</v>
      </c>
      <c r="X536" s="30">
        <v>1</v>
      </c>
      <c r="Y536" s="30">
        <v>1</v>
      </c>
      <c r="Z536" s="30">
        <v>1</v>
      </c>
      <c r="AA536" s="30">
        <v>1</v>
      </c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6"/>
      <c r="AS536" s="36"/>
      <c r="AT536" s="36"/>
      <c r="AU536" s="36" t="s">
        <v>69</v>
      </c>
      <c r="AV536" s="36" t="s">
        <v>81</v>
      </c>
      <c r="AW536" s="36" t="s">
        <v>41</v>
      </c>
      <c r="AX536" s="36"/>
      <c r="AY536" s="36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27"/>
      <c r="BL536" s="27"/>
    </row>
    <row r="537" spans="1:64">
      <c r="A537" s="68" t="s">
        <v>54</v>
      </c>
      <c r="B537" s="26">
        <v>46223</v>
      </c>
      <c r="C537" s="27"/>
      <c r="D537" s="27">
        <v>138775</v>
      </c>
      <c r="E537" s="27" t="s">
        <v>284</v>
      </c>
      <c r="F537" s="27" t="s">
        <v>59</v>
      </c>
      <c r="G537" s="27" t="s">
        <v>104</v>
      </c>
      <c r="H537" s="30" t="s">
        <v>431</v>
      </c>
      <c r="I537" s="31" t="s">
        <v>1491</v>
      </c>
      <c r="J537" s="30" t="s">
        <v>1492</v>
      </c>
      <c r="K537" s="27">
        <v>1</v>
      </c>
      <c r="L537" s="63">
        <v>507</v>
      </c>
      <c r="M537" s="27"/>
      <c r="N537" s="31" t="s">
        <v>81</v>
      </c>
      <c r="O537" s="27"/>
      <c r="P537" s="30"/>
      <c r="Q537" s="30" t="s">
        <v>762</v>
      </c>
      <c r="R537" s="26">
        <v>46225</v>
      </c>
      <c r="S537" s="26">
        <v>46227</v>
      </c>
      <c r="T537" s="31"/>
      <c r="U537" s="30" t="s">
        <v>68</v>
      </c>
      <c r="V537" s="34" t="s">
        <v>70</v>
      </c>
      <c r="W537" s="27" t="s">
        <v>284</v>
      </c>
      <c r="X537" s="30">
        <v>1</v>
      </c>
      <c r="Y537" s="30">
        <v>1</v>
      </c>
      <c r="Z537" s="30">
        <v>1</v>
      </c>
      <c r="AA537" s="30">
        <v>1</v>
      </c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6"/>
      <c r="AS537" s="36"/>
      <c r="AT537" s="36"/>
      <c r="AU537" s="36" t="s">
        <v>69</v>
      </c>
      <c r="AV537" s="36" t="s">
        <v>81</v>
      </c>
      <c r="AW537" s="36" t="s">
        <v>906</v>
      </c>
      <c r="AX537" s="36"/>
      <c r="AY537" s="36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27"/>
      <c r="BL537" s="27"/>
    </row>
    <row r="538" spans="1:64">
      <c r="A538" s="68" t="s">
        <v>54</v>
      </c>
      <c r="B538" s="26">
        <v>46223</v>
      </c>
      <c r="C538" s="27"/>
      <c r="D538" s="27">
        <v>138774</v>
      </c>
      <c r="E538" s="27" t="s">
        <v>284</v>
      </c>
      <c r="F538" s="27" t="s">
        <v>59</v>
      </c>
      <c r="G538" s="27" t="s">
        <v>104</v>
      </c>
      <c r="H538" s="30" t="s">
        <v>431</v>
      </c>
      <c r="I538" s="31" t="s">
        <v>1493</v>
      </c>
      <c r="J538" s="30" t="s">
        <v>1494</v>
      </c>
      <c r="K538" s="27">
        <v>2</v>
      </c>
      <c r="L538" s="63">
        <v>1895</v>
      </c>
      <c r="M538" s="27"/>
      <c r="N538" s="31" t="s">
        <v>81</v>
      </c>
      <c r="O538" s="27"/>
      <c r="P538" s="30"/>
      <c r="Q538" s="30" t="s">
        <v>1495</v>
      </c>
      <c r="R538" s="26">
        <v>46226</v>
      </c>
      <c r="S538" s="26">
        <v>46227</v>
      </c>
      <c r="T538" s="31"/>
      <c r="U538" s="30" t="s">
        <v>68</v>
      </c>
      <c r="V538" s="34" t="s">
        <v>70</v>
      </c>
      <c r="W538" s="27" t="s">
        <v>284</v>
      </c>
      <c r="X538" s="30">
        <v>1</v>
      </c>
      <c r="Y538" s="30">
        <v>1</v>
      </c>
      <c r="Z538" s="30">
        <v>1</v>
      </c>
      <c r="AA538" s="30">
        <v>1</v>
      </c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6"/>
      <c r="AS538" s="36"/>
      <c r="AT538" s="36"/>
      <c r="AU538" s="36" t="s">
        <v>69</v>
      </c>
      <c r="AV538" s="36" t="s">
        <v>81</v>
      </c>
      <c r="AW538" s="36"/>
      <c r="AX538" s="36" t="s">
        <v>90</v>
      </c>
      <c r="AY538" s="36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27"/>
      <c r="BL538" s="27"/>
    </row>
    <row r="539" spans="1:64">
      <c r="A539" s="68" t="s">
        <v>54</v>
      </c>
      <c r="B539" s="26">
        <v>46223</v>
      </c>
      <c r="C539" s="27"/>
      <c r="D539" s="27">
        <v>138777</v>
      </c>
      <c r="E539" s="27" t="s">
        <v>284</v>
      </c>
      <c r="F539" s="27" t="s">
        <v>59</v>
      </c>
      <c r="G539" s="27" t="s">
        <v>104</v>
      </c>
      <c r="H539" s="30" t="s">
        <v>343</v>
      </c>
      <c r="I539" s="31" t="s">
        <v>1496</v>
      </c>
      <c r="J539" s="30" t="s">
        <v>1497</v>
      </c>
      <c r="K539" s="27">
        <v>1</v>
      </c>
      <c r="L539" s="63">
        <v>9665</v>
      </c>
      <c r="M539" s="27" t="s">
        <v>1498</v>
      </c>
      <c r="N539" s="31" t="s">
        <v>455</v>
      </c>
      <c r="O539" s="27"/>
      <c r="P539" s="30"/>
      <c r="Q539" s="30" t="s">
        <v>66</v>
      </c>
      <c r="R539" s="26">
        <v>46225</v>
      </c>
      <c r="S539" s="26">
        <v>46226</v>
      </c>
      <c r="T539" s="31"/>
      <c r="U539" s="30" t="s">
        <v>68</v>
      </c>
      <c r="V539" s="34" t="s">
        <v>70</v>
      </c>
      <c r="W539" s="27" t="s">
        <v>284</v>
      </c>
      <c r="X539" s="30">
        <v>1</v>
      </c>
      <c r="Y539" s="30">
        <v>1</v>
      </c>
      <c r="Z539" s="30">
        <v>1</v>
      </c>
      <c r="AA539" s="30">
        <v>1</v>
      </c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6"/>
      <c r="AS539" s="36"/>
      <c r="AT539" s="36"/>
      <c r="AU539" s="36" t="s">
        <v>1323</v>
      </c>
      <c r="AV539" s="36"/>
      <c r="AW539" s="36" t="s">
        <v>41</v>
      </c>
      <c r="AX539" s="36"/>
      <c r="AY539" s="36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27"/>
      <c r="BL539" s="27"/>
    </row>
    <row r="540" spans="1:64">
      <c r="A540" s="68" t="s">
        <v>54</v>
      </c>
      <c r="B540" s="26">
        <v>46223</v>
      </c>
      <c r="C540" s="27"/>
      <c r="D540" s="27">
        <v>138768</v>
      </c>
      <c r="E540" s="27" t="s">
        <v>284</v>
      </c>
      <c r="F540" s="27" t="s">
        <v>59</v>
      </c>
      <c r="G540" s="27" t="s">
        <v>104</v>
      </c>
      <c r="H540" s="30" t="s">
        <v>106</v>
      </c>
      <c r="I540" s="31" t="s">
        <v>1499</v>
      </c>
      <c r="J540" s="30" t="s">
        <v>1500</v>
      </c>
      <c r="K540" s="27">
        <v>2</v>
      </c>
      <c r="L540" s="63">
        <v>13440</v>
      </c>
      <c r="M540" s="48">
        <v>46062</v>
      </c>
      <c r="N540" s="31" t="s">
        <v>455</v>
      </c>
      <c r="O540" s="27"/>
      <c r="P540" s="30"/>
      <c r="Q540" s="30" t="s">
        <v>66</v>
      </c>
      <c r="R540" s="26">
        <v>46225</v>
      </c>
      <c r="S540" s="26">
        <v>46226</v>
      </c>
      <c r="T540" s="31"/>
      <c r="U540" s="30" t="s">
        <v>68</v>
      </c>
      <c r="V540" s="34" t="s">
        <v>70</v>
      </c>
      <c r="W540" s="27" t="s">
        <v>284</v>
      </c>
      <c r="X540" s="30">
        <v>1</v>
      </c>
      <c r="Y540" s="30">
        <v>1</v>
      </c>
      <c r="Z540" s="30">
        <v>1</v>
      </c>
      <c r="AA540" s="30">
        <v>1</v>
      </c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6"/>
      <c r="AS540" s="36"/>
      <c r="AT540" s="36"/>
      <c r="AU540" s="36" t="s">
        <v>1323</v>
      </c>
      <c r="AV540" s="36"/>
      <c r="AW540" s="36" t="s">
        <v>41</v>
      </c>
      <c r="AX540" s="36"/>
      <c r="AY540" s="36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27"/>
      <c r="BL540" s="27"/>
    </row>
    <row r="541" spans="1:64">
      <c r="A541" s="68" t="s">
        <v>54</v>
      </c>
      <c r="B541" s="26">
        <v>46223</v>
      </c>
      <c r="C541" s="27"/>
      <c r="D541" s="27">
        <v>138764</v>
      </c>
      <c r="E541" s="27" t="s">
        <v>284</v>
      </c>
      <c r="F541" s="27" t="s">
        <v>59</v>
      </c>
      <c r="G541" s="27" t="s">
        <v>104</v>
      </c>
      <c r="H541" s="30" t="s">
        <v>170</v>
      </c>
      <c r="I541" s="31" t="s">
        <v>1501</v>
      </c>
      <c r="J541" s="30" t="s">
        <v>1502</v>
      </c>
      <c r="K541" s="27">
        <v>4</v>
      </c>
      <c r="L541" s="63">
        <v>35495</v>
      </c>
      <c r="M541" s="27"/>
      <c r="N541" s="31" t="s">
        <v>81</v>
      </c>
      <c r="O541" s="27"/>
      <c r="P541" s="30"/>
      <c r="Q541" s="30" t="s">
        <v>66</v>
      </c>
      <c r="R541" s="26">
        <v>46225</v>
      </c>
      <c r="S541" s="26">
        <v>46227</v>
      </c>
      <c r="T541" s="31"/>
      <c r="U541" s="30" t="s">
        <v>68</v>
      </c>
      <c r="V541" s="34" t="s">
        <v>70</v>
      </c>
      <c r="W541" s="27" t="s">
        <v>284</v>
      </c>
      <c r="X541" s="30">
        <v>1</v>
      </c>
      <c r="Y541" s="30">
        <v>1</v>
      </c>
      <c r="Z541" s="30">
        <v>1</v>
      </c>
      <c r="AA541" s="30">
        <v>1</v>
      </c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6"/>
      <c r="AS541" s="36"/>
      <c r="AT541" s="36"/>
      <c r="AU541" s="36" t="s">
        <v>69</v>
      </c>
      <c r="AV541" s="36" t="s">
        <v>81</v>
      </c>
      <c r="AW541" s="36" t="s">
        <v>41</v>
      </c>
      <c r="AX541" s="36"/>
      <c r="AY541" s="36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27"/>
      <c r="BL541" s="27"/>
    </row>
    <row r="542" spans="1:64">
      <c r="A542" s="68" t="s">
        <v>54</v>
      </c>
      <c r="B542" s="26">
        <v>46223</v>
      </c>
      <c r="C542" s="27"/>
      <c r="D542" s="27">
        <v>138770</v>
      </c>
      <c r="E542" s="27" t="s">
        <v>284</v>
      </c>
      <c r="F542" s="27" t="s">
        <v>59</v>
      </c>
      <c r="G542" s="27" t="s">
        <v>104</v>
      </c>
      <c r="H542" s="30" t="s">
        <v>60</v>
      </c>
      <c r="I542" s="31" t="s">
        <v>1503</v>
      </c>
      <c r="J542" s="30" t="s">
        <v>1504</v>
      </c>
      <c r="K542" s="27">
        <v>1</v>
      </c>
      <c r="L542" s="63">
        <v>1455</v>
      </c>
      <c r="M542" s="27"/>
      <c r="N542" s="31" t="s">
        <v>507</v>
      </c>
      <c r="O542" s="27"/>
      <c r="P542" s="30"/>
      <c r="Q542" s="30" t="s">
        <v>66</v>
      </c>
      <c r="R542" s="26">
        <v>46225</v>
      </c>
      <c r="S542" s="26">
        <v>46226</v>
      </c>
      <c r="T542" s="31"/>
      <c r="U542" s="30" t="s">
        <v>68</v>
      </c>
      <c r="V542" s="34" t="s">
        <v>70</v>
      </c>
      <c r="W542" s="27" t="s">
        <v>284</v>
      </c>
      <c r="X542" s="30">
        <v>1</v>
      </c>
      <c r="Y542" s="30">
        <v>1</v>
      </c>
      <c r="Z542" s="30">
        <v>1</v>
      </c>
      <c r="AA542" s="30">
        <v>1</v>
      </c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6"/>
      <c r="AS542" s="36"/>
      <c r="AT542" s="36"/>
      <c r="AU542" s="36" t="s">
        <v>69</v>
      </c>
      <c r="AV542" s="36"/>
      <c r="AW542" s="36" t="s">
        <v>1114</v>
      </c>
      <c r="AX542" s="36"/>
      <c r="AY542" s="36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27"/>
      <c r="BL542" s="27"/>
    </row>
    <row r="543" spans="1:64">
      <c r="A543" s="68" t="s">
        <v>54</v>
      </c>
      <c r="B543" s="26">
        <v>46223</v>
      </c>
      <c r="C543" s="27"/>
      <c r="D543" s="27">
        <v>138767</v>
      </c>
      <c r="E543" s="27" t="s">
        <v>284</v>
      </c>
      <c r="F543" s="27" t="s">
        <v>59</v>
      </c>
      <c r="G543" s="27" t="s">
        <v>104</v>
      </c>
      <c r="H543" s="30" t="s">
        <v>151</v>
      </c>
      <c r="I543" s="31" t="s">
        <v>1505</v>
      </c>
      <c r="J543" s="30" t="s">
        <v>1506</v>
      </c>
      <c r="K543" s="27">
        <v>2</v>
      </c>
      <c r="L543" s="27">
        <v>9.0649999999999995</v>
      </c>
      <c r="M543" s="27"/>
      <c r="N543" s="31" t="s">
        <v>81</v>
      </c>
      <c r="O543" s="27"/>
      <c r="P543" s="30"/>
      <c r="Q543" s="30" t="s">
        <v>1507</v>
      </c>
      <c r="R543" s="26">
        <v>46226</v>
      </c>
      <c r="S543" s="26">
        <v>46227</v>
      </c>
      <c r="T543" s="31"/>
      <c r="U543" s="30" t="s">
        <v>68</v>
      </c>
      <c r="V543" s="34" t="s">
        <v>70</v>
      </c>
      <c r="W543" s="27" t="s">
        <v>284</v>
      </c>
      <c r="X543" s="30">
        <v>1</v>
      </c>
      <c r="Y543" s="30">
        <v>1</v>
      </c>
      <c r="Z543" s="30">
        <v>1</v>
      </c>
      <c r="AA543" s="30">
        <v>1</v>
      </c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6"/>
      <c r="AS543" s="36"/>
      <c r="AT543" s="36"/>
      <c r="AU543" s="36" t="s">
        <v>69</v>
      </c>
      <c r="AV543" s="36" t="s">
        <v>81</v>
      </c>
      <c r="AW543" s="36"/>
      <c r="AX543" s="36" t="s">
        <v>90</v>
      </c>
      <c r="AY543" s="36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27"/>
      <c r="BL543" s="27"/>
    </row>
    <row r="544" spans="1:64">
      <c r="A544" s="68" t="s">
        <v>54</v>
      </c>
      <c r="B544" s="26">
        <v>46223</v>
      </c>
      <c r="C544" s="27"/>
      <c r="D544" s="27">
        <v>138761</v>
      </c>
      <c r="E544" s="27" t="s">
        <v>284</v>
      </c>
      <c r="F544" s="27" t="s">
        <v>59</v>
      </c>
      <c r="G544" s="27" t="s">
        <v>104</v>
      </c>
      <c r="H544" s="30" t="s">
        <v>60</v>
      </c>
      <c r="I544" s="31" t="s">
        <v>1508</v>
      </c>
      <c r="J544" s="30" t="s">
        <v>1509</v>
      </c>
      <c r="K544" s="27">
        <v>1</v>
      </c>
      <c r="L544" s="27" t="s">
        <v>1510</v>
      </c>
      <c r="M544" s="27"/>
      <c r="N544" s="31" t="s">
        <v>507</v>
      </c>
      <c r="O544" s="27"/>
      <c r="P544" s="30"/>
      <c r="Q544" s="30" t="s">
        <v>1511</v>
      </c>
      <c r="R544" s="26">
        <v>46225</v>
      </c>
      <c r="S544" s="26">
        <v>46226</v>
      </c>
      <c r="T544" s="31"/>
      <c r="U544" s="30" t="s">
        <v>68</v>
      </c>
      <c r="V544" s="34" t="s">
        <v>70</v>
      </c>
      <c r="W544" s="27" t="s">
        <v>284</v>
      </c>
      <c r="X544" s="30">
        <v>1</v>
      </c>
      <c r="Y544" s="30">
        <v>1</v>
      </c>
      <c r="Z544" s="30">
        <v>1</v>
      </c>
      <c r="AA544" s="30">
        <v>1</v>
      </c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6"/>
      <c r="AS544" s="36"/>
      <c r="AT544" s="36"/>
      <c r="AU544" s="36" t="s">
        <v>69</v>
      </c>
      <c r="AV544" s="36"/>
      <c r="AW544" s="36" t="s">
        <v>1438</v>
      </c>
      <c r="AX544" s="36"/>
      <c r="AY544" s="36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27"/>
      <c r="BL544" s="27"/>
    </row>
    <row r="545" spans="1:64">
      <c r="A545" s="68" t="s">
        <v>54</v>
      </c>
      <c r="B545" s="26">
        <v>46223</v>
      </c>
      <c r="C545" s="27"/>
      <c r="D545" s="27">
        <v>138760</v>
      </c>
      <c r="E545" s="27" t="s">
        <v>284</v>
      </c>
      <c r="F545" s="27" t="s">
        <v>59</v>
      </c>
      <c r="G545" s="27" t="s">
        <v>104</v>
      </c>
      <c r="H545" s="30" t="s">
        <v>175</v>
      </c>
      <c r="I545" s="31" t="s">
        <v>1512</v>
      </c>
      <c r="J545" s="30" t="s">
        <v>1513</v>
      </c>
      <c r="K545" s="27">
        <v>2</v>
      </c>
      <c r="L545" s="27" t="s">
        <v>1514</v>
      </c>
      <c r="M545" s="27"/>
      <c r="N545" s="31" t="s">
        <v>455</v>
      </c>
      <c r="O545" s="27"/>
      <c r="P545" s="30"/>
      <c r="Q545" s="30" t="s">
        <v>66</v>
      </c>
      <c r="R545" s="26">
        <v>46224</v>
      </c>
      <c r="S545" s="26">
        <v>46226</v>
      </c>
      <c r="T545" s="31"/>
      <c r="U545" s="30" t="s">
        <v>68</v>
      </c>
      <c r="V545" s="34" t="s">
        <v>70</v>
      </c>
      <c r="W545" s="27" t="s">
        <v>284</v>
      </c>
      <c r="X545" s="30">
        <v>1</v>
      </c>
      <c r="Y545" s="30">
        <v>1</v>
      </c>
      <c r="Z545" s="30">
        <v>1</v>
      </c>
      <c r="AA545" s="30">
        <v>1</v>
      </c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6"/>
      <c r="AS545" s="36"/>
      <c r="AT545" s="36"/>
      <c r="AU545" s="36" t="s">
        <v>1323</v>
      </c>
      <c r="AV545" s="36" t="s">
        <v>41</v>
      </c>
      <c r="AW545" s="36"/>
      <c r="AX545" s="36"/>
      <c r="AY545" s="36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27"/>
      <c r="BL545" s="27"/>
    </row>
    <row r="546" spans="1:64">
      <c r="A546" s="68" t="s">
        <v>54</v>
      </c>
      <c r="B546" s="26">
        <v>46223</v>
      </c>
      <c r="C546" s="27"/>
      <c r="D546" s="27">
        <v>138765</v>
      </c>
      <c r="E546" s="27" t="s">
        <v>284</v>
      </c>
      <c r="F546" s="27" t="s">
        <v>59</v>
      </c>
      <c r="G546" s="27" t="s">
        <v>104</v>
      </c>
      <c r="H546" s="30" t="s">
        <v>144</v>
      </c>
      <c r="I546" s="31" t="s">
        <v>1515</v>
      </c>
      <c r="J546" s="30" t="s">
        <v>1516</v>
      </c>
      <c r="K546" s="27">
        <v>3</v>
      </c>
      <c r="L546" s="63">
        <v>28375</v>
      </c>
      <c r="M546" s="48">
        <v>46168</v>
      </c>
      <c r="N546" s="31" t="s">
        <v>154</v>
      </c>
      <c r="O546" s="27"/>
      <c r="P546" s="30"/>
      <c r="Q546" s="30" t="s">
        <v>66</v>
      </c>
      <c r="R546" s="26">
        <v>46224</v>
      </c>
      <c r="S546" s="26">
        <v>46225</v>
      </c>
      <c r="T546" s="31"/>
      <c r="U546" s="30" t="s">
        <v>68</v>
      </c>
      <c r="V546" s="34" t="s">
        <v>70</v>
      </c>
      <c r="W546" s="27" t="s">
        <v>284</v>
      </c>
      <c r="X546" s="30">
        <v>1</v>
      </c>
      <c r="Y546" s="30">
        <v>1</v>
      </c>
      <c r="Z546" s="30">
        <v>1</v>
      </c>
      <c r="AA546" s="30">
        <v>1</v>
      </c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6"/>
      <c r="AS546" s="36"/>
      <c r="AT546" s="36"/>
      <c r="AU546" s="36" t="s">
        <v>1449</v>
      </c>
      <c r="AV546" s="36" t="s">
        <v>41</v>
      </c>
      <c r="AW546" s="36"/>
      <c r="AX546" s="36"/>
      <c r="AY546" s="36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27"/>
      <c r="BL546" s="27"/>
    </row>
    <row r="547" spans="1:64">
      <c r="A547" s="68" t="s">
        <v>54</v>
      </c>
      <c r="B547" s="26">
        <v>46223</v>
      </c>
      <c r="C547" s="27"/>
      <c r="D547" s="27">
        <v>44674</v>
      </c>
      <c r="E547" s="27" t="s">
        <v>284</v>
      </c>
      <c r="F547" s="27" t="s">
        <v>48</v>
      </c>
      <c r="G547" s="27" t="s">
        <v>110</v>
      </c>
      <c r="H547" s="30" t="s">
        <v>144</v>
      </c>
      <c r="I547" s="31" t="s">
        <v>1517</v>
      </c>
      <c r="J547" s="30" t="s">
        <v>1518</v>
      </c>
      <c r="K547" s="27">
        <v>1</v>
      </c>
      <c r="L547" s="27">
        <v>90</v>
      </c>
      <c r="M547" s="27" t="s">
        <v>1519</v>
      </c>
      <c r="N547" s="31" t="s">
        <v>81</v>
      </c>
      <c r="O547" s="27"/>
      <c r="P547" s="30"/>
      <c r="Q547" s="30" t="s">
        <v>66</v>
      </c>
      <c r="R547" s="26">
        <v>46227</v>
      </c>
      <c r="S547" s="26">
        <v>46230</v>
      </c>
      <c r="T547" s="31"/>
      <c r="U547" s="30" t="s">
        <v>68</v>
      </c>
      <c r="V547" s="34" t="s">
        <v>70</v>
      </c>
      <c r="W547" s="27" t="s">
        <v>284</v>
      </c>
      <c r="X547" s="30">
        <v>1</v>
      </c>
      <c r="Y547" s="30">
        <v>1</v>
      </c>
      <c r="Z547" s="30">
        <v>1</v>
      </c>
      <c r="AA547" s="30">
        <v>2</v>
      </c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6"/>
      <c r="AS547" s="36"/>
      <c r="AT547" s="36"/>
      <c r="AU547" s="36" t="s">
        <v>600</v>
      </c>
      <c r="AV547" s="36" t="s">
        <v>504</v>
      </c>
      <c r="AW547" s="36"/>
      <c r="AX547" s="36" t="s">
        <v>1420</v>
      </c>
      <c r="AY547" s="36" t="s">
        <v>41</v>
      </c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27"/>
      <c r="BL547" s="27"/>
    </row>
    <row r="548" spans="1:64">
      <c r="A548" s="68" t="s">
        <v>187</v>
      </c>
      <c r="B548" s="26">
        <v>46223</v>
      </c>
      <c r="C548" s="27">
        <v>29977</v>
      </c>
      <c r="D548" s="27"/>
      <c r="E548" s="27" t="s">
        <v>367</v>
      </c>
      <c r="F548" s="27" t="s">
        <v>59</v>
      </c>
      <c r="G548" s="27" t="s">
        <v>104</v>
      </c>
      <c r="H548" s="30" t="s">
        <v>480</v>
      </c>
      <c r="I548" s="31" t="s">
        <v>1288</v>
      </c>
      <c r="J548" s="30" t="s">
        <v>1408</v>
      </c>
      <c r="K548" s="27">
        <v>13</v>
      </c>
      <c r="L548" s="27">
        <v>456.3</v>
      </c>
      <c r="M548" s="27"/>
      <c r="N548" s="31"/>
      <c r="O548" s="27" t="s">
        <v>272</v>
      </c>
      <c r="P548" s="30"/>
      <c r="Q548" s="30"/>
      <c r="R548" s="27"/>
      <c r="S548" s="27"/>
      <c r="T548" s="31" t="s">
        <v>625</v>
      </c>
      <c r="U548" s="30" t="s">
        <v>626</v>
      </c>
      <c r="V548" s="34" t="s">
        <v>627</v>
      </c>
      <c r="W548" s="27" t="s">
        <v>320</v>
      </c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6"/>
      <c r="AS548" s="36"/>
      <c r="AT548" s="36"/>
      <c r="AU548" s="36" t="s">
        <v>69</v>
      </c>
      <c r="AV548" s="36"/>
      <c r="AW548" s="36"/>
      <c r="AX548" s="36" t="s">
        <v>504</v>
      </c>
      <c r="AY548" s="36"/>
      <c r="AZ548" s="30" t="s">
        <v>118</v>
      </c>
      <c r="BA548" s="30"/>
      <c r="BB548" s="30"/>
      <c r="BC548" s="27" t="s">
        <v>272</v>
      </c>
      <c r="BD548" s="30"/>
      <c r="BE548" s="30"/>
      <c r="BF548" s="30"/>
      <c r="BG548" s="30"/>
      <c r="BH548" s="30"/>
      <c r="BI548" s="30"/>
      <c r="BJ548" s="30"/>
      <c r="BK548" s="27"/>
      <c r="BL548" s="27"/>
    </row>
    <row r="549" spans="1:64">
      <c r="A549" s="68" t="s">
        <v>54</v>
      </c>
      <c r="B549" s="26">
        <v>46224</v>
      </c>
      <c r="C549" s="27"/>
      <c r="D549" s="27">
        <v>138781</v>
      </c>
      <c r="E549" s="27" t="s">
        <v>284</v>
      </c>
      <c r="F549" s="27" t="s">
        <v>59</v>
      </c>
      <c r="G549" s="27" t="s">
        <v>104</v>
      </c>
      <c r="H549" s="30" t="s">
        <v>106</v>
      </c>
      <c r="I549" s="31" t="s">
        <v>1499</v>
      </c>
      <c r="J549" s="30" t="s">
        <v>1500</v>
      </c>
      <c r="K549" s="27">
        <v>1</v>
      </c>
      <c r="L549" s="63">
        <v>2935</v>
      </c>
      <c r="M549" s="27"/>
      <c r="N549" s="31" t="s">
        <v>95</v>
      </c>
      <c r="O549" s="27"/>
      <c r="P549" s="30"/>
      <c r="Q549" s="30" t="s">
        <v>1520</v>
      </c>
      <c r="R549" s="26">
        <v>46226</v>
      </c>
      <c r="S549" s="26">
        <v>46227</v>
      </c>
      <c r="T549" s="31"/>
      <c r="U549" s="30" t="s">
        <v>68</v>
      </c>
      <c r="V549" s="34" t="s">
        <v>70</v>
      </c>
      <c r="W549" s="27" t="s">
        <v>284</v>
      </c>
      <c r="X549" s="30">
        <v>1</v>
      </c>
      <c r="Y549" s="30">
        <v>1</v>
      </c>
      <c r="Z549" s="30">
        <v>1</v>
      </c>
      <c r="AA549" s="30">
        <v>1</v>
      </c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6"/>
      <c r="AS549" s="36"/>
      <c r="AT549" s="36"/>
      <c r="AU549" s="36"/>
      <c r="AV549" s="36" t="s">
        <v>69</v>
      </c>
      <c r="AW549" s="36"/>
      <c r="AX549" s="36" t="s">
        <v>1521</v>
      </c>
      <c r="AY549" s="36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27"/>
      <c r="BL549" s="27"/>
    </row>
    <row r="550" spans="1:64">
      <c r="A550" s="68" t="s">
        <v>54</v>
      </c>
      <c r="B550" s="26">
        <v>46224</v>
      </c>
      <c r="C550" s="27"/>
      <c r="D550" s="27">
        <v>138780</v>
      </c>
      <c r="E550" s="27" t="s">
        <v>284</v>
      </c>
      <c r="F550" s="27" t="s">
        <v>59</v>
      </c>
      <c r="G550" s="27" t="s">
        <v>104</v>
      </c>
      <c r="H550" s="30" t="s">
        <v>170</v>
      </c>
      <c r="I550" s="31" t="s">
        <v>1487</v>
      </c>
      <c r="J550" s="30" t="s">
        <v>1488</v>
      </c>
      <c r="K550" s="27">
        <v>4</v>
      </c>
      <c r="L550" s="63">
        <v>31465</v>
      </c>
      <c r="M550" s="27"/>
      <c r="N550" s="31" t="s">
        <v>81</v>
      </c>
      <c r="O550" s="27"/>
      <c r="P550" s="30"/>
      <c r="Q550" s="30" t="s">
        <v>66</v>
      </c>
      <c r="R550" s="26">
        <v>46225</v>
      </c>
      <c r="S550" s="26">
        <v>46227</v>
      </c>
      <c r="T550" s="31"/>
      <c r="U550" s="30" t="s">
        <v>68</v>
      </c>
      <c r="V550" s="34" t="s">
        <v>70</v>
      </c>
      <c r="W550" s="27" t="s">
        <v>284</v>
      </c>
      <c r="X550" s="30">
        <v>1</v>
      </c>
      <c r="Y550" s="30">
        <v>1</v>
      </c>
      <c r="Z550" s="30">
        <v>1</v>
      </c>
      <c r="AA550" s="30">
        <v>1</v>
      </c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6"/>
      <c r="AS550" s="36"/>
      <c r="AT550" s="36"/>
      <c r="AU550" s="36"/>
      <c r="AV550" s="36" t="s">
        <v>1522</v>
      </c>
      <c r="AW550" s="36" t="s">
        <v>41</v>
      </c>
      <c r="AX550" s="36"/>
      <c r="AY550" s="36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27"/>
      <c r="BL550" s="27"/>
    </row>
    <row r="551" spans="1:64">
      <c r="A551" s="68" t="s">
        <v>54</v>
      </c>
      <c r="B551" s="26">
        <v>46224</v>
      </c>
      <c r="C551" s="27"/>
      <c r="D551" s="27">
        <v>138782</v>
      </c>
      <c r="E551" s="27" t="s">
        <v>284</v>
      </c>
      <c r="F551" s="27" t="s">
        <v>59</v>
      </c>
      <c r="G551" s="27" t="s">
        <v>104</v>
      </c>
      <c r="H551" s="30" t="s">
        <v>151</v>
      </c>
      <c r="I551" s="31" t="s">
        <v>1505</v>
      </c>
      <c r="J551" s="30" t="s">
        <v>1523</v>
      </c>
      <c r="K551" s="27">
        <v>2</v>
      </c>
      <c r="L551" s="27" t="s">
        <v>1524</v>
      </c>
      <c r="M551" s="27"/>
      <c r="N551" s="31" t="s">
        <v>81</v>
      </c>
      <c r="O551" s="27"/>
      <c r="P551" s="30"/>
      <c r="Q551" s="30" t="s">
        <v>1507</v>
      </c>
      <c r="R551" s="26">
        <v>46226</v>
      </c>
      <c r="S551" s="26">
        <v>46227</v>
      </c>
      <c r="T551" s="31"/>
      <c r="U551" s="30" t="s">
        <v>68</v>
      </c>
      <c r="V551" s="34" t="s">
        <v>70</v>
      </c>
      <c r="W551" s="27" t="s">
        <v>284</v>
      </c>
      <c r="X551" s="30">
        <v>1</v>
      </c>
      <c r="Y551" s="30">
        <v>1</v>
      </c>
      <c r="Z551" s="30">
        <v>1</v>
      </c>
      <c r="AA551" s="30">
        <v>1</v>
      </c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6"/>
      <c r="AS551" s="36"/>
      <c r="AT551" s="36"/>
      <c r="AU551" s="36"/>
      <c r="AV551" s="36" t="s">
        <v>1522</v>
      </c>
      <c r="AW551" s="36"/>
      <c r="AX551" s="36" t="s">
        <v>90</v>
      </c>
      <c r="AY551" s="36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27"/>
      <c r="BL551" s="27"/>
    </row>
    <row r="552" spans="1:64">
      <c r="A552" s="68" t="s">
        <v>54</v>
      </c>
      <c r="B552" s="26">
        <v>46224</v>
      </c>
      <c r="C552" s="27">
        <v>29980</v>
      </c>
      <c r="D552" s="27"/>
      <c r="E552" s="27" t="s">
        <v>58</v>
      </c>
      <c r="F552" s="27" t="s">
        <v>59</v>
      </c>
      <c r="G552" s="27" t="s">
        <v>60</v>
      </c>
      <c r="H552" s="30" t="s">
        <v>309</v>
      </c>
      <c r="I552" s="31" t="s">
        <v>1525</v>
      </c>
      <c r="J552" s="30" t="s">
        <v>1526</v>
      </c>
      <c r="K552" s="27">
        <v>35</v>
      </c>
      <c r="L552" s="27">
        <v>168</v>
      </c>
      <c r="M552" s="27"/>
      <c r="N552" s="31" t="s">
        <v>81</v>
      </c>
      <c r="O552" s="27"/>
      <c r="P552" s="30"/>
      <c r="Q552" s="30" t="s">
        <v>66</v>
      </c>
      <c r="R552" s="26">
        <v>46225</v>
      </c>
      <c r="S552" s="26">
        <v>46227</v>
      </c>
      <c r="T552" s="31"/>
      <c r="U552" s="30" t="s">
        <v>68</v>
      </c>
      <c r="V552" s="34" t="s">
        <v>70</v>
      </c>
      <c r="W552" s="27" t="s">
        <v>71</v>
      </c>
      <c r="X552" s="30">
        <v>1</v>
      </c>
      <c r="Y552" s="30">
        <v>1</v>
      </c>
      <c r="Z552" s="30">
        <v>1</v>
      </c>
      <c r="AA552" s="30">
        <v>1</v>
      </c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6"/>
      <c r="AS552" s="36"/>
      <c r="AT552" s="36"/>
      <c r="AU552" s="36"/>
      <c r="AV552" s="36" t="s">
        <v>1522</v>
      </c>
      <c r="AW552" s="36" t="s">
        <v>41</v>
      </c>
      <c r="AX552" s="36"/>
      <c r="AY552" s="36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27"/>
      <c r="BL552" s="27"/>
    </row>
    <row r="553" spans="1:64">
      <c r="A553" s="68" t="s">
        <v>187</v>
      </c>
      <c r="B553" s="26">
        <v>46224</v>
      </c>
      <c r="C553" s="27">
        <v>29981</v>
      </c>
      <c r="D553" s="27"/>
      <c r="E553" s="27" t="s">
        <v>58</v>
      </c>
      <c r="F553" s="27" t="s">
        <v>59</v>
      </c>
      <c r="G553" s="27" t="s">
        <v>60</v>
      </c>
      <c r="H553" s="30" t="s">
        <v>488</v>
      </c>
      <c r="I553" s="31" t="s">
        <v>1527</v>
      </c>
      <c r="J553" s="30" t="s">
        <v>1528</v>
      </c>
      <c r="K553" s="27">
        <v>25</v>
      </c>
      <c r="L553" s="27">
        <v>150</v>
      </c>
      <c r="M553" s="27"/>
      <c r="N553" s="31"/>
      <c r="O553" s="27" t="s">
        <v>1264</v>
      </c>
      <c r="P553" s="30"/>
      <c r="Q553" s="30"/>
      <c r="R553" s="27"/>
      <c r="S553" s="27"/>
      <c r="T553" s="31"/>
      <c r="U553" s="30" t="s">
        <v>419</v>
      </c>
      <c r="V553" s="34" t="s">
        <v>90</v>
      </c>
      <c r="W553" s="27" t="s">
        <v>71</v>
      </c>
      <c r="X553" s="30">
        <v>1</v>
      </c>
      <c r="Y553" s="30">
        <v>1</v>
      </c>
      <c r="Z553" s="30">
        <v>1</v>
      </c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6"/>
      <c r="AS553" s="36"/>
      <c r="AT553" s="36"/>
      <c r="AU553" s="36"/>
      <c r="AV553" s="36" t="s">
        <v>69</v>
      </c>
      <c r="AW553" s="36" t="s">
        <v>1529</v>
      </c>
      <c r="AX553" s="36"/>
      <c r="AY553" s="36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27"/>
      <c r="BL553" s="27"/>
    </row>
    <row r="554" spans="1:64">
      <c r="A554" s="68" t="s">
        <v>187</v>
      </c>
      <c r="B554" s="26">
        <v>46224</v>
      </c>
      <c r="C554" s="27">
        <v>29979</v>
      </c>
      <c r="D554" s="27"/>
      <c r="E554" s="27" t="s">
        <v>883</v>
      </c>
      <c r="F554" s="27" t="s">
        <v>59</v>
      </c>
      <c r="G554" s="27" t="s">
        <v>60</v>
      </c>
      <c r="H554" s="30" t="s">
        <v>493</v>
      </c>
      <c r="I554" s="31" t="s">
        <v>1530</v>
      </c>
      <c r="J554" s="30" t="s">
        <v>1531</v>
      </c>
      <c r="K554" s="27">
        <v>2</v>
      </c>
      <c r="L554" s="27">
        <v>35</v>
      </c>
      <c r="M554" s="27">
        <v>111</v>
      </c>
      <c r="N554" s="31"/>
      <c r="O554" s="27" t="s">
        <v>1532</v>
      </c>
      <c r="P554" s="30"/>
      <c r="Q554" s="30"/>
      <c r="R554" s="27"/>
      <c r="S554" s="27"/>
      <c r="T554" s="31"/>
      <c r="U554" s="30" t="s">
        <v>626</v>
      </c>
      <c r="V554" s="34" t="s">
        <v>627</v>
      </c>
      <c r="W554" s="27" t="s">
        <v>1266</v>
      </c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6"/>
      <c r="AS554" s="36"/>
      <c r="AT554" s="36"/>
      <c r="AU554" s="36"/>
      <c r="AV554" s="36" t="s">
        <v>69</v>
      </c>
      <c r="AW554" s="36" t="s">
        <v>1533</v>
      </c>
      <c r="AX554" s="36"/>
      <c r="AY554" s="36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27"/>
      <c r="BL554" s="27"/>
    </row>
    <row r="555" spans="1:64">
      <c r="A555" s="68" t="s">
        <v>54</v>
      </c>
      <c r="B555" s="26">
        <v>46224</v>
      </c>
      <c r="C555" s="27">
        <v>29689</v>
      </c>
      <c r="D555" s="27"/>
      <c r="E555" s="27" t="s">
        <v>133</v>
      </c>
      <c r="F555" s="27" t="s">
        <v>59</v>
      </c>
      <c r="G555" s="27" t="s">
        <v>28</v>
      </c>
      <c r="H555" s="30" t="s">
        <v>144</v>
      </c>
      <c r="I555" s="31" t="s">
        <v>1534</v>
      </c>
      <c r="J555" s="30" t="s">
        <v>1535</v>
      </c>
      <c r="K555" s="27">
        <v>6</v>
      </c>
      <c r="L555" s="27"/>
      <c r="M555" s="27"/>
      <c r="N555" s="31" t="s">
        <v>81</v>
      </c>
      <c r="O555" s="27"/>
      <c r="P555" s="30"/>
      <c r="Q555" s="30" t="s">
        <v>66</v>
      </c>
      <c r="R555" s="26">
        <v>46227</v>
      </c>
      <c r="S555" s="26">
        <v>46230</v>
      </c>
      <c r="T555" s="31" t="s">
        <v>148</v>
      </c>
      <c r="U555" s="30" t="s">
        <v>68</v>
      </c>
      <c r="V555" s="34" t="s">
        <v>70</v>
      </c>
      <c r="W555" s="27" t="s">
        <v>141</v>
      </c>
      <c r="X555" s="30">
        <v>1</v>
      </c>
      <c r="Y555" s="30">
        <v>1</v>
      </c>
      <c r="Z555" s="30">
        <v>1</v>
      </c>
      <c r="AA555" s="30">
        <v>1</v>
      </c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6"/>
      <c r="AS555" s="36"/>
      <c r="AT555" s="36"/>
      <c r="AU555" s="36"/>
      <c r="AV555" s="36" t="s">
        <v>69</v>
      </c>
      <c r="AW555" s="36"/>
      <c r="AX555" s="36" t="s">
        <v>81</v>
      </c>
      <c r="AY555" s="36" t="s">
        <v>41</v>
      </c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27"/>
      <c r="BL555" s="27"/>
    </row>
    <row r="556" spans="1:64">
      <c r="A556" s="68" t="s">
        <v>54</v>
      </c>
      <c r="B556" s="26">
        <v>46224</v>
      </c>
      <c r="C556" s="27">
        <v>29456</v>
      </c>
      <c r="D556" s="27"/>
      <c r="E556" s="27" t="s">
        <v>1536</v>
      </c>
      <c r="F556" s="27" t="s">
        <v>48</v>
      </c>
      <c r="G556" s="27" t="s">
        <v>110</v>
      </c>
      <c r="H556" s="30" t="s">
        <v>104</v>
      </c>
      <c r="I556" s="31" t="s">
        <v>425</v>
      </c>
      <c r="J556" s="30" t="s">
        <v>294</v>
      </c>
      <c r="K556" s="27">
        <v>40</v>
      </c>
      <c r="L556" s="27">
        <v>720</v>
      </c>
      <c r="M556" s="27"/>
      <c r="N556" s="31" t="s">
        <v>1537</v>
      </c>
      <c r="O556" s="27"/>
      <c r="P556" s="30"/>
      <c r="Q556" s="30" t="s">
        <v>1538</v>
      </c>
      <c r="R556" s="26">
        <v>46226</v>
      </c>
      <c r="S556" s="26">
        <v>46230</v>
      </c>
      <c r="T556" s="31"/>
      <c r="U556" s="30" t="s">
        <v>68</v>
      </c>
      <c r="V556" s="34" t="s">
        <v>70</v>
      </c>
      <c r="W556" s="27" t="s">
        <v>236</v>
      </c>
      <c r="X556" s="30">
        <v>1</v>
      </c>
      <c r="Y556" s="30">
        <v>1</v>
      </c>
      <c r="Z556" s="30">
        <v>1</v>
      </c>
      <c r="AA556" s="30">
        <v>1</v>
      </c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6"/>
      <c r="AS556" s="36"/>
      <c r="AT556" s="36"/>
      <c r="AU556" s="36"/>
      <c r="AV556" s="36" t="s">
        <v>1539</v>
      </c>
      <c r="AW556" s="36"/>
      <c r="AX556" s="36" t="s">
        <v>1540</v>
      </c>
      <c r="AY556" s="36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27"/>
      <c r="BL556" s="27"/>
    </row>
    <row r="557" spans="1:64">
      <c r="A557" s="68" t="s">
        <v>54</v>
      </c>
      <c r="B557" s="26">
        <v>46224</v>
      </c>
      <c r="C557" s="27">
        <v>29584</v>
      </c>
      <c r="D557" s="27"/>
      <c r="E557" s="27" t="s">
        <v>203</v>
      </c>
      <c r="F557" s="27" t="s">
        <v>59</v>
      </c>
      <c r="G557" s="27" t="s">
        <v>104</v>
      </c>
      <c r="H557" s="30" t="s">
        <v>28</v>
      </c>
      <c r="I557" s="31" t="s">
        <v>1237</v>
      </c>
      <c r="J557" s="30" t="s">
        <v>28</v>
      </c>
      <c r="K557" s="27">
        <v>1</v>
      </c>
      <c r="L557" s="27" t="s">
        <v>205</v>
      </c>
      <c r="M557" s="27"/>
      <c r="N557" s="31" t="s">
        <v>258</v>
      </c>
      <c r="O557" s="27"/>
      <c r="P557" s="30"/>
      <c r="Q557" s="30" t="s">
        <v>84</v>
      </c>
      <c r="R557" s="26">
        <v>46225</v>
      </c>
      <c r="S557" s="26">
        <v>46225</v>
      </c>
      <c r="T557" s="31"/>
      <c r="U557" s="30" t="s">
        <v>68</v>
      </c>
      <c r="V557" s="34" t="s">
        <v>70</v>
      </c>
      <c r="W557" s="27" t="s">
        <v>208</v>
      </c>
      <c r="X557" s="30">
        <v>1</v>
      </c>
      <c r="Y557" s="30">
        <v>1</v>
      </c>
      <c r="Z557" s="30">
        <v>1</v>
      </c>
      <c r="AA557" s="30">
        <v>1</v>
      </c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6"/>
      <c r="AS557" s="36"/>
      <c r="AT557" s="36"/>
      <c r="AU557" s="36"/>
      <c r="AV557" s="36" t="s">
        <v>878</v>
      </c>
      <c r="AW557" s="36" t="s">
        <v>1239</v>
      </c>
      <c r="AX557" s="36"/>
      <c r="AY557" s="36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27"/>
      <c r="BL557" s="27"/>
    </row>
    <row r="558" spans="1:64">
      <c r="A558" s="68" t="s">
        <v>54</v>
      </c>
      <c r="B558" s="26">
        <v>46224</v>
      </c>
      <c r="C558" s="27">
        <v>29868</v>
      </c>
      <c r="D558" s="27"/>
      <c r="E558" s="27" t="s">
        <v>203</v>
      </c>
      <c r="F558" s="27" t="s">
        <v>59</v>
      </c>
      <c r="G558" s="27" t="s">
        <v>104</v>
      </c>
      <c r="H558" s="30" t="s">
        <v>28</v>
      </c>
      <c r="I558" s="31" t="s">
        <v>651</v>
      </c>
      <c r="J558" s="30" t="s">
        <v>28</v>
      </c>
      <c r="K558" s="27">
        <v>1</v>
      </c>
      <c r="L558" s="27" t="s">
        <v>214</v>
      </c>
      <c r="M558" s="27"/>
      <c r="N558" s="31" t="s">
        <v>258</v>
      </c>
      <c r="O558" s="27"/>
      <c r="P558" s="30"/>
      <c r="Q558" s="30" t="s">
        <v>1541</v>
      </c>
      <c r="R558" s="26">
        <v>46225</v>
      </c>
      <c r="S558" s="26">
        <v>46225</v>
      </c>
      <c r="T558" s="31"/>
      <c r="U558" s="30" t="s">
        <v>68</v>
      </c>
      <c r="V558" s="34" t="s">
        <v>70</v>
      </c>
      <c r="W558" s="27" t="s">
        <v>208</v>
      </c>
      <c r="X558" s="30">
        <v>1</v>
      </c>
      <c r="Y558" s="30">
        <v>1</v>
      </c>
      <c r="Z558" s="30">
        <v>1</v>
      </c>
      <c r="AA558" s="30">
        <v>1</v>
      </c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6"/>
      <c r="AS558" s="36"/>
      <c r="AT558" s="36"/>
      <c r="AU558" s="36"/>
      <c r="AV558" s="36" t="s">
        <v>878</v>
      </c>
      <c r="AW558" s="36" t="s">
        <v>1239</v>
      </c>
      <c r="AX558" s="36"/>
      <c r="AY558" s="36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27"/>
      <c r="BL558" s="27"/>
    </row>
    <row r="559" spans="1:64">
      <c r="A559" s="68" t="s">
        <v>54</v>
      </c>
      <c r="B559" s="26">
        <v>46224</v>
      </c>
      <c r="C559" s="27">
        <v>29872</v>
      </c>
      <c r="D559" s="27"/>
      <c r="E559" s="27" t="s">
        <v>203</v>
      </c>
      <c r="F559" s="27" t="s">
        <v>59</v>
      </c>
      <c r="G559" s="27" t="s">
        <v>104</v>
      </c>
      <c r="H559" s="30" t="s">
        <v>106</v>
      </c>
      <c r="I559" s="31" t="s">
        <v>253</v>
      </c>
      <c r="J559" s="30" t="s">
        <v>106</v>
      </c>
      <c r="K559" s="27">
        <v>1</v>
      </c>
      <c r="L559" s="27" t="s">
        <v>205</v>
      </c>
      <c r="M559" s="27"/>
      <c r="N559" s="31" t="s">
        <v>95</v>
      </c>
      <c r="O559" s="27"/>
      <c r="P559" s="30"/>
      <c r="Q559" s="30" t="s">
        <v>434</v>
      </c>
      <c r="R559" s="26">
        <v>46226</v>
      </c>
      <c r="S559" s="26">
        <v>46227</v>
      </c>
      <c r="T559" s="31"/>
      <c r="U559" s="30" t="s">
        <v>68</v>
      </c>
      <c r="V559" s="34" t="s">
        <v>70</v>
      </c>
      <c r="W559" s="27" t="s">
        <v>208</v>
      </c>
      <c r="X559" s="30">
        <v>1</v>
      </c>
      <c r="Y559" s="30">
        <v>1</v>
      </c>
      <c r="Z559" s="30">
        <v>1</v>
      </c>
      <c r="AA559" s="30">
        <v>1</v>
      </c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6"/>
      <c r="AS559" s="36"/>
      <c r="AT559" s="36"/>
      <c r="AU559" s="36"/>
      <c r="AV559" s="36" t="s">
        <v>878</v>
      </c>
      <c r="AW559" s="36"/>
      <c r="AX559" s="36" t="s">
        <v>588</v>
      </c>
      <c r="AY559" s="36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27"/>
      <c r="BL559" s="27"/>
    </row>
    <row r="560" spans="1:64">
      <c r="A560" s="68" t="s">
        <v>54</v>
      </c>
      <c r="B560" s="26">
        <v>46224</v>
      </c>
      <c r="C560" s="27">
        <v>29579</v>
      </c>
      <c r="D560" s="27"/>
      <c r="E560" s="27" t="s">
        <v>203</v>
      </c>
      <c r="F560" s="27" t="s">
        <v>59</v>
      </c>
      <c r="G560" s="27" t="s">
        <v>104</v>
      </c>
      <c r="H560" s="30" t="s">
        <v>28</v>
      </c>
      <c r="I560" s="31" t="s">
        <v>1542</v>
      </c>
      <c r="J560" s="30" t="s">
        <v>28</v>
      </c>
      <c r="K560" s="27">
        <v>1</v>
      </c>
      <c r="L560" s="27" t="s">
        <v>205</v>
      </c>
      <c r="M560" s="27"/>
      <c r="N560" s="31" t="s">
        <v>384</v>
      </c>
      <c r="O560" s="27"/>
      <c r="P560" s="30"/>
      <c r="Q560" s="30" t="s">
        <v>1543</v>
      </c>
      <c r="R560" s="26">
        <v>46225</v>
      </c>
      <c r="S560" s="26">
        <v>46225</v>
      </c>
      <c r="T560" s="31"/>
      <c r="U560" s="30" t="s">
        <v>68</v>
      </c>
      <c r="V560" s="34" t="s">
        <v>70</v>
      </c>
      <c r="W560" s="27" t="s">
        <v>208</v>
      </c>
      <c r="X560" s="30">
        <v>1</v>
      </c>
      <c r="Y560" s="30">
        <v>1</v>
      </c>
      <c r="Z560" s="30">
        <v>1</v>
      </c>
      <c r="AA560" s="30">
        <v>1</v>
      </c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6"/>
      <c r="AS560" s="36"/>
      <c r="AT560" s="36"/>
      <c r="AU560" s="36"/>
      <c r="AV560" s="36" t="s">
        <v>878</v>
      </c>
      <c r="AW560" s="36" t="s">
        <v>387</v>
      </c>
      <c r="AX560" s="36"/>
      <c r="AY560" s="36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27"/>
      <c r="BL560" s="27"/>
    </row>
    <row r="561" spans="1:64">
      <c r="A561" s="68" t="s">
        <v>54</v>
      </c>
      <c r="B561" s="26">
        <v>46224</v>
      </c>
      <c r="C561" s="27">
        <v>29874</v>
      </c>
      <c r="D561" s="27"/>
      <c r="E561" s="27" t="s">
        <v>203</v>
      </c>
      <c r="F561" s="27" t="s">
        <v>59</v>
      </c>
      <c r="G561" s="27" t="s">
        <v>104</v>
      </c>
      <c r="H561" s="30" t="s">
        <v>106</v>
      </c>
      <c r="I561" s="31" t="s">
        <v>463</v>
      </c>
      <c r="J561" s="30" t="s">
        <v>106</v>
      </c>
      <c r="K561" s="27">
        <v>1</v>
      </c>
      <c r="L561" s="27" t="s">
        <v>205</v>
      </c>
      <c r="M561" s="27"/>
      <c r="N561" s="31" t="s">
        <v>95</v>
      </c>
      <c r="O561" s="27"/>
      <c r="P561" s="30"/>
      <c r="Q561" s="30" t="s">
        <v>434</v>
      </c>
      <c r="R561" s="26">
        <v>46226</v>
      </c>
      <c r="S561" s="26">
        <v>46227</v>
      </c>
      <c r="T561" s="31"/>
      <c r="U561" s="30" t="s">
        <v>68</v>
      </c>
      <c r="V561" s="34" t="s">
        <v>70</v>
      </c>
      <c r="W561" s="27" t="s">
        <v>208</v>
      </c>
      <c r="X561" s="30">
        <v>1</v>
      </c>
      <c r="Y561" s="30">
        <v>1</v>
      </c>
      <c r="Z561" s="30">
        <v>1</v>
      </c>
      <c r="AA561" s="30">
        <v>1</v>
      </c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6"/>
      <c r="AS561" s="36"/>
      <c r="AT561" s="36"/>
      <c r="AU561" s="36"/>
      <c r="AV561" s="36" t="s">
        <v>878</v>
      </c>
      <c r="AW561" s="36"/>
      <c r="AX561" s="36" t="s">
        <v>588</v>
      </c>
      <c r="AY561" s="36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27"/>
      <c r="BL561" s="27"/>
    </row>
    <row r="562" spans="1:64">
      <c r="A562" s="68" t="s">
        <v>54</v>
      </c>
      <c r="B562" s="26">
        <v>46224</v>
      </c>
      <c r="C562" s="27">
        <v>29583</v>
      </c>
      <c r="D562" s="27"/>
      <c r="E562" s="27" t="s">
        <v>212</v>
      </c>
      <c r="F562" s="27" t="s">
        <v>59</v>
      </c>
      <c r="G562" s="27" t="s">
        <v>104</v>
      </c>
      <c r="H562" s="30" t="s">
        <v>144</v>
      </c>
      <c r="I562" s="31" t="s">
        <v>829</v>
      </c>
      <c r="J562" s="30" t="s">
        <v>144</v>
      </c>
      <c r="K562" s="27">
        <v>1</v>
      </c>
      <c r="L562" s="27" t="s">
        <v>205</v>
      </c>
      <c r="M562" s="27"/>
      <c r="N562" s="31" t="s">
        <v>81</v>
      </c>
      <c r="O562" s="27"/>
      <c r="P562" s="30"/>
      <c r="Q562" s="30" t="s">
        <v>434</v>
      </c>
      <c r="R562" s="26">
        <v>46227</v>
      </c>
      <c r="S562" s="26">
        <v>46230</v>
      </c>
      <c r="T562" s="31"/>
      <c r="U562" s="30" t="s">
        <v>68</v>
      </c>
      <c r="V562" s="34" t="s">
        <v>70</v>
      </c>
      <c r="W562" s="27" t="s">
        <v>208</v>
      </c>
      <c r="X562" s="30">
        <v>1</v>
      </c>
      <c r="Y562" s="30">
        <v>1</v>
      </c>
      <c r="Z562" s="30">
        <v>1</v>
      </c>
      <c r="AA562" s="30">
        <v>1</v>
      </c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6"/>
      <c r="AS562" s="36"/>
      <c r="AT562" s="36"/>
      <c r="AU562" s="36"/>
      <c r="AV562" s="36" t="s">
        <v>878</v>
      </c>
      <c r="AW562" s="36"/>
      <c r="AX562" s="36" t="s">
        <v>81</v>
      </c>
      <c r="AY562" s="36" t="s">
        <v>41</v>
      </c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27"/>
      <c r="BL562" s="27"/>
    </row>
    <row r="563" spans="1:64">
      <c r="A563" s="68" t="s">
        <v>54</v>
      </c>
      <c r="B563" s="26">
        <v>46224</v>
      </c>
      <c r="C563" s="27">
        <v>29585</v>
      </c>
      <c r="D563" s="27"/>
      <c r="E563" s="27" t="s">
        <v>203</v>
      </c>
      <c r="F563" s="27" t="s">
        <v>59</v>
      </c>
      <c r="G563" s="27" t="s">
        <v>104</v>
      </c>
      <c r="H563" s="30" t="s">
        <v>106</v>
      </c>
      <c r="I563" s="31" t="s">
        <v>1353</v>
      </c>
      <c r="J563" s="30" t="s">
        <v>106</v>
      </c>
      <c r="K563" s="27">
        <v>1</v>
      </c>
      <c r="L563" s="27" t="s">
        <v>205</v>
      </c>
      <c r="M563" s="27"/>
      <c r="N563" s="31" t="s">
        <v>95</v>
      </c>
      <c r="O563" s="27"/>
      <c r="P563" s="30"/>
      <c r="Q563" s="30" t="s">
        <v>434</v>
      </c>
      <c r="R563" s="26">
        <v>46226</v>
      </c>
      <c r="S563" s="26">
        <v>46227</v>
      </c>
      <c r="T563" s="31"/>
      <c r="U563" s="30" t="s">
        <v>68</v>
      </c>
      <c r="V563" s="34" t="s">
        <v>70</v>
      </c>
      <c r="W563" s="27" t="s">
        <v>208</v>
      </c>
      <c r="X563" s="30"/>
      <c r="Y563" s="30"/>
      <c r="Z563" s="30"/>
      <c r="AA563" s="30">
        <v>1</v>
      </c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6"/>
      <c r="AS563" s="36"/>
      <c r="AT563" s="36"/>
      <c r="AU563" s="36"/>
      <c r="AV563" s="36" t="s">
        <v>878</v>
      </c>
      <c r="AW563" s="36"/>
      <c r="AX563" s="36" t="s">
        <v>1521</v>
      </c>
      <c r="AY563" s="71" t="s">
        <v>1544</v>
      </c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27"/>
      <c r="BL563" s="27"/>
    </row>
    <row r="564" spans="1:64">
      <c r="A564" s="68" t="s">
        <v>54</v>
      </c>
      <c r="B564" s="26">
        <v>46224</v>
      </c>
      <c r="C564" s="27">
        <v>29577</v>
      </c>
      <c r="D564" s="27"/>
      <c r="E564" s="27" t="s">
        <v>203</v>
      </c>
      <c r="F564" s="27" t="s">
        <v>59</v>
      </c>
      <c r="G564" s="27" t="s">
        <v>104</v>
      </c>
      <c r="H564" s="30" t="s">
        <v>175</v>
      </c>
      <c r="I564" s="31" t="s">
        <v>765</v>
      </c>
      <c r="J564" s="30" t="s">
        <v>175</v>
      </c>
      <c r="K564" s="27">
        <v>1</v>
      </c>
      <c r="L564" s="27" t="s">
        <v>214</v>
      </c>
      <c r="M564" s="27"/>
      <c r="N564" s="31" t="s">
        <v>81</v>
      </c>
      <c r="O564" s="27"/>
      <c r="P564" s="30"/>
      <c r="Q564" s="30" t="s">
        <v>66</v>
      </c>
      <c r="R564" s="26">
        <v>46228</v>
      </c>
      <c r="S564" s="26">
        <v>46230</v>
      </c>
      <c r="T564" s="31"/>
      <c r="U564" s="30" t="s">
        <v>68</v>
      </c>
      <c r="V564" s="34" t="s">
        <v>70</v>
      </c>
      <c r="W564" s="27" t="s">
        <v>208</v>
      </c>
      <c r="X564" s="30">
        <v>1</v>
      </c>
      <c r="Y564" s="30">
        <v>1</v>
      </c>
      <c r="Z564" s="30">
        <v>1</v>
      </c>
      <c r="AA564" s="30">
        <v>1</v>
      </c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6"/>
      <c r="AS564" s="36"/>
      <c r="AT564" s="36"/>
      <c r="AU564" s="36"/>
      <c r="AV564" s="36" t="s">
        <v>878</v>
      </c>
      <c r="AW564" s="36"/>
      <c r="AX564" s="36" t="s">
        <v>81</v>
      </c>
      <c r="AY564" s="36"/>
      <c r="AZ564" s="30" t="s">
        <v>41</v>
      </c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27"/>
      <c r="BL564" s="27"/>
    </row>
    <row r="565" spans="1:64">
      <c r="A565" s="68" t="s">
        <v>54</v>
      </c>
      <c r="B565" s="26">
        <v>46224</v>
      </c>
      <c r="C565" s="27">
        <v>29870</v>
      </c>
      <c r="D565" s="27"/>
      <c r="E565" s="27" t="s">
        <v>203</v>
      </c>
      <c r="F565" s="27" t="s">
        <v>59</v>
      </c>
      <c r="G565" s="27" t="s">
        <v>104</v>
      </c>
      <c r="H565" s="30" t="s">
        <v>757</v>
      </c>
      <c r="I565" s="31" t="s">
        <v>1545</v>
      </c>
      <c r="J565" s="30" t="s">
        <v>757</v>
      </c>
      <c r="K565" s="27">
        <v>1</v>
      </c>
      <c r="L565" s="27" t="s">
        <v>214</v>
      </c>
      <c r="M565" s="27"/>
      <c r="N565" s="31" t="s">
        <v>154</v>
      </c>
      <c r="O565" s="27"/>
      <c r="P565" s="30"/>
      <c r="Q565" s="30" t="s">
        <v>434</v>
      </c>
      <c r="R565" s="26">
        <v>46226</v>
      </c>
      <c r="S565" s="26">
        <v>46227</v>
      </c>
      <c r="T565" s="31"/>
      <c r="U565" s="30" t="s">
        <v>68</v>
      </c>
      <c r="V565" s="34" t="s">
        <v>70</v>
      </c>
      <c r="W565" s="27" t="s">
        <v>208</v>
      </c>
      <c r="X565" s="30"/>
      <c r="Y565" s="30"/>
      <c r="Z565" s="30"/>
      <c r="AA565" s="30">
        <v>1</v>
      </c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6"/>
      <c r="AS565" s="36"/>
      <c r="AT565" s="36"/>
      <c r="AU565" s="36"/>
      <c r="AV565" s="36" t="s">
        <v>878</v>
      </c>
      <c r="AW565" s="36"/>
      <c r="AX565" s="36" t="s">
        <v>449</v>
      </c>
      <c r="AY565" s="36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27"/>
      <c r="BL565" s="27"/>
    </row>
    <row r="566" spans="1:64">
      <c r="A566" s="68" t="s">
        <v>54</v>
      </c>
      <c r="B566" s="26">
        <v>46224</v>
      </c>
      <c r="C566" s="27">
        <v>29576</v>
      </c>
      <c r="D566" s="27"/>
      <c r="E566" s="27" t="s">
        <v>212</v>
      </c>
      <c r="F566" s="27" t="s">
        <v>59</v>
      </c>
      <c r="G566" s="27" t="s">
        <v>104</v>
      </c>
      <c r="H566" s="30" t="s">
        <v>175</v>
      </c>
      <c r="I566" s="31" t="s">
        <v>1352</v>
      </c>
      <c r="J566" s="30" t="s">
        <v>175</v>
      </c>
      <c r="K566" s="27">
        <v>1</v>
      </c>
      <c r="L566" s="27" t="s">
        <v>205</v>
      </c>
      <c r="M566" s="27"/>
      <c r="N566" s="31" t="s">
        <v>81</v>
      </c>
      <c r="O566" s="27"/>
      <c r="P566" s="30"/>
      <c r="Q566" s="30" t="s">
        <v>66</v>
      </c>
      <c r="R566" s="26">
        <v>46228</v>
      </c>
      <c r="S566" s="26">
        <v>46230</v>
      </c>
      <c r="T566" s="27"/>
      <c r="U566" s="30" t="s">
        <v>68</v>
      </c>
      <c r="V566" s="34" t="s">
        <v>70</v>
      </c>
      <c r="W566" s="27" t="s">
        <v>208</v>
      </c>
      <c r="X566" s="30">
        <v>1</v>
      </c>
      <c r="Y566" s="30">
        <v>1</v>
      </c>
      <c r="Z566" s="30">
        <v>1</v>
      </c>
      <c r="AA566" s="30">
        <v>1</v>
      </c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6"/>
      <c r="AS566" s="36"/>
      <c r="AT566" s="36"/>
      <c r="AU566" s="36"/>
      <c r="AV566" s="36" t="s">
        <v>878</v>
      </c>
      <c r="AW566" s="36"/>
      <c r="AX566" s="36" t="s">
        <v>81</v>
      </c>
      <c r="AY566" s="36"/>
      <c r="AZ566" s="30" t="s">
        <v>41</v>
      </c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27"/>
      <c r="BL566" s="27"/>
    </row>
    <row r="567" spans="1:64">
      <c r="A567" s="68" t="s">
        <v>54</v>
      </c>
      <c r="B567" s="26">
        <v>46224</v>
      </c>
      <c r="C567" s="27">
        <v>29875</v>
      </c>
      <c r="D567" s="27"/>
      <c r="E567" s="27" t="s">
        <v>203</v>
      </c>
      <c r="F567" s="27" t="s">
        <v>59</v>
      </c>
      <c r="G567" s="27" t="s">
        <v>104</v>
      </c>
      <c r="H567" s="30" t="s">
        <v>151</v>
      </c>
      <c r="I567" s="31" t="s">
        <v>277</v>
      </c>
      <c r="J567" s="30" t="s">
        <v>151</v>
      </c>
      <c r="K567" s="27">
        <v>1</v>
      </c>
      <c r="L567" s="27" t="s">
        <v>205</v>
      </c>
      <c r="M567" s="27"/>
      <c r="N567" s="31" t="s">
        <v>81</v>
      </c>
      <c r="O567" s="27"/>
      <c r="P567" s="30"/>
      <c r="Q567" s="30" t="s">
        <v>1546</v>
      </c>
      <c r="R567" s="26">
        <v>46226</v>
      </c>
      <c r="S567" s="26">
        <v>46227</v>
      </c>
      <c r="T567" s="31"/>
      <c r="U567" s="30" t="s">
        <v>68</v>
      </c>
      <c r="V567" s="34" t="s">
        <v>70</v>
      </c>
      <c r="W567" s="27" t="s">
        <v>208</v>
      </c>
      <c r="X567" s="30"/>
      <c r="Y567" s="30"/>
      <c r="Z567" s="30"/>
      <c r="AA567" s="30">
        <v>1</v>
      </c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6"/>
      <c r="AS567" s="36"/>
      <c r="AT567" s="36"/>
      <c r="AU567" s="36"/>
      <c r="AV567" s="36" t="s">
        <v>1547</v>
      </c>
      <c r="AW567" s="36"/>
      <c r="AX567" s="36"/>
      <c r="AY567" s="36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27"/>
      <c r="BL567" s="27"/>
    </row>
    <row r="568" spans="1:64">
      <c r="A568" s="68" t="s">
        <v>54</v>
      </c>
      <c r="B568" s="26">
        <v>46224</v>
      </c>
      <c r="C568" s="27">
        <v>29587</v>
      </c>
      <c r="D568" s="27"/>
      <c r="E568" s="27" t="s">
        <v>203</v>
      </c>
      <c r="F568" s="27" t="s">
        <v>59</v>
      </c>
      <c r="G568" s="27" t="s">
        <v>104</v>
      </c>
      <c r="H568" s="30" t="s">
        <v>151</v>
      </c>
      <c r="I568" s="31" t="s">
        <v>1548</v>
      </c>
      <c r="J568" s="30" t="s">
        <v>151</v>
      </c>
      <c r="K568" s="27">
        <v>1</v>
      </c>
      <c r="L568" s="27" t="s">
        <v>205</v>
      </c>
      <c r="M568" s="27"/>
      <c r="N568" s="31" t="s">
        <v>81</v>
      </c>
      <c r="O568" s="27"/>
      <c r="P568" s="30"/>
      <c r="Q568" s="30" t="s">
        <v>434</v>
      </c>
      <c r="R568" s="26">
        <v>46226</v>
      </c>
      <c r="S568" s="26">
        <v>46227</v>
      </c>
      <c r="T568" s="31"/>
      <c r="U568" s="30" t="s">
        <v>68</v>
      </c>
      <c r="V568" s="34" t="s">
        <v>70</v>
      </c>
      <c r="W568" s="27" t="s">
        <v>208</v>
      </c>
      <c r="X568" s="30"/>
      <c r="Y568" s="30"/>
      <c r="Z568" s="30"/>
      <c r="AA568" s="30">
        <v>1</v>
      </c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6"/>
      <c r="AS568" s="36"/>
      <c r="AT568" s="36"/>
      <c r="AU568" s="36"/>
      <c r="AV568" s="36" t="s">
        <v>1547</v>
      </c>
      <c r="AW568" s="36"/>
      <c r="AX568" s="36" t="s">
        <v>90</v>
      </c>
      <c r="AY568" s="36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27"/>
      <c r="BL568" s="27"/>
    </row>
    <row r="569" spans="1:64">
      <c r="A569" s="68" t="s">
        <v>54</v>
      </c>
      <c r="B569" s="26">
        <v>46224</v>
      </c>
      <c r="C569" s="27">
        <v>29869</v>
      </c>
      <c r="D569" s="27"/>
      <c r="E569" s="27" t="s">
        <v>203</v>
      </c>
      <c r="F569" s="27" t="s">
        <v>59</v>
      </c>
      <c r="G569" s="27" t="s">
        <v>104</v>
      </c>
      <c r="H569" s="30" t="s">
        <v>151</v>
      </c>
      <c r="I569" s="31" t="s">
        <v>638</v>
      </c>
      <c r="J569" s="30" t="s">
        <v>151</v>
      </c>
      <c r="K569" s="27">
        <v>1</v>
      </c>
      <c r="L569" s="27" t="s">
        <v>205</v>
      </c>
      <c r="M569" s="27"/>
      <c r="N569" s="31" t="s">
        <v>81</v>
      </c>
      <c r="O569" s="27"/>
      <c r="P569" s="30"/>
      <c r="Q569" s="30" t="s">
        <v>836</v>
      </c>
      <c r="R569" s="26">
        <v>46226</v>
      </c>
      <c r="S569" s="26">
        <v>46227</v>
      </c>
      <c r="T569" s="31"/>
      <c r="U569" s="30" t="s">
        <v>68</v>
      </c>
      <c r="V569" s="34" t="s">
        <v>70</v>
      </c>
      <c r="W569" s="27" t="s">
        <v>208</v>
      </c>
      <c r="X569" s="30"/>
      <c r="Y569" s="30"/>
      <c r="Z569" s="30"/>
      <c r="AA569" s="30">
        <v>1</v>
      </c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6"/>
      <c r="AS569" s="36"/>
      <c r="AT569" s="36"/>
      <c r="AU569" s="36"/>
      <c r="AV569" s="36" t="s">
        <v>1547</v>
      </c>
      <c r="AW569" s="36"/>
      <c r="AX569" s="36" t="s">
        <v>90</v>
      </c>
      <c r="AY569" s="36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27"/>
      <c r="BL569" s="27"/>
    </row>
    <row r="570" spans="1:64">
      <c r="A570" s="68" t="s">
        <v>54</v>
      </c>
      <c r="B570" s="26">
        <v>46224</v>
      </c>
      <c r="C570" s="27">
        <v>29586</v>
      </c>
      <c r="D570" s="27"/>
      <c r="E570" s="27" t="s">
        <v>203</v>
      </c>
      <c r="F570" s="27" t="s">
        <v>59</v>
      </c>
      <c r="G570" s="27" t="s">
        <v>104</v>
      </c>
      <c r="H570" s="30" t="s">
        <v>170</v>
      </c>
      <c r="I570" s="31" t="s">
        <v>210</v>
      </c>
      <c r="J570" s="30" t="s">
        <v>170</v>
      </c>
      <c r="K570" s="27">
        <v>1</v>
      </c>
      <c r="L570" s="27" t="s">
        <v>205</v>
      </c>
      <c r="M570" s="27"/>
      <c r="N570" s="31" t="s">
        <v>81</v>
      </c>
      <c r="O570" s="27"/>
      <c r="P570" s="30"/>
      <c r="Q570" s="30" t="s">
        <v>66</v>
      </c>
      <c r="R570" s="26">
        <v>46225</v>
      </c>
      <c r="S570" s="26">
        <v>46227</v>
      </c>
      <c r="T570" s="31"/>
      <c r="U570" s="30" t="s">
        <v>68</v>
      </c>
      <c r="V570" s="34" t="s">
        <v>70</v>
      </c>
      <c r="W570" s="27" t="s">
        <v>208</v>
      </c>
      <c r="X570" s="30">
        <v>1</v>
      </c>
      <c r="Y570" s="30">
        <v>1</v>
      </c>
      <c r="Z570" s="30">
        <v>1</v>
      </c>
      <c r="AA570" s="30">
        <v>1</v>
      </c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6"/>
      <c r="AS570" s="36"/>
      <c r="AT570" s="36"/>
      <c r="AU570" s="36"/>
      <c r="AV570" s="36" t="s">
        <v>1547</v>
      </c>
      <c r="AW570" s="36" t="s">
        <v>41</v>
      </c>
      <c r="AX570" s="36"/>
      <c r="AY570" s="36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27"/>
      <c r="BL570" s="27"/>
    </row>
    <row r="571" spans="1:64">
      <c r="A571" s="68" t="s">
        <v>54</v>
      </c>
      <c r="B571" s="26">
        <v>46224</v>
      </c>
      <c r="C571" s="27">
        <v>29873</v>
      </c>
      <c r="D571" s="27"/>
      <c r="E571" s="27" t="s">
        <v>203</v>
      </c>
      <c r="F571" s="27" t="s">
        <v>59</v>
      </c>
      <c r="G571" s="27" t="s">
        <v>104</v>
      </c>
      <c r="H571" s="30" t="s">
        <v>151</v>
      </c>
      <c r="I571" s="31" t="s">
        <v>1549</v>
      </c>
      <c r="J571" s="30" t="s">
        <v>151</v>
      </c>
      <c r="K571" s="27">
        <v>1</v>
      </c>
      <c r="L571" s="27" t="s">
        <v>214</v>
      </c>
      <c r="M571" s="27"/>
      <c r="N571" s="31" t="s">
        <v>81</v>
      </c>
      <c r="O571" s="27"/>
      <c r="P571" s="30"/>
      <c r="Q571" s="30" t="s">
        <v>278</v>
      </c>
      <c r="R571" s="26">
        <v>46226</v>
      </c>
      <c r="S571" s="27"/>
      <c r="T571" s="31"/>
      <c r="U571" s="30" t="s">
        <v>68</v>
      </c>
      <c r="V571" s="34" t="s">
        <v>70</v>
      </c>
      <c r="W571" s="27" t="s">
        <v>208</v>
      </c>
      <c r="X571" s="30"/>
      <c r="Y571" s="30"/>
      <c r="Z571" s="30"/>
      <c r="AA571" s="30">
        <v>1</v>
      </c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6"/>
      <c r="AS571" s="36"/>
      <c r="AT571" s="36"/>
      <c r="AU571" s="36"/>
      <c r="AV571" s="36" t="s">
        <v>1547</v>
      </c>
      <c r="AW571" s="36"/>
      <c r="AX571" s="36" t="s">
        <v>90</v>
      </c>
      <c r="AY571" s="36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27"/>
      <c r="BL571" s="27"/>
    </row>
    <row r="572" spans="1:64">
      <c r="A572" s="68" t="s">
        <v>54</v>
      </c>
      <c r="B572" s="26">
        <v>46224</v>
      </c>
      <c r="C572" s="27">
        <v>29578</v>
      </c>
      <c r="D572" s="27"/>
      <c r="E572" s="27" t="s">
        <v>203</v>
      </c>
      <c r="F572" s="27" t="s">
        <v>59</v>
      </c>
      <c r="G572" s="27" t="s">
        <v>104</v>
      </c>
      <c r="H572" s="30" t="s">
        <v>151</v>
      </c>
      <c r="I572" s="31" t="s">
        <v>1550</v>
      </c>
      <c r="J572" s="30" t="s">
        <v>151</v>
      </c>
      <c r="K572" s="27">
        <v>1</v>
      </c>
      <c r="L572" s="27" t="s">
        <v>214</v>
      </c>
      <c r="M572" s="27"/>
      <c r="N572" s="31" t="s">
        <v>81</v>
      </c>
      <c r="O572" s="27"/>
      <c r="P572" s="30"/>
      <c r="Q572" s="30" t="s">
        <v>1551</v>
      </c>
      <c r="R572" s="26">
        <v>46226</v>
      </c>
      <c r="S572" s="27"/>
      <c r="T572" s="31"/>
      <c r="U572" s="30" t="s">
        <v>68</v>
      </c>
      <c r="V572" s="34" t="s">
        <v>70</v>
      </c>
      <c r="W572" s="27" t="s">
        <v>208</v>
      </c>
      <c r="X572" s="30"/>
      <c r="Y572" s="30"/>
      <c r="Z572" s="30"/>
      <c r="AA572" s="30">
        <v>1</v>
      </c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6"/>
      <c r="AS572" s="36"/>
      <c r="AT572" s="36"/>
      <c r="AU572" s="36"/>
      <c r="AV572" s="36" t="s">
        <v>1547</v>
      </c>
      <c r="AW572" s="36"/>
      <c r="AX572" s="36" t="s">
        <v>90</v>
      </c>
      <c r="AY572" s="36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27"/>
      <c r="BL572" s="27"/>
    </row>
    <row r="573" spans="1:64">
      <c r="A573" s="68" t="s">
        <v>54</v>
      </c>
      <c r="B573" s="26">
        <v>46224</v>
      </c>
      <c r="C573" s="27">
        <v>29580</v>
      </c>
      <c r="D573" s="27"/>
      <c r="E573" s="27" t="s">
        <v>203</v>
      </c>
      <c r="F573" s="27" t="s">
        <v>59</v>
      </c>
      <c r="G573" s="27" t="s">
        <v>104</v>
      </c>
      <c r="H573" s="30" t="s">
        <v>60</v>
      </c>
      <c r="I573" s="31" t="s">
        <v>1365</v>
      </c>
      <c r="J573" s="30" t="s">
        <v>60</v>
      </c>
      <c r="K573" s="27">
        <v>1</v>
      </c>
      <c r="L573" s="27" t="s">
        <v>205</v>
      </c>
      <c r="M573" s="27"/>
      <c r="N573" s="31" t="s">
        <v>507</v>
      </c>
      <c r="O573" s="27"/>
      <c r="P573" s="30"/>
      <c r="Q573" s="30" t="s">
        <v>1552</v>
      </c>
      <c r="R573" s="26">
        <v>46225</v>
      </c>
      <c r="S573" s="26">
        <v>46226</v>
      </c>
      <c r="T573" s="31"/>
      <c r="U573" s="30" t="s">
        <v>68</v>
      </c>
      <c r="V573" s="34" t="s">
        <v>70</v>
      </c>
      <c r="W573" s="27" t="s">
        <v>208</v>
      </c>
      <c r="X573" s="30">
        <v>1</v>
      </c>
      <c r="Y573" s="30">
        <v>1</v>
      </c>
      <c r="Z573" s="30">
        <v>1</v>
      </c>
      <c r="AA573" s="30">
        <v>1</v>
      </c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6"/>
      <c r="AS573" s="36"/>
      <c r="AT573" s="36"/>
      <c r="AU573" s="36"/>
      <c r="AV573" s="36" t="s">
        <v>1553</v>
      </c>
      <c r="AW573" s="36" t="s">
        <v>41</v>
      </c>
      <c r="AX573" s="36"/>
      <c r="AY573" s="36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27"/>
      <c r="BL573" s="27"/>
    </row>
    <row r="574" spans="1:64">
      <c r="A574" s="68" t="s">
        <v>54</v>
      </c>
      <c r="B574" s="26">
        <v>46224</v>
      </c>
      <c r="C574" s="27">
        <v>29582</v>
      </c>
      <c r="D574" s="27"/>
      <c r="E574" s="27" t="s">
        <v>203</v>
      </c>
      <c r="F574" s="27" t="s">
        <v>59</v>
      </c>
      <c r="G574" s="27" t="s">
        <v>104</v>
      </c>
      <c r="H574" s="30" t="s">
        <v>60</v>
      </c>
      <c r="I574" s="31" t="s">
        <v>647</v>
      </c>
      <c r="J574" s="30" t="s">
        <v>60</v>
      </c>
      <c r="K574" s="27">
        <v>1</v>
      </c>
      <c r="L574" s="27" t="s">
        <v>205</v>
      </c>
      <c r="M574" s="27"/>
      <c r="N574" s="31" t="s">
        <v>507</v>
      </c>
      <c r="O574" s="27"/>
      <c r="P574" s="30"/>
      <c r="Q574" s="30" t="s">
        <v>66</v>
      </c>
      <c r="R574" s="26">
        <v>46225</v>
      </c>
      <c r="S574" s="26">
        <v>46226</v>
      </c>
      <c r="T574" s="31"/>
      <c r="U574" s="30" t="s">
        <v>68</v>
      </c>
      <c r="V574" s="34" t="s">
        <v>70</v>
      </c>
      <c r="W574" s="27" t="s">
        <v>208</v>
      </c>
      <c r="X574" s="30"/>
      <c r="Y574" s="30"/>
      <c r="Z574" s="30"/>
      <c r="AA574" s="30">
        <v>1</v>
      </c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6"/>
      <c r="AS574" s="36"/>
      <c r="AT574" s="36"/>
      <c r="AU574" s="36"/>
      <c r="AV574" s="36" t="s">
        <v>1553</v>
      </c>
      <c r="AW574" s="36"/>
      <c r="AX574" s="36"/>
      <c r="AY574" s="36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27"/>
      <c r="BL574" s="27"/>
    </row>
    <row r="575" spans="1:64">
      <c r="A575" s="68" t="s">
        <v>54</v>
      </c>
      <c r="B575" s="26">
        <v>46224</v>
      </c>
      <c r="C575" s="27">
        <v>29866</v>
      </c>
      <c r="D575" s="27"/>
      <c r="E575" s="27" t="s">
        <v>203</v>
      </c>
      <c r="F575" s="27" t="s">
        <v>59</v>
      </c>
      <c r="G575" s="27" t="s">
        <v>104</v>
      </c>
      <c r="H575" s="30" t="s">
        <v>60</v>
      </c>
      <c r="I575" s="31" t="s">
        <v>1554</v>
      </c>
      <c r="J575" s="30" t="s">
        <v>60</v>
      </c>
      <c r="K575" s="27">
        <v>1</v>
      </c>
      <c r="L575" s="27" t="s">
        <v>205</v>
      </c>
      <c r="M575" s="27"/>
      <c r="N575" s="31" t="s">
        <v>507</v>
      </c>
      <c r="O575" s="27"/>
      <c r="P575" s="30"/>
      <c r="Q575" s="30" t="s">
        <v>1555</v>
      </c>
      <c r="R575" s="26">
        <v>46225</v>
      </c>
      <c r="S575" s="26">
        <v>46226</v>
      </c>
      <c r="T575" s="31"/>
      <c r="U575" s="30" t="s">
        <v>68</v>
      </c>
      <c r="V575" s="34" t="s">
        <v>70</v>
      </c>
      <c r="W575" s="27" t="s">
        <v>208</v>
      </c>
      <c r="X575" s="30">
        <v>1</v>
      </c>
      <c r="Y575" s="30">
        <v>1</v>
      </c>
      <c r="Z575" s="30">
        <v>1</v>
      </c>
      <c r="AA575" s="30">
        <v>1</v>
      </c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6"/>
      <c r="AS575" s="36"/>
      <c r="AT575" s="36"/>
      <c r="AU575" s="36"/>
      <c r="AV575" s="36" t="s">
        <v>1553</v>
      </c>
      <c r="AW575" s="36" t="s">
        <v>41</v>
      </c>
      <c r="AX575" s="36"/>
      <c r="AY575" s="36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27"/>
      <c r="BL575" s="27"/>
    </row>
    <row r="576" spans="1:64">
      <c r="A576" s="68" t="s">
        <v>54</v>
      </c>
      <c r="B576" s="26">
        <v>46224</v>
      </c>
      <c r="C576" s="27">
        <v>29581</v>
      </c>
      <c r="D576" s="27"/>
      <c r="E576" s="27" t="s">
        <v>203</v>
      </c>
      <c r="F576" s="27" t="s">
        <v>59</v>
      </c>
      <c r="G576" s="27" t="s">
        <v>104</v>
      </c>
      <c r="H576" s="30" t="s">
        <v>170</v>
      </c>
      <c r="I576" s="31" t="s">
        <v>1556</v>
      </c>
      <c r="J576" s="30" t="s">
        <v>170</v>
      </c>
      <c r="K576" s="27">
        <v>1</v>
      </c>
      <c r="L576" s="27" t="s">
        <v>205</v>
      </c>
      <c r="M576" s="27"/>
      <c r="N576" s="31" t="s">
        <v>81</v>
      </c>
      <c r="O576" s="27"/>
      <c r="P576" s="30"/>
      <c r="Q576" s="30" t="s">
        <v>66</v>
      </c>
      <c r="R576" s="26">
        <v>46225</v>
      </c>
      <c r="S576" s="26">
        <v>46227</v>
      </c>
      <c r="T576" s="31"/>
      <c r="U576" s="30" t="s">
        <v>68</v>
      </c>
      <c r="V576" s="34" t="s">
        <v>70</v>
      </c>
      <c r="W576" s="27" t="s">
        <v>70</v>
      </c>
      <c r="X576" s="30">
        <v>1</v>
      </c>
      <c r="Y576" s="30">
        <v>1</v>
      </c>
      <c r="Z576" s="30">
        <v>1</v>
      </c>
      <c r="AA576" s="30">
        <v>1</v>
      </c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6"/>
      <c r="AS576" s="36"/>
      <c r="AT576" s="36"/>
      <c r="AU576" s="36"/>
      <c r="AV576" s="36" t="s">
        <v>1420</v>
      </c>
      <c r="AW576" s="36" t="s">
        <v>41</v>
      </c>
      <c r="AX576" s="36"/>
      <c r="AY576" s="36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27"/>
      <c r="BL576" s="27"/>
    </row>
    <row r="577" spans="1:64">
      <c r="A577" s="68" t="s">
        <v>54</v>
      </c>
      <c r="B577" s="26">
        <v>46224</v>
      </c>
      <c r="C577" s="27">
        <v>29867</v>
      </c>
      <c r="D577" s="27"/>
      <c r="E577" s="27" t="s">
        <v>203</v>
      </c>
      <c r="F577" s="27" t="s">
        <v>59</v>
      </c>
      <c r="G577" s="27" t="s">
        <v>104</v>
      </c>
      <c r="H577" s="30" t="s">
        <v>280</v>
      </c>
      <c r="I577" s="31" t="s">
        <v>1557</v>
      </c>
      <c r="J577" s="30" t="s">
        <v>635</v>
      </c>
      <c r="K577" s="27">
        <v>1</v>
      </c>
      <c r="L577" s="27" t="s">
        <v>214</v>
      </c>
      <c r="M577" s="27"/>
      <c r="N577" s="31" t="s">
        <v>81</v>
      </c>
      <c r="O577" s="27"/>
      <c r="P577" s="30"/>
      <c r="Q577" s="30" t="s">
        <v>1558</v>
      </c>
      <c r="R577" s="26">
        <v>46226</v>
      </c>
      <c r="S577" s="26">
        <v>46227</v>
      </c>
      <c r="T577" s="31"/>
      <c r="U577" s="30" t="s">
        <v>68</v>
      </c>
      <c r="V577" s="34" t="s">
        <v>70</v>
      </c>
      <c r="W577" s="27" t="s">
        <v>208</v>
      </c>
      <c r="X577" s="30"/>
      <c r="Y577" s="30"/>
      <c r="Z577" s="30"/>
      <c r="AA577" s="30">
        <v>1</v>
      </c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6"/>
      <c r="AS577" s="36"/>
      <c r="AT577" s="36"/>
      <c r="AU577" s="36"/>
      <c r="AV577" s="36" t="s">
        <v>1420</v>
      </c>
      <c r="AW577" s="36"/>
      <c r="AX577" s="36" t="s">
        <v>90</v>
      </c>
      <c r="AY577" s="36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27"/>
      <c r="BL577" s="27"/>
    </row>
    <row r="578" spans="1:64">
      <c r="A578" s="68" t="s">
        <v>54</v>
      </c>
      <c r="B578" s="26">
        <v>46224</v>
      </c>
      <c r="C578" s="27">
        <v>29871</v>
      </c>
      <c r="D578" s="27"/>
      <c r="E578" s="27" t="s">
        <v>203</v>
      </c>
      <c r="F578" s="27" t="s">
        <v>59</v>
      </c>
      <c r="G578" s="27" t="s">
        <v>104</v>
      </c>
      <c r="H578" s="30" t="s">
        <v>60</v>
      </c>
      <c r="I578" s="31" t="s">
        <v>1562</v>
      </c>
      <c r="J578" s="30" t="s">
        <v>60</v>
      </c>
      <c r="K578" s="27">
        <v>1</v>
      </c>
      <c r="L578" s="27" t="s">
        <v>214</v>
      </c>
      <c r="M578" s="27"/>
      <c r="N578" s="31" t="s">
        <v>507</v>
      </c>
      <c r="O578" s="27"/>
      <c r="P578" s="30"/>
      <c r="Q578" s="30" t="s">
        <v>1563</v>
      </c>
      <c r="R578" s="26">
        <v>46225</v>
      </c>
      <c r="S578" s="26">
        <v>46226</v>
      </c>
      <c r="T578" s="31"/>
      <c r="U578" s="30" t="s">
        <v>68</v>
      </c>
      <c r="V578" s="34" t="s">
        <v>70</v>
      </c>
      <c r="W578" s="27" t="s">
        <v>208</v>
      </c>
      <c r="X578" s="30">
        <v>1</v>
      </c>
      <c r="Y578" s="30">
        <v>1</v>
      </c>
      <c r="Z578" s="30">
        <v>1</v>
      </c>
      <c r="AA578" s="30">
        <v>1</v>
      </c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6"/>
      <c r="AS578" s="36"/>
      <c r="AT578" s="36"/>
      <c r="AU578" s="36"/>
      <c r="AV578" s="36" t="s">
        <v>1553</v>
      </c>
      <c r="AW578" s="36" t="s">
        <v>41</v>
      </c>
      <c r="AX578" s="36"/>
      <c r="AY578" s="36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27"/>
      <c r="BL578" s="27"/>
    </row>
    <row r="579" spans="1:64">
      <c r="A579" s="68" t="s">
        <v>54</v>
      </c>
      <c r="B579" s="26">
        <v>46224</v>
      </c>
      <c r="C579" s="27"/>
      <c r="D579" s="27">
        <v>44687</v>
      </c>
      <c r="E579" s="27" t="s">
        <v>574</v>
      </c>
      <c r="F579" s="27" t="s">
        <v>48</v>
      </c>
      <c r="G579" s="27" t="s">
        <v>110</v>
      </c>
      <c r="H579" s="30" t="s">
        <v>431</v>
      </c>
      <c r="I579" s="31" t="s">
        <v>1564</v>
      </c>
      <c r="J579" s="30" t="s">
        <v>1565</v>
      </c>
      <c r="K579" s="27">
        <v>3</v>
      </c>
      <c r="L579" s="27">
        <v>25</v>
      </c>
      <c r="M579" s="27" t="s">
        <v>1566</v>
      </c>
      <c r="N579" s="31" t="s">
        <v>455</v>
      </c>
      <c r="O579" s="27"/>
      <c r="P579" s="30"/>
      <c r="Q579" s="30" t="s">
        <v>66</v>
      </c>
      <c r="R579" s="26">
        <v>46227</v>
      </c>
      <c r="S579" s="26">
        <v>46230</v>
      </c>
      <c r="T579" s="31"/>
      <c r="U579" s="30" t="s">
        <v>68</v>
      </c>
      <c r="V579" s="34" t="s">
        <v>70</v>
      </c>
      <c r="W579" s="27" t="s">
        <v>284</v>
      </c>
      <c r="X579" s="30">
        <v>1</v>
      </c>
      <c r="Y579" s="30">
        <v>1</v>
      </c>
      <c r="Z579" s="30">
        <v>1</v>
      </c>
      <c r="AA579" s="30">
        <v>1</v>
      </c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6"/>
      <c r="AS579" s="36"/>
      <c r="AT579" s="36"/>
      <c r="AU579" s="36"/>
      <c r="AV579" s="36" t="s">
        <v>1567</v>
      </c>
      <c r="AW579" s="36"/>
      <c r="AX579" s="36" t="s">
        <v>1323</v>
      </c>
      <c r="AY579" s="36" t="s">
        <v>41</v>
      </c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27"/>
      <c r="BL579" s="27"/>
    </row>
    <row r="580" spans="1:64">
      <c r="A580" s="68" t="s">
        <v>54</v>
      </c>
      <c r="B580" s="26">
        <v>46224</v>
      </c>
      <c r="C580" s="27"/>
      <c r="D580" s="27">
        <v>139802</v>
      </c>
      <c r="E580" s="27" t="s">
        <v>574</v>
      </c>
      <c r="F580" s="27" t="s">
        <v>48</v>
      </c>
      <c r="G580" s="27" t="s">
        <v>110</v>
      </c>
      <c r="H580" s="30" t="s">
        <v>104</v>
      </c>
      <c r="I580" s="31" t="s">
        <v>1568</v>
      </c>
      <c r="J580" s="30" t="s">
        <v>1569</v>
      </c>
      <c r="K580" s="27">
        <v>27</v>
      </c>
      <c r="L580" s="27">
        <v>465</v>
      </c>
      <c r="M580" s="27"/>
      <c r="N580" s="31" t="s">
        <v>507</v>
      </c>
      <c r="O580" s="27"/>
      <c r="P580" s="30"/>
      <c r="Q580" s="30" t="s">
        <v>1570</v>
      </c>
      <c r="R580" s="26">
        <v>46226</v>
      </c>
      <c r="S580" s="26">
        <v>46227</v>
      </c>
      <c r="T580" s="31"/>
      <c r="U580" s="30" t="s">
        <v>68</v>
      </c>
      <c r="V580" s="34" t="s">
        <v>70</v>
      </c>
      <c r="W580" s="27" t="s">
        <v>284</v>
      </c>
      <c r="X580" s="30"/>
      <c r="Y580" s="30"/>
      <c r="Z580" s="30"/>
      <c r="AA580" s="30">
        <v>1</v>
      </c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6"/>
      <c r="AS580" s="36"/>
      <c r="AT580" s="36"/>
      <c r="AU580" s="36"/>
      <c r="AV580" s="36" t="s">
        <v>1567</v>
      </c>
      <c r="AW580" s="36"/>
      <c r="AX580" s="36" t="s">
        <v>1571</v>
      </c>
      <c r="AY580" s="36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27"/>
      <c r="BL580" s="27"/>
    </row>
    <row r="581" spans="1:64">
      <c r="A581" s="68" t="s">
        <v>54</v>
      </c>
      <c r="B581" s="26">
        <v>46224</v>
      </c>
      <c r="C581" s="65"/>
      <c r="D581" s="27">
        <v>30315</v>
      </c>
      <c r="E581" s="27" t="s">
        <v>574</v>
      </c>
      <c r="F581" s="27" t="s">
        <v>48</v>
      </c>
      <c r="G581" s="27" t="s">
        <v>110</v>
      </c>
      <c r="H581" s="30" t="s">
        <v>175</v>
      </c>
      <c r="I581" s="31" t="s">
        <v>1572</v>
      </c>
      <c r="J581" s="30" t="s">
        <v>1573</v>
      </c>
      <c r="K581" s="27">
        <v>1</v>
      </c>
      <c r="L581" s="27">
        <v>130</v>
      </c>
      <c r="M581" s="27">
        <v>167.04</v>
      </c>
      <c r="N581" s="65" t="s">
        <v>81</v>
      </c>
      <c r="O581" s="65"/>
      <c r="P581" s="65"/>
      <c r="Q581" s="65" t="s">
        <v>66</v>
      </c>
      <c r="R581" s="26">
        <v>46228</v>
      </c>
      <c r="S581" s="26">
        <v>46230</v>
      </c>
      <c r="T581" s="65"/>
      <c r="U581" s="30" t="s">
        <v>68</v>
      </c>
      <c r="V581" s="34" t="s">
        <v>70</v>
      </c>
      <c r="W581" s="27" t="s">
        <v>284</v>
      </c>
      <c r="X581" s="65">
        <v>1</v>
      </c>
      <c r="Y581" s="65">
        <v>1</v>
      </c>
      <c r="Z581" s="65">
        <v>1</v>
      </c>
      <c r="AA581" s="30">
        <v>1</v>
      </c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  <c r="AQ581" s="65"/>
      <c r="AR581" s="65"/>
      <c r="AS581" s="65"/>
      <c r="AT581" s="65"/>
      <c r="AU581" s="65"/>
      <c r="AV581" s="36" t="s">
        <v>1567</v>
      </c>
      <c r="AW581" s="65"/>
      <c r="AX581" s="36" t="s">
        <v>1522</v>
      </c>
      <c r="AY581" s="65"/>
      <c r="AZ581" s="65" t="s">
        <v>41</v>
      </c>
      <c r="BA581" s="65"/>
      <c r="BB581" s="65"/>
      <c r="BC581" s="65"/>
      <c r="BD581" s="65"/>
      <c r="BE581" s="65"/>
      <c r="BF581" s="65"/>
      <c r="BG581" s="65"/>
      <c r="BH581" s="65"/>
      <c r="BI581" s="65"/>
      <c r="BJ581" s="65"/>
      <c r="BK581" s="65"/>
      <c r="BL581" s="65"/>
    </row>
    <row r="582" spans="1:64">
      <c r="A582" s="68"/>
      <c r="B582" s="26">
        <v>46224</v>
      </c>
      <c r="C582" s="27">
        <v>29136</v>
      </c>
      <c r="D582" s="27"/>
      <c r="E582" s="27" t="s">
        <v>1574</v>
      </c>
      <c r="F582" s="27" t="s">
        <v>48</v>
      </c>
      <c r="G582" s="27" t="s">
        <v>110</v>
      </c>
      <c r="H582" s="30" t="s">
        <v>104</v>
      </c>
      <c r="I582" s="31" t="s">
        <v>425</v>
      </c>
      <c r="J582" s="30" t="s">
        <v>294</v>
      </c>
      <c r="K582" s="27">
        <v>107</v>
      </c>
      <c r="L582" s="27">
        <v>77</v>
      </c>
      <c r="M582" s="27" t="s">
        <v>1575</v>
      </c>
      <c r="N582" s="31" t="s">
        <v>154</v>
      </c>
      <c r="O582" s="27"/>
      <c r="P582" s="30"/>
      <c r="Q582" s="30" t="s">
        <v>66</v>
      </c>
      <c r="R582" s="26">
        <v>46230</v>
      </c>
      <c r="S582" s="26">
        <v>46231</v>
      </c>
      <c r="T582" s="31"/>
      <c r="U582" s="30" t="s">
        <v>68</v>
      </c>
      <c r="V582" s="34" t="s">
        <v>70</v>
      </c>
      <c r="W582" s="27" t="s">
        <v>236</v>
      </c>
      <c r="X582" s="30">
        <v>1</v>
      </c>
      <c r="Y582" s="30">
        <v>1</v>
      </c>
      <c r="Z582" s="30">
        <v>1</v>
      </c>
      <c r="AA582" s="30">
        <v>1</v>
      </c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6"/>
      <c r="AS582" s="36"/>
      <c r="AT582" s="36"/>
      <c r="AU582" s="36"/>
      <c r="AV582" s="36" t="s">
        <v>1576</v>
      </c>
      <c r="AW582" s="36"/>
      <c r="AX582" s="36"/>
      <c r="AY582" s="36"/>
      <c r="AZ582" s="30" t="s">
        <v>69</v>
      </c>
      <c r="BA582" s="30"/>
      <c r="BB582" s="30" t="s">
        <v>157</v>
      </c>
      <c r="BC582" s="30"/>
      <c r="BD582" s="30"/>
      <c r="BE582" s="30"/>
      <c r="BF582" s="30"/>
      <c r="BG582" s="30"/>
      <c r="BH582" s="30"/>
      <c r="BI582" s="30"/>
      <c r="BJ582" s="30"/>
      <c r="BK582" s="27"/>
      <c r="BL582" s="27"/>
    </row>
    <row r="583" spans="1:64">
      <c r="A583" s="68" t="s">
        <v>54</v>
      </c>
      <c r="B583" s="26">
        <v>46225</v>
      </c>
      <c r="C583" s="27"/>
      <c r="D583" s="27">
        <v>50013502</v>
      </c>
      <c r="E583" s="27" t="s">
        <v>333</v>
      </c>
      <c r="F583" s="27" t="s">
        <v>334</v>
      </c>
      <c r="G583" s="27" t="s">
        <v>28</v>
      </c>
      <c r="H583" s="30" t="s">
        <v>412</v>
      </c>
      <c r="I583" s="31" t="s">
        <v>1577</v>
      </c>
      <c r="J583" s="30" t="s">
        <v>1578</v>
      </c>
      <c r="K583" s="27">
        <v>2</v>
      </c>
      <c r="L583" s="27">
        <v>8</v>
      </c>
      <c r="M583" s="27"/>
      <c r="N583" s="31" t="s">
        <v>154</v>
      </c>
      <c r="O583" s="27"/>
      <c r="P583" s="30"/>
      <c r="Q583" s="30" t="s">
        <v>1579</v>
      </c>
      <c r="R583" s="26">
        <v>46227</v>
      </c>
      <c r="S583" s="26">
        <v>46230</v>
      </c>
      <c r="T583" s="31"/>
      <c r="U583" s="30" t="s">
        <v>68</v>
      </c>
      <c r="V583" s="34" t="s">
        <v>70</v>
      </c>
      <c r="W583" s="27" t="s">
        <v>336</v>
      </c>
      <c r="X583" s="30">
        <v>1</v>
      </c>
      <c r="Y583" s="30">
        <v>1</v>
      </c>
      <c r="Z583" s="30">
        <v>1</v>
      </c>
      <c r="AA583" s="30">
        <v>1</v>
      </c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6"/>
      <c r="AS583" s="36"/>
      <c r="AT583" s="36"/>
      <c r="AU583" s="36"/>
      <c r="AV583" s="36"/>
      <c r="AW583" s="36" t="s">
        <v>69</v>
      </c>
      <c r="AX583" s="36" t="s">
        <v>154</v>
      </c>
      <c r="AY583" s="36" t="s">
        <v>41</v>
      </c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27"/>
      <c r="BL583" s="27"/>
    </row>
    <row r="584" spans="1:64">
      <c r="A584" s="68" t="s">
        <v>54</v>
      </c>
      <c r="B584" s="26">
        <v>46225</v>
      </c>
      <c r="C584" s="27"/>
      <c r="D584" s="27">
        <v>50013499</v>
      </c>
      <c r="E584" s="27" t="s">
        <v>333</v>
      </c>
      <c r="F584" s="27" t="s">
        <v>334</v>
      </c>
      <c r="G584" s="27" t="s">
        <v>28</v>
      </c>
      <c r="H584" s="30" t="s">
        <v>57</v>
      </c>
      <c r="I584" s="31" t="s">
        <v>1580</v>
      </c>
      <c r="J584" s="30" t="s">
        <v>1581</v>
      </c>
      <c r="K584" s="27">
        <v>2</v>
      </c>
      <c r="L584" s="27">
        <v>8</v>
      </c>
      <c r="M584" s="27"/>
      <c r="N584" s="31" t="s">
        <v>81</v>
      </c>
      <c r="O584" s="27"/>
      <c r="P584" s="30"/>
      <c r="Q584" s="30" t="s">
        <v>1579</v>
      </c>
      <c r="R584" s="26">
        <v>46227</v>
      </c>
      <c r="S584" s="26">
        <v>46230</v>
      </c>
      <c r="T584" s="31"/>
      <c r="U584" s="30" t="s">
        <v>68</v>
      </c>
      <c r="V584" s="34" t="s">
        <v>70</v>
      </c>
      <c r="W584" s="27" t="s">
        <v>336</v>
      </c>
      <c r="X584" s="30">
        <v>1</v>
      </c>
      <c r="Y584" s="30">
        <v>1</v>
      </c>
      <c r="Z584" s="30">
        <v>1</v>
      </c>
      <c r="AA584" s="30">
        <v>1</v>
      </c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6"/>
      <c r="AS584" s="36"/>
      <c r="AT584" s="36"/>
      <c r="AU584" s="36"/>
      <c r="AV584" s="36"/>
      <c r="AW584" s="36" t="s">
        <v>69</v>
      </c>
      <c r="AX584" s="36" t="s">
        <v>81</v>
      </c>
      <c r="AY584" s="36" t="s">
        <v>41</v>
      </c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27"/>
      <c r="BL584" s="27"/>
    </row>
    <row r="585" spans="1:64">
      <c r="A585" s="68" t="s">
        <v>54</v>
      </c>
      <c r="B585" s="26">
        <v>46225</v>
      </c>
      <c r="C585" s="27">
        <v>5339</v>
      </c>
      <c r="D585" s="27"/>
      <c r="E585" s="27" t="s">
        <v>559</v>
      </c>
      <c r="F585" s="27" t="s">
        <v>185</v>
      </c>
      <c r="G585" s="27" t="s">
        <v>28</v>
      </c>
      <c r="H585" s="30" t="s">
        <v>60</v>
      </c>
      <c r="I585" s="31" t="s">
        <v>1582</v>
      </c>
      <c r="J585" s="30" t="s">
        <v>1583</v>
      </c>
      <c r="K585" s="27">
        <v>59</v>
      </c>
      <c r="L585" s="27"/>
      <c r="M585" s="27"/>
      <c r="N585" s="31" t="s">
        <v>154</v>
      </c>
      <c r="O585" s="27"/>
      <c r="P585" s="30"/>
      <c r="Q585" s="30" t="s">
        <v>434</v>
      </c>
      <c r="R585" s="26">
        <v>46226</v>
      </c>
      <c r="S585" s="26">
        <v>46227</v>
      </c>
      <c r="T585" s="31"/>
      <c r="U585" s="30" t="s">
        <v>68</v>
      </c>
      <c r="V585" s="34" t="s">
        <v>70</v>
      </c>
      <c r="W585" s="27" t="s">
        <v>563</v>
      </c>
      <c r="X585" s="30"/>
      <c r="Y585" s="30"/>
      <c r="Z585" s="30"/>
      <c r="AA585" s="30">
        <v>1</v>
      </c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6"/>
      <c r="AS585" s="36"/>
      <c r="AT585" s="36"/>
      <c r="AU585" s="36"/>
      <c r="AV585" s="36"/>
      <c r="AW585" s="36" t="s">
        <v>69</v>
      </c>
      <c r="AX585" s="36" t="s">
        <v>449</v>
      </c>
      <c r="AY585" s="36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27"/>
      <c r="BL585" s="27"/>
    </row>
    <row r="586" spans="1:64">
      <c r="A586" s="68" t="s">
        <v>54</v>
      </c>
      <c r="B586" s="26">
        <v>46225</v>
      </c>
      <c r="C586" s="27">
        <v>5340</v>
      </c>
      <c r="D586" s="27"/>
      <c r="E586" s="27" t="s">
        <v>559</v>
      </c>
      <c r="F586" s="27" t="s">
        <v>185</v>
      </c>
      <c r="G586" s="27" t="s">
        <v>28</v>
      </c>
      <c r="H586" s="30" t="s">
        <v>120</v>
      </c>
      <c r="I586" s="31" t="s">
        <v>1584</v>
      </c>
      <c r="J586" s="30" t="s">
        <v>1585</v>
      </c>
      <c r="K586" s="27">
        <v>76</v>
      </c>
      <c r="L586" s="27"/>
      <c r="M586" s="27"/>
      <c r="N586" s="31" t="s">
        <v>95</v>
      </c>
      <c r="O586" s="27"/>
      <c r="P586" s="30"/>
      <c r="Q586" s="30" t="s">
        <v>1586</v>
      </c>
      <c r="R586" s="26">
        <v>46226</v>
      </c>
      <c r="S586" s="26">
        <v>46227</v>
      </c>
      <c r="T586" s="31"/>
      <c r="U586" s="30" t="s">
        <v>68</v>
      </c>
      <c r="V586" s="34" t="s">
        <v>70</v>
      </c>
      <c r="W586" s="27" t="s">
        <v>563</v>
      </c>
      <c r="X586" s="30"/>
      <c r="Y586" s="30"/>
      <c r="Z586" s="30"/>
      <c r="AA586" s="30">
        <v>1</v>
      </c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6"/>
      <c r="AS586" s="36"/>
      <c r="AT586" s="36"/>
      <c r="AU586" s="36"/>
      <c r="AV586" s="36"/>
      <c r="AW586" s="36" t="s">
        <v>69</v>
      </c>
      <c r="AX586" s="36" t="s">
        <v>588</v>
      </c>
      <c r="AY586" s="36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27"/>
      <c r="BL586" s="27"/>
    </row>
    <row r="587" spans="1:64">
      <c r="A587" s="68" t="s">
        <v>54</v>
      </c>
      <c r="B587" s="26">
        <v>46225</v>
      </c>
      <c r="C587" s="27"/>
      <c r="D587" s="27">
        <v>138784</v>
      </c>
      <c r="E587" s="27" t="s">
        <v>574</v>
      </c>
      <c r="F587" s="27" t="s">
        <v>59</v>
      </c>
      <c r="G587" s="27" t="s">
        <v>104</v>
      </c>
      <c r="H587" s="30" t="s">
        <v>175</v>
      </c>
      <c r="I587" s="31" t="s">
        <v>1587</v>
      </c>
      <c r="J587" s="30" t="s">
        <v>1588</v>
      </c>
      <c r="K587" s="27">
        <v>6</v>
      </c>
      <c r="L587" s="63">
        <v>31825</v>
      </c>
      <c r="M587" s="27"/>
      <c r="N587" s="31" t="s">
        <v>81</v>
      </c>
      <c r="O587" s="27"/>
      <c r="P587" s="30"/>
      <c r="Q587" s="30" t="s">
        <v>66</v>
      </c>
      <c r="R587" s="26">
        <v>46228</v>
      </c>
      <c r="S587" s="26">
        <v>46230</v>
      </c>
      <c r="T587" s="31"/>
      <c r="U587" s="30" t="s">
        <v>68</v>
      </c>
      <c r="V587" s="34" t="s">
        <v>70</v>
      </c>
      <c r="W587" s="27" t="s">
        <v>284</v>
      </c>
      <c r="X587" s="30">
        <v>1</v>
      </c>
      <c r="Y587" s="30">
        <v>1</v>
      </c>
      <c r="Z587" s="30">
        <v>1</v>
      </c>
      <c r="AA587" s="30">
        <v>1</v>
      </c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6"/>
      <c r="AS587" s="36"/>
      <c r="AT587" s="36"/>
      <c r="AU587" s="36"/>
      <c r="AV587" s="36"/>
      <c r="AW587" s="36" t="s">
        <v>69</v>
      </c>
      <c r="AX587" s="36" t="s">
        <v>81</v>
      </c>
      <c r="AY587" s="36"/>
      <c r="AZ587" s="30" t="s">
        <v>41</v>
      </c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27"/>
      <c r="BL587" s="27"/>
    </row>
    <row r="588" spans="1:64">
      <c r="A588" s="68" t="s">
        <v>54</v>
      </c>
      <c r="B588" s="26">
        <v>46225</v>
      </c>
      <c r="C588" s="27"/>
      <c r="D588" s="27">
        <v>138785</v>
      </c>
      <c r="E588" s="27" t="s">
        <v>574</v>
      </c>
      <c r="F588" s="27" t="s">
        <v>59</v>
      </c>
      <c r="G588" s="27" t="s">
        <v>104</v>
      </c>
      <c r="H588" s="30" t="s">
        <v>144</v>
      </c>
      <c r="I588" s="31" t="s">
        <v>1589</v>
      </c>
      <c r="J588" s="30" t="s">
        <v>1590</v>
      </c>
      <c r="K588" s="27">
        <v>1</v>
      </c>
      <c r="L588" s="63">
        <v>5170</v>
      </c>
      <c r="M588" s="27"/>
      <c r="N588" s="31" t="s">
        <v>81</v>
      </c>
      <c r="O588" s="27"/>
      <c r="P588" s="30"/>
      <c r="Q588" s="30" t="s">
        <v>66</v>
      </c>
      <c r="R588" s="26">
        <v>46227</v>
      </c>
      <c r="S588" s="26">
        <v>46230</v>
      </c>
      <c r="T588" s="31"/>
      <c r="U588" s="30" t="s">
        <v>68</v>
      </c>
      <c r="V588" s="34" t="s">
        <v>70</v>
      </c>
      <c r="W588" s="27" t="s">
        <v>284</v>
      </c>
      <c r="X588" s="30">
        <v>1</v>
      </c>
      <c r="Y588" s="30">
        <v>1</v>
      </c>
      <c r="Z588" s="30">
        <v>1</v>
      </c>
      <c r="AA588" s="30">
        <v>1</v>
      </c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6"/>
      <c r="AS588" s="36"/>
      <c r="AT588" s="36"/>
      <c r="AU588" s="36"/>
      <c r="AV588" s="36"/>
      <c r="AW588" s="36" t="s">
        <v>69</v>
      </c>
      <c r="AX588" s="36" t="s">
        <v>81</v>
      </c>
      <c r="AY588" s="36" t="s">
        <v>41</v>
      </c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27"/>
      <c r="BL588" s="27"/>
    </row>
    <row r="589" spans="1:64">
      <c r="A589" s="68" t="s">
        <v>54</v>
      </c>
      <c r="B589" s="26">
        <v>46225</v>
      </c>
      <c r="C589" s="27"/>
      <c r="D589" s="27">
        <v>138787</v>
      </c>
      <c r="E589" s="27" t="s">
        <v>574</v>
      </c>
      <c r="F589" s="27" t="s">
        <v>59</v>
      </c>
      <c r="G589" s="27" t="s">
        <v>104</v>
      </c>
      <c r="H589" s="30" t="s">
        <v>151</v>
      </c>
      <c r="I589" s="31" t="s">
        <v>1591</v>
      </c>
      <c r="J589" s="30" t="s">
        <v>1592</v>
      </c>
      <c r="K589" s="27">
        <v>1</v>
      </c>
      <c r="L589" s="27" t="s">
        <v>1593</v>
      </c>
      <c r="M589" s="27"/>
      <c r="N589" s="31" t="s">
        <v>455</v>
      </c>
      <c r="O589" s="27"/>
      <c r="P589" s="30"/>
      <c r="Q589" s="30" t="s">
        <v>66</v>
      </c>
      <c r="R589" s="26">
        <v>46227</v>
      </c>
      <c r="S589" s="26">
        <v>46230</v>
      </c>
      <c r="T589" s="31"/>
      <c r="U589" s="30" t="s">
        <v>68</v>
      </c>
      <c r="V589" s="34" t="s">
        <v>70</v>
      </c>
      <c r="W589" s="27" t="s">
        <v>284</v>
      </c>
      <c r="X589" s="30">
        <v>1</v>
      </c>
      <c r="Y589" s="30">
        <v>1</v>
      </c>
      <c r="Z589" s="30">
        <v>1</v>
      </c>
      <c r="AA589" s="30">
        <v>1</v>
      </c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6"/>
      <c r="AS589" s="36"/>
      <c r="AT589" s="36"/>
      <c r="AU589" s="36"/>
      <c r="AV589" s="36"/>
      <c r="AW589" s="36" t="s">
        <v>69</v>
      </c>
      <c r="AX589" s="36" t="s">
        <v>455</v>
      </c>
      <c r="AY589" s="36" t="s">
        <v>41</v>
      </c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27"/>
      <c r="BL589" s="27"/>
    </row>
    <row r="590" spans="1:64">
      <c r="A590" s="68" t="s">
        <v>54</v>
      </c>
      <c r="B590" s="26">
        <v>46225</v>
      </c>
      <c r="C590" s="27"/>
      <c r="D590" s="27">
        <v>138788</v>
      </c>
      <c r="E590" s="27" t="s">
        <v>574</v>
      </c>
      <c r="F590" s="27" t="s">
        <v>59</v>
      </c>
      <c r="G590" s="27" t="s">
        <v>104</v>
      </c>
      <c r="H590" s="30" t="s">
        <v>106</v>
      </c>
      <c r="I590" s="31" t="s">
        <v>1499</v>
      </c>
      <c r="J590" s="30" t="s">
        <v>1594</v>
      </c>
      <c r="K590" s="27">
        <v>2</v>
      </c>
      <c r="L590" s="27">
        <v>16</v>
      </c>
      <c r="M590" s="27"/>
      <c r="N590" s="31" t="s">
        <v>95</v>
      </c>
      <c r="O590" s="27"/>
      <c r="P590" s="30"/>
      <c r="Q590" s="30" t="s">
        <v>1520</v>
      </c>
      <c r="R590" s="26">
        <v>46226</v>
      </c>
      <c r="S590" s="26">
        <v>46227</v>
      </c>
      <c r="T590" s="31"/>
      <c r="U590" s="30" t="s">
        <v>68</v>
      </c>
      <c r="V590" s="34" t="s">
        <v>70</v>
      </c>
      <c r="W590" s="27" t="s">
        <v>284</v>
      </c>
      <c r="X590" s="30"/>
      <c r="Y590" s="30"/>
      <c r="Z590" s="30"/>
      <c r="AA590" s="30">
        <v>1</v>
      </c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6"/>
      <c r="AS590" s="36"/>
      <c r="AT590" s="36"/>
      <c r="AU590" s="36"/>
      <c r="AV590" s="36"/>
      <c r="AW590" s="36" t="s">
        <v>69</v>
      </c>
      <c r="AX590" s="36" t="s">
        <v>1521</v>
      </c>
      <c r="AY590" s="36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27"/>
      <c r="BL590" s="27"/>
    </row>
    <row r="591" spans="1:64">
      <c r="A591" s="68" t="s">
        <v>54</v>
      </c>
      <c r="B591" s="26">
        <v>46225</v>
      </c>
      <c r="C591" s="27">
        <v>29694</v>
      </c>
      <c r="D591" s="27" t="s">
        <v>1595</v>
      </c>
      <c r="E591" s="27" t="s">
        <v>101</v>
      </c>
      <c r="F591" s="27" t="s">
        <v>59</v>
      </c>
      <c r="G591" s="27" t="s">
        <v>104</v>
      </c>
      <c r="H591" s="30" t="s">
        <v>144</v>
      </c>
      <c r="I591" s="31" t="s">
        <v>690</v>
      </c>
      <c r="J591" s="30" t="s">
        <v>1337</v>
      </c>
      <c r="K591" s="27">
        <v>110</v>
      </c>
      <c r="L591" s="27">
        <v>222</v>
      </c>
      <c r="M591" s="27"/>
      <c r="N591" s="31" t="s">
        <v>81</v>
      </c>
      <c r="O591" s="27"/>
      <c r="P591" s="30"/>
      <c r="Q591" s="30" t="s">
        <v>66</v>
      </c>
      <c r="R591" s="26">
        <v>46227</v>
      </c>
      <c r="S591" s="26">
        <v>46230</v>
      </c>
      <c r="T591" s="31">
        <v>55000</v>
      </c>
      <c r="U591" s="30" t="s">
        <v>68</v>
      </c>
      <c r="V591" s="34" t="s">
        <v>70</v>
      </c>
      <c r="W591" s="27" t="s">
        <v>101</v>
      </c>
      <c r="X591" s="30">
        <v>1</v>
      </c>
      <c r="Y591" s="30">
        <v>1</v>
      </c>
      <c r="Z591" s="30">
        <v>1</v>
      </c>
      <c r="AA591" s="30">
        <v>1</v>
      </c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6"/>
      <c r="AS591" s="36"/>
      <c r="AT591" s="36"/>
      <c r="AU591" s="36"/>
      <c r="AV591" s="36"/>
      <c r="AW591" s="36" t="s">
        <v>69</v>
      </c>
      <c r="AX591" s="36" t="s">
        <v>81</v>
      </c>
      <c r="AY591" s="36" t="s">
        <v>41</v>
      </c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27"/>
      <c r="BL591" s="27"/>
    </row>
    <row r="592" spans="1:64">
      <c r="A592" s="68" t="s">
        <v>187</v>
      </c>
      <c r="B592" s="26">
        <v>46225</v>
      </c>
      <c r="C592" s="27">
        <v>29983</v>
      </c>
      <c r="D592" s="27"/>
      <c r="E592" s="27" t="s">
        <v>1596</v>
      </c>
      <c r="F592" s="27" t="s">
        <v>59</v>
      </c>
      <c r="G592" s="27" t="s">
        <v>60</v>
      </c>
      <c r="H592" s="31" t="s">
        <v>189</v>
      </c>
      <c r="I592" s="31" t="s">
        <v>1597</v>
      </c>
      <c r="J592" s="30" t="s">
        <v>1598</v>
      </c>
      <c r="K592" s="27">
        <v>10</v>
      </c>
      <c r="L592" s="27"/>
      <c r="M592" s="27"/>
      <c r="N592" s="31" t="s">
        <v>154</v>
      </c>
      <c r="O592" s="27"/>
      <c r="P592" s="30"/>
      <c r="Q592" s="30" t="s">
        <v>66</v>
      </c>
      <c r="R592" s="26">
        <v>46228</v>
      </c>
      <c r="S592" s="26">
        <v>46230</v>
      </c>
      <c r="T592" s="31"/>
      <c r="U592" s="30" t="s">
        <v>68</v>
      </c>
      <c r="V592" s="34" t="s">
        <v>70</v>
      </c>
      <c r="W592" s="27" t="s">
        <v>71</v>
      </c>
      <c r="X592" s="30">
        <v>1</v>
      </c>
      <c r="Y592" s="30">
        <v>1</v>
      </c>
      <c r="Z592" s="30">
        <v>1</v>
      </c>
      <c r="AA592" s="30">
        <v>1</v>
      </c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6"/>
      <c r="AS592" s="36"/>
      <c r="AT592" s="36"/>
      <c r="AU592" s="36"/>
      <c r="AV592" s="36"/>
      <c r="AW592" s="36" t="s">
        <v>69</v>
      </c>
      <c r="AX592" s="36" t="s">
        <v>154</v>
      </c>
      <c r="AY592" s="36" t="s">
        <v>41</v>
      </c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27"/>
      <c r="BL592" s="27"/>
    </row>
    <row r="593" spans="1:64">
      <c r="A593" s="68" t="s">
        <v>54</v>
      </c>
      <c r="B593" s="26">
        <v>46225</v>
      </c>
      <c r="C593" s="27">
        <v>29984</v>
      </c>
      <c r="D593" s="27"/>
      <c r="E593" s="27" t="s">
        <v>1596</v>
      </c>
      <c r="F593" s="27" t="s">
        <v>59</v>
      </c>
      <c r="G593" s="27" t="s">
        <v>60</v>
      </c>
      <c r="H593" s="31" t="s">
        <v>170</v>
      </c>
      <c r="I593" s="31" t="s">
        <v>1599</v>
      </c>
      <c r="J593" s="30" t="s">
        <v>170</v>
      </c>
      <c r="K593" s="27">
        <v>3</v>
      </c>
      <c r="L593" s="27">
        <v>18</v>
      </c>
      <c r="M593" s="27"/>
      <c r="N593" s="31" t="s">
        <v>455</v>
      </c>
      <c r="O593" s="27"/>
      <c r="P593" s="30"/>
      <c r="Q593" s="30" t="s">
        <v>434</v>
      </c>
      <c r="R593" s="26">
        <v>46228</v>
      </c>
      <c r="S593" s="26">
        <v>46230</v>
      </c>
      <c r="T593" s="31"/>
      <c r="U593" s="30" t="s">
        <v>68</v>
      </c>
      <c r="V593" s="34" t="s">
        <v>70</v>
      </c>
      <c r="W593" s="27" t="s">
        <v>71</v>
      </c>
      <c r="X593" s="30"/>
      <c r="Y593" s="30"/>
      <c r="Z593" s="30"/>
      <c r="AA593" s="30">
        <v>1</v>
      </c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6"/>
      <c r="AS593" s="36"/>
      <c r="AT593" s="36"/>
      <c r="AU593" s="36"/>
      <c r="AV593" s="36"/>
      <c r="AW593" s="36" t="s">
        <v>69</v>
      </c>
      <c r="AX593" s="36" t="s">
        <v>455</v>
      </c>
      <c r="AY593" s="36"/>
      <c r="AZ593" s="30" t="s">
        <v>90</v>
      </c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27"/>
      <c r="BL593" s="27"/>
    </row>
    <row r="594" spans="1:64">
      <c r="A594" s="68" t="s">
        <v>54</v>
      </c>
      <c r="B594" s="26">
        <v>46225</v>
      </c>
      <c r="C594" s="27">
        <v>29985</v>
      </c>
      <c r="D594" s="27"/>
      <c r="E594" s="27" t="s">
        <v>1596</v>
      </c>
      <c r="F594" s="27" t="s">
        <v>59</v>
      </c>
      <c r="G594" s="27" t="s">
        <v>60</v>
      </c>
      <c r="H594" s="31" t="s">
        <v>435</v>
      </c>
      <c r="I594" s="31" t="s">
        <v>1600</v>
      </c>
      <c r="J594" s="30"/>
      <c r="K594" s="27">
        <v>6</v>
      </c>
      <c r="L594" s="27">
        <v>35</v>
      </c>
      <c r="M594" s="27"/>
      <c r="N594" s="31" t="s">
        <v>81</v>
      </c>
      <c r="O594" s="27"/>
      <c r="P594" s="30"/>
      <c r="Q594" s="30" t="s">
        <v>66</v>
      </c>
      <c r="R594" s="26">
        <v>46231</v>
      </c>
      <c r="S594" s="27"/>
      <c r="T594" s="31"/>
      <c r="U594" s="30" t="s">
        <v>68</v>
      </c>
      <c r="V594" s="34" t="s">
        <v>70</v>
      </c>
      <c r="W594" s="27" t="s">
        <v>71</v>
      </c>
      <c r="X594" s="30">
        <v>1</v>
      </c>
      <c r="Y594" s="30">
        <v>1</v>
      </c>
      <c r="Z594" s="30">
        <v>1</v>
      </c>
      <c r="AA594" s="30">
        <v>1</v>
      </c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6"/>
      <c r="AS594" s="36"/>
      <c r="AT594" s="36"/>
      <c r="AU594" s="36"/>
      <c r="AV594" s="36"/>
      <c r="AW594" s="36" t="s">
        <v>69</v>
      </c>
      <c r="AX594" s="36"/>
      <c r="AY594" s="36"/>
      <c r="AZ594" s="30"/>
      <c r="BA594" s="30"/>
      <c r="BB594" s="30" t="s">
        <v>81</v>
      </c>
      <c r="BC594" s="30" t="s">
        <v>41</v>
      </c>
      <c r="BD594" s="30"/>
      <c r="BE594" s="30"/>
      <c r="BF594" s="30"/>
      <c r="BG594" s="30"/>
      <c r="BH594" s="30"/>
      <c r="BI594" s="30"/>
      <c r="BJ594" s="30"/>
      <c r="BK594" s="27"/>
      <c r="BL594" s="27"/>
    </row>
    <row r="595" spans="1:64">
      <c r="A595" s="68" t="s">
        <v>187</v>
      </c>
      <c r="B595" s="26">
        <v>46225</v>
      </c>
      <c r="C595" s="27">
        <v>29692</v>
      </c>
      <c r="D595" s="27"/>
      <c r="E595" s="27" t="s">
        <v>367</v>
      </c>
      <c r="F595" s="27" t="s">
        <v>59</v>
      </c>
      <c r="G595" s="27" t="s">
        <v>104</v>
      </c>
      <c r="H595" s="30" t="s">
        <v>622</v>
      </c>
      <c r="I595" s="31" t="s">
        <v>1288</v>
      </c>
      <c r="J595" s="30" t="s">
        <v>1408</v>
      </c>
      <c r="K595" s="27">
        <v>10</v>
      </c>
      <c r="L595" s="27">
        <v>350</v>
      </c>
      <c r="M595" s="27"/>
      <c r="N595" s="31"/>
      <c r="O595" s="27" t="s">
        <v>272</v>
      </c>
      <c r="P595" s="30"/>
      <c r="Q595" s="30"/>
      <c r="R595" s="27"/>
      <c r="S595" s="27"/>
      <c r="T595" s="31"/>
      <c r="U595" s="30" t="s">
        <v>626</v>
      </c>
      <c r="V595" s="34" t="s">
        <v>627</v>
      </c>
      <c r="W595" s="27" t="s">
        <v>320</v>
      </c>
      <c r="X595" s="30">
        <v>3</v>
      </c>
      <c r="Y595" s="30">
        <v>3</v>
      </c>
      <c r="Z595" s="30">
        <v>3</v>
      </c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6"/>
      <c r="AS595" s="36"/>
      <c r="AT595" s="36"/>
      <c r="AU595" s="36"/>
      <c r="AV595" s="36"/>
      <c r="AW595" s="36" t="s">
        <v>69</v>
      </c>
      <c r="AX595" s="36" t="s">
        <v>504</v>
      </c>
      <c r="AY595" s="36"/>
      <c r="AZ595" s="30" t="s">
        <v>118</v>
      </c>
      <c r="BA595" s="30"/>
      <c r="BB595" s="30"/>
      <c r="BC595" s="27" t="s">
        <v>272</v>
      </c>
      <c r="BD595" s="30"/>
      <c r="BE595" s="30"/>
      <c r="BF595" s="30"/>
      <c r="BG595" s="30"/>
      <c r="BH595" s="30"/>
      <c r="BI595" s="30"/>
      <c r="BJ595" s="30"/>
      <c r="BK595" s="27"/>
      <c r="BL595" s="27"/>
    </row>
    <row r="596" spans="1:64">
      <c r="A596" s="68" t="s">
        <v>54</v>
      </c>
      <c r="B596" s="26">
        <v>46225</v>
      </c>
      <c r="C596" s="27">
        <v>29693</v>
      </c>
      <c r="D596" s="27"/>
      <c r="E596" s="27" t="s">
        <v>367</v>
      </c>
      <c r="F596" s="27" t="s">
        <v>59</v>
      </c>
      <c r="G596" s="27" t="s">
        <v>104</v>
      </c>
      <c r="H596" s="30" t="s">
        <v>403</v>
      </c>
      <c r="I596" s="31" t="s">
        <v>917</v>
      </c>
      <c r="J596" s="30" t="s">
        <v>1601</v>
      </c>
      <c r="K596" s="27">
        <v>3</v>
      </c>
      <c r="L596" s="27" t="s">
        <v>1602</v>
      </c>
      <c r="M596" s="27"/>
      <c r="N596" s="31" t="s">
        <v>124</v>
      </c>
      <c r="O596" s="27"/>
      <c r="P596" s="30"/>
      <c r="Q596" s="30" t="s">
        <v>66</v>
      </c>
      <c r="R596" s="26">
        <v>46234</v>
      </c>
      <c r="S596" s="26">
        <v>46241</v>
      </c>
      <c r="T596" s="31"/>
      <c r="U596" s="30" t="s">
        <v>68</v>
      </c>
      <c r="V596" s="34" t="s">
        <v>70</v>
      </c>
      <c r="W596" s="27" t="s">
        <v>320</v>
      </c>
      <c r="X596" s="30">
        <v>1</v>
      </c>
      <c r="Y596" s="30">
        <v>1</v>
      </c>
      <c r="Z596" s="30">
        <v>1</v>
      </c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6"/>
      <c r="AS596" s="36"/>
      <c r="AT596" s="36"/>
      <c r="AU596" s="36"/>
      <c r="AV596" s="36"/>
      <c r="AW596" s="36" t="s">
        <v>69</v>
      </c>
      <c r="AX596" s="36" t="s">
        <v>504</v>
      </c>
      <c r="AY596" s="36"/>
      <c r="AZ596" s="30" t="s">
        <v>118</v>
      </c>
      <c r="BA596" s="30"/>
      <c r="BB596" s="30"/>
      <c r="BC596" s="30"/>
      <c r="BD596" s="30"/>
      <c r="BE596" s="30" t="s">
        <v>124</v>
      </c>
      <c r="BF596" s="30" t="s">
        <v>41</v>
      </c>
      <c r="BG596" s="30"/>
      <c r="BH596" s="30"/>
      <c r="BI596" s="30"/>
      <c r="BJ596" s="30"/>
      <c r="BK596" s="27"/>
      <c r="BL596" s="27"/>
    </row>
    <row r="597" spans="1:64">
      <c r="A597" s="68" t="s">
        <v>54</v>
      </c>
      <c r="B597" s="26">
        <v>46225</v>
      </c>
      <c r="C597" s="27">
        <v>29602</v>
      </c>
      <c r="D597" s="27"/>
      <c r="E597" s="27" t="s">
        <v>203</v>
      </c>
      <c r="F597" s="27" t="s">
        <v>59</v>
      </c>
      <c r="G597" s="27" t="s">
        <v>104</v>
      </c>
      <c r="H597" s="30" t="s">
        <v>151</v>
      </c>
      <c r="I597" s="31" t="s">
        <v>839</v>
      </c>
      <c r="J597" s="30" t="s">
        <v>151</v>
      </c>
      <c r="K597" s="27">
        <v>1</v>
      </c>
      <c r="L597" s="27" t="s">
        <v>205</v>
      </c>
      <c r="M597" s="27"/>
      <c r="N597" s="31" t="s">
        <v>455</v>
      </c>
      <c r="O597" s="27"/>
      <c r="P597" s="30"/>
      <c r="Q597" s="30" t="s">
        <v>66</v>
      </c>
      <c r="R597" s="26">
        <v>46227</v>
      </c>
      <c r="S597" s="26">
        <v>46230</v>
      </c>
      <c r="T597" s="31"/>
      <c r="U597" s="30" t="s">
        <v>68</v>
      </c>
      <c r="V597" s="34" t="s">
        <v>70</v>
      </c>
      <c r="W597" s="27" t="s">
        <v>208</v>
      </c>
      <c r="X597" s="30">
        <v>1</v>
      </c>
      <c r="Y597" s="30">
        <v>1</v>
      </c>
      <c r="Z597" s="30">
        <v>1</v>
      </c>
      <c r="AA597" s="30">
        <v>1</v>
      </c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6"/>
      <c r="AS597" s="36"/>
      <c r="AT597" s="36"/>
      <c r="AU597" s="36"/>
      <c r="AV597" s="36"/>
      <c r="AW597" s="36" t="s">
        <v>69</v>
      </c>
      <c r="AX597" s="36" t="s">
        <v>455</v>
      </c>
      <c r="AY597" s="36" t="s">
        <v>41</v>
      </c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27"/>
      <c r="BL597" s="27"/>
    </row>
    <row r="598" spans="1:64">
      <c r="A598" s="68" t="s">
        <v>54</v>
      </c>
      <c r="B598" s="26">
        <v>46225</v>
      </c>
      <c r="C598" s="27">
        <v>29618</v>
      </c>
      <c r="D598" s="27"/>
      <c r="E598" s="27" t="s">
        <v>203</v>
      </c>
      <c r="F598" s="27" t="s">
        <v>59</v>
      </c>
      <c r="G598" s="27" t="s">
        <v>104</v>
      </c>
      <c r="H598" s="30" t="s">
        <v>151</v>
      </c>
      <c r="I598" s="31" t="s">
        <v>1401</v>
      </c>
      <c r="J598" s="30" t="s">
        <v>151</v>
      </c>
      <c r="K598" s="27">
        <v>1</v>
      </c>
      <c r="L598" s="27" t="s">
        <v>205</v>
      </c>
      <c r="M598" s="27"/>
      <c r="N598" s="31" t="s">
        <v>455</v>
      </c>
      <c r="O598" s="27"/>
      <c r="P598" s="30"/>
      <c r="Q598" s="30" t="s">
        <v>66</v>
      </c>
      <c r="R598" s="26">
        <v>46227</v>
      </c>
      <c r="S598" s="26">
        <v>46230</v>
      </c>
      <c r="T598" s="31"/>
      <c r="U598" s="30" t="s">
        <v>68</v>
      </c>
      <c r="V598" s="34" t="s">
        <v>70</v>
      </c>
      <c r="W598" s="27" t="s">
        <v>208</v>
      </c>
      <c r="X598" s="30">
        <v>1</v>
      </c>
      <c r="Y598" s="30">
        <v>1</v>
      </c>
      <c r="Z598" s="30">
        <v>1</v>
      </c>
      <c r="AA598" s="30">
        <v>1</v>
      </c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6"/>
      <c r="AS598" s="36"/>
      <c r="AT598" s="36"/>
      <c r="AU598" s="36"/>
      <c r="AV598" s="36"/>
      <c r="AW598" s="36" t="s">
        <v>69</v>
      </c>
      <c r="AX598" s="36" t="s">
        <v>455</v>
      </c>
      <c r="AY598" s="36" t="s">
        <v>41</v>
      </c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27"/>
      <c r="BL598" s="27"/>
    </row>
    <row r="599" spans="1:64">
      <c r="A599" s="68" t="s">
        <v>54</v>
      </c>
      <c r="B599" s="26">
        <v>46225</v>
      </c>
      <c r="C599" s="27">
        <v>29615</v>
      </c>
      <c r="D599" s="27"/>
      <c r="E599" s="27" t="s">
        <v>203</v>
      </c>
      <c r="F599" s="27" t="s">
        <v>59</v>
      </c>
      <c r="G599" s="27" t="s">
        <v>104</v>
      </c>
      <c r="H599" s="30" t="s">
        <v>106</v>
      </c>
      <c r="I599" s="31" t="s">
        <v>463</v>
      </c>
      <c r="J599" s="30" t="s">
        <v>106</v>
      </c>
      <c r="K599" s="27">
        <v>1</v>
      </c>
      <c r="L599" s="27" t="s">
        <v>205</v>
      </c>
      <c r="M599" s="27"/>
      <c r="N599" s="31" t="s">
        <v>154</v>
      </c>
      <c r="O599" s="27"/>
      <c r="P599" s="30"/>
      <c r="Q599" s="30" t="s">
        <v>434</v>
      </c>
      <c r="R599" s="26">
        <v>46226</v>
      </c>
      <c r="S599" s="26">
        <v>46227</v>
      </c>
      <c r="T599" s="31"/>
      <c r="U599" s="30" t="s">
        <v>68</v>
      </c>
      <c r="V599" s="34" t="s">
        <v>70</v>
      </c>
      <c r="W599" s="27" t="s">
        <v>208</v>
      </c>
      <c r="X599" s="30"/>
      <c r="Y599" s="30"/>
      <c r="Z599" s="30"/>
      <c r="AA599" s="30">
        <v>1</v>
      </c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6"/>
      <c r="AS599" s="36"/>
      <c r="AT599" s="36"/>
      <c r="AU599" s="36"/>
      <c r="AV599" s="36"/>
      <c r="AW599" s="36" t="s">
        <v>69</v>
      </c>
      <c r="AX599" s="36" t="s">
        <v>1521</v>
      </c>
      <c r="AY599" s="36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27"/>
      <c r="BL599" s="27"/>
    </row>
    <row r="600" spans="1:64">
      <c r="A600" s="68" t="s">
        <v>54</v>
      </c>
      <c r="B600" s="26">
        <v>46225</v>
      </c>
      <c r="C600" s="27">
        <v>29595</v>
      </c>
      <c r="D600" s="27"/>
      <c r="E600" s="27" t="s">
        <v>212</v>
      </c>
      <c r="F600" s="27" t="s">
        <v>59</v>
      </c>
      <c r="G600" s="27" t="s">
        <v>104</v>
      </c>
      <c r="H600" s="30" t="s">
        <v>60</v>
      </c>
      <c r="I600" s="31" t="s">
        <v>1603</v>
      </c>
      <c r="J600" s="30" t="s">
        <v>60</v>
      </c>
      <c r="K600" s="27">
        <v>1</v>
      </c>
      <c r="L600" s="27" t="s">
        <v>205</v>
      </c>
      <c r="M600" s="27"/>
      <c r="N600" s="31" t="s">
        <v>154</v>
      </c>
      <c r="O600" s="27"/>
      <c r="P600" s="30"/>
      <c r="Q600" s="30" t="s">
        <v>1604</v>
      </c>
      <c r="R600" s="26">
        <v>46226</v>
      </c>
      <c r="S600" s="26">
        <v>46227</v>
      </c>
      <c r="T600" s="31"/>
      <c r="U600" s="30" t="s">
        <v>68</v>
      </c>
      <c r="V600" s="34" t="s">
        <v>70</v>
      </c>
      <c r="W600" s="27" t="s">
        <v>208</v>
      </c>
      <c r="X600" s="30"/>
      <c r="Y600" s="30"/>
      <c r="Z600" s="30"/>
      <c r="AA600" s="30">
        <v>1</v>
      </c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6"/>
      <c r="AS600" s="36"/>
      <c r="AT600" s="36"/>
      <c r="AU600" s="36"/>
      <c r="AV600" s="36"/>
      <c r="AW600" s="36" t="s">
        <v>69</v>
      </c>
      <c r="AX600" s="36" t="s">
        <v>449</v>
      </c>
      <c r="AY600" s="36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27"/>
      <c r="BL600" s="27"/>
    </row>
    <row r="601" spans="1:64">
      <c r="A601" s="68" t="s">
        <v>54</v>
      </c>
      <c r="B601" s="26">
        <v>46225</v>
      </c>
      <c r="C601" s="27">
        <v>29617</v>
      </c>
      <c r="D601" s="27"/>
      <c r="E601" s="27" t="s">
        <v>212</v>
      </c>
      <c r="F601" s="27" t="s">
        <v>59</v>
      </c>
      <c r="G601" s="27" t="s">
        <v>104</v>
      </c>
      <c r="H601" s="30" t="s">
        <v>28</v>
      </c>
      <c r="I601" s="31" t="s">
        <v>1242</v>
      </c>
      <c r="J601" s="30" t="s">
        <v>28</v>
      </c>
      <c r="K601" s="27">
        <v>1</v>
      </c>
      <c r="L601" s="27" t="s">
        <v>205</v>
      </c>
      <c r="M601" s="27"/>
      <c r="N601" s="31" t="s">
        <v>384</v>
      </c>
      <c r="O601" s="27"/>
      <c r="P601" s="30"/>
      <c r="Q601" s="30" t="s">
        <v>434</v>
      </c>
      <c r="R601" s="26">
        <v>46227</v>
      </c>
      <c r="S601" s="26">
        <v>46227</v>
      </c>
      <c r="T601" s="31"/>
      <c r="U601" s="30" t="s">
        <v>68</v>
      </c>
      <c r="V601" s="34" t="s">
        <v>70</v>
      </c>
      <c r="W601" s="27" t="s">
        <v>208</v>
      </c>
      <c r="X601" s="30"/>
      <c r="Y601" s="30"/>
      <c r="Z601" s="30"/>
      <c r="AA601" s="30">
        <v>1</v>
      </c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6"/>
      <c r="AS601" s="36"/>
      <c r="AT601" s="36"/>
      <c r="AU601" s="36"/>
      <c r="AV601" s="36"/>
      <c r="AW601" s="36" t="s">
        <v>69</v>
      </c>
      <c r="AX601" s="36"/>
      <c r="AY601" s="36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27"/>
      <c r="BL601" s="27"/>
    </row>
    <row r="602" spans="1:64">
      <c r="A602" s="68" t="s">
        <v>54</v>
      </c>
      <c r="B602" s="26">
        <v>46225</v>
      </c>
      <c r="C602" s="27">
        <v>29596</v>
      </c>
      <c r="D602" s="27"/>
      <c r="E602" s="27" t="s">
        <v>203</v>
      </c>
      <c r="F602" s="27" t="s">
        <v>59</v>
      </c>
      <c r="G602" s="27" t="s">
        <v>104</v>
      </c>
      <c r="H602" s="30" t="s">
        <v>280</v>
      </c>
      <c r="I602" s="31" t="s">
        <v>1399</v>
      </c>
      <c r="J602" s="30" t="s">
        <v>635</v>
      </c>
      <c r="K602" s="27">
        <v>1</v>
      </c>
      <c r="L602" s="27" t="s">
        <v>205</v>
      </c>
      <c r="M602" s="27"/>
      <c r="N602" s="31" t="s">
        <v>455</v>
      </c>
      <c r="O602" s="27"/>
      <c r="P602" s="30"/>
      <c r="Q602" s="30" t="s">
        <v>434</v>
      </c>
      <c r="R602" s="26">
        <v>46227</v>
      </c>
      <c r="S602" s="26">
        <v>46230</v>
      </c>
      <c r="T602" s="31"/>
      <c r="U602" s="30" t="s">
        <v>68</v>
      </c>
      <c r="V602" s="34" t="s">
        <v>70</v>
      </c>
      <c r="W602" s="27" t="s">
        <v>208</v>
      </c>
      <c r="X602" s="30">
        <v>1</v>
      </c>
      <c r="Y602" s="30">
        <v>1</v>
      </c>
      <c r="Z602" s="30">
        <v>1</v>
      </c>
      <c r="AA602" s="30">
        <v>1</v>
      </c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6"/>
      <c r="AS602" s="36"/>
      <c r="AT602" s="36"/>
      <c r="AU602" s="36"/>
      <c r="AV602" s="36"/>
      <c r="AW602" s="36" t="s">
        <v>69</v>
      </c>
      <c r="AX602" s="36" t="s">
        <v>455</v>
      </c>
      <c r="AY602" s="36" t="s">
        <v>41</v>
      </c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27"/>
      <c r="BL602" s="27"/>
    </row>
    <row r="603" spans="1:64">
      <c r="A603" s="68" t="s">
        <v>54</v>
      </c>
      <c r="B603" s="26">
        <v>46225</v>
      </c>
      <c r="C603" s="27">
        <v>29598</v>
      </c>
      <c r="D603" s="27"/>
      <c r="E603" s="27" t="s">
        <v>203</v>
      </c>
      <c r="F603" s="27" t="s">
        <v>59</v>
      </c>
      <c r="G603" s="27" t="s">
        <v>104</v>
      </c>
      <c r="H603" s="30" t="s">
        <v>60</v>
      </c>
      <c r="I603" s="31" t="s">
        <v>1365</v>
      </c>
      <c r="J603" s="30" t="s">
        <v>60</v>
      </c>
      <c r="K603" s="27">
        <v>1</v>
      </c>
      <c r="L603" s="27" t="s">
        <v>205</v>
      </c>
      <c r="M603" s="27"/>
      <c r="N603" s="31" t="s">
        <v>154</v>
      </c>
      <c r="O603" s="27"/>
      <c r="P603" s="30"/>
      <c r="Q603" s="30" t="s">
        <v>1293</v>
      </c>
      <c r="R603" s="26">
        <v>46226</v>
      </c>
      <c r="S603" s="26">
        <v>46227</v>
      </c>
      <c r="T603" s="31"/>
      <c r="U603" s="30" t="s">
        <v>68</v>
      </c>
      <c r="V603" s="34" t="s">
        <v>70</v>
      </c>
      <c r="W603" s="27" t="s">
        <v>208</v>
      </c>
      <c r="X603" s="30"/>
      <c r="Y603" s="30"/>
      <c r="Z603" s="30"/>
      <c r="AA603" s="30">
        <v>1</v>
      </c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6"/>
      <c r="AS603" s="36"/>
      <c r="AT603" s="36"/>
      <c r="AU603" s="36"/>
      <c r="AV603" s="36"/>
      <c r="AW603" s="36" t="s">
        <v>69</v>
      </c>
      <c r="AX603" s="36" t="s">
        <v>449</v>
      </c>
      <c r="AY603" s="36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27"/>
      <c r="BL603" s="27"/>
    </row>
    <row r="604" spans="1:64">
      <c r="A604" s="68" t="s">
        <v>54</v>
      </c>
      <c r="B604" s="26">
        <v>46225</v>
      </c>
      <c r="C604" s="27">
        <v>29603</v>
      </c>
      <c r="D604" s="27"/>
      <c r="E604" s="27" t="s">
        <v>203</v>
      </c>
      <c r="F604" s="27" t="s">
        <v>59</v>
      </c>
      <c r="G604" s="27" t="s">
        <v>104</v>
      </c>
      <c r="H604" s="30" t="s">
        <v>60</v>
      </c>
      <c r="I604" s="31" t="s">
        <v>1605</v>
      </c>
      <c r="J604" s="30" t="s">
        <v>60</v>
      </c>
      <c r="K604" s="27">
        <v>1</v>
      </c>
      <c r="L604" s="27" t="s">
        <v>205</v>
      </c>
      <c r="M604" s="27"/>
      <c r="N604" s="31" t="s">
        <v>154</v>
      </c>
      <c r="O604" s="27"/>
      <c r="P604" s="30"/>
      <c r="Q604" s="30" t="s">
        <v>482</v>
      </c>
      <c r="R604" s="26">
        <v>46226</v>
      </c>
      <c r="S604" s="26">
        <v>46227</v>
      </c>
      <c r="T604" s="31"/>
      <c r="U604" s="30" t="s">
        <v>68</v>
      </c>
      <c r="V604" s="34" t="s">
        <v>70</v>
      </c>
      <c r="W604" s="27" t="s">
        <v>208</v>
      </c>
      <c r="X604" s="30"/>
      <c r="Y604" s="30"/>
      <c r="Z604" s="30"/>
      <c r="AA604" s="30">
        <v>1</v>
      </c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6"/>
      <c r="AS604" s="36"/>
      <c r="AT604" s="36"/>
      <c r="AU604" s="36"/>
      <c r="AV604" s="36"/>
      <c r="AW604" s="36" t="s">
        <v>69</v>
      </c>
      <c r="AX604" s="36" t="s">
        <v>449</v>
      </c>
      <c r="AY604" s="36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27"/>
      <c r="BL604" s="27"/>
    </row>
    <row r="605" spans="1:64">
      <c r="A605" s="68" t="s">
        <v>54</v>
      </c>
      <c r="B605" s="26">
        <v>46225</v>
      </c>
      <c r="C605" s="27">
        <v>29619</v>
      </c>
      <c r="D605" s="27"/>
      <c r="E605" s="27" t="s">
        <v>203</v>
      </c>
      <c r="F605" s="27" t="s">
        <v>59</v>
      </c>
      <c r="G605" s="27" t="s">
        <v>104</v>
      </c>
      <c r="H605" s="30" t="s">
        <v>757</v>
      </c>
      <c r="I605" s="31" t="s">
        <v>1606</v>
      </c>
      <c r="J605" s="30" t="s">
        <v>757</v>
      </c>
      <c r="K605" s="27">
        <v>1</v>
      </c>
      <c r="L605" s="27" t="s">
        <v>205</v>
      </c>
      <c r="M605" s="27"/>
      <c r="N605" s="31" t="s">
        <v>154</v>
      </c>
      <c r="O605" s="27"/>
      <c r="P605" s="30"/>
      <c r="Q605" s="30" t="s">
        <v>434</v>
      </c>
      <c r="R605" s="26">
        <v>46226</v>
      </c>
      <c r="S605" s="26">
        <v>46227</v>
      </c>
      <c r="T605" s="31"/>
      <c r="U605" s="30" t="s">
        <v>68</v>
      </c>
      <c r="V605" s="34" t="s">
        <v>70</v>
      </c>
      <c r="W605" s="27" t="s">
        <v>208</v>
      </c>
      <c r="X605" s="30"/>
      <c r="Y605" s="30"/>
      <c r="Z605" s="30"/>
      <c r="AA605" s="30">
        <v>1</v>
      </c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6"/>
      <c r="AS605" s="36"/>
      <c r="AT605" s="36"/>
      <c r="AU605" s="36"/>
      <c r="AV605" s="36"/>
      <c r="AW605" s="36" t="s">
        <v>69</v>
      </c>
      <c r="AX605" s="36" t="s">
        <v>449</v>
      </c>
      <c r="AY605" s="36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27"/>
      <c r="BL605" s="27"/>
    </row>
    <row r="606" spans="1:64">
      <c r="A606" s="68" t="s">
        <v>54</v>
      </c>
      <c r="B606" s="26">
        <v>46225</v>
      </c>
      <c r="C606" s="27">
        <v>29599</v>
      </c>
      <c r="D606" s="27"/>
      <c r="E606" s="27" t="s">
        <v>203</v>
      </c>
      <c r="F606" s="27" t="s">
        <v>59</v>
      </c>
      <c r="G606" s="27" t="s">
        <v>104</v>
      </c>
      <c r="H606" s="30" t="s">
        <v>60</v>
      </c>
      <c r="I606" s="31" t="s">
        <v>647</v>
      </c>
      <c r="J606" s="30" t="s">
        <v>60</v>
      </c>
      <c r="K606" s="27">
        <v>1</v>
      </c>
      <c r="L606" s="27" t="s">
        <v>205</v>
      </c>
      <c r="M606" s="27"/>
      <c r="N606" s="31" t="s">
        <v>154</v>
      </c>
      <c r="O606" s="27"/>
      <c r="P606" s="30"/>
      <c r="Q606" s="30" t="s">
        <v>434</v>
      </c>
      <c r="R606" s="26">
        <v>46226</v>
      </c>
      <c r="S606" s="26">
        <v>46227</v>
      </c>
      <c r="T606" s="31"/>
      <c r="U606" s="30" t="s">
        <v>68</v>
      </c>
      <c r="V606" s="34" t="s">
        <v>70</v>
      </c>
      <c r="W606" s="27" t="s">
        <v>208</v>
      </c>
      <c r="X606" s="30"/>
      <c r="Y606" s="30"/>
      <c r="Z606" s="30"/>
      <c r="AA606" s="30">
        <v>1</v>
      </c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6"/>
      <c r="AS606" s="36"/>
      <c r="AT606" s="36"/>
      <c r="AU606" s="36"/>
      <c r="AV606" s="36"/>
      <c r="AW606" s="36" t="s">
        <v>69</v>
      </c>
      <c r="AX606" s="36" t="s">
        <v>449</v>
      </c>
      <c r="AY606" s="36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27"/>
      <c r="BL606" s="27"/>
    </row>
    <row r="607" spans="1:64">
      <c r="A607" s="68" t="s">
        <v>54</v>
      </c>
      <c r="B607" s="26">
        <v>46225</v>
      </c>
      <c r="C607" s="27">
        <v>29620</v>
      </c>
      <c r="D607" s="27"/>
      <c r="E607" s="27" t="s">
        <v>203</v>
      </c>
      <c r="F607" s="27" t="s">
        <v>59</v>
      </c>
      <c r="G607" s="27" t="s">
        <v>104</v>
      </c>
      <c r="H607" s="30" t="s">
        <v>170</v>
      </c>
      <c r="I607" s="31" t="s">
        <v>210</v>
      </c>
      <c r="J607" s="30" t="s">
        <v>170</v>
      </c>
      <c r="K607" s="27">
        <v>1</v>
      </c>
      <c r="L607" s="27" t="s">
        <v>205</v>
      </c>
      <c r="M607" s="27"/>
      <c r="N607" s="31" t="s">
        <v>455</v>
      </c>
      <c r="O607" s="27"/>
      <c r="P607" s="30"/>
      <c r="Q607" s="30" t="s">
        <v>400</v>
      </c>
      <c r="R607" s="26">
        <v>46227</v>
      </c>
      <c r="S607" s="26">
        <v>46230</v>
      </c>
      <c r="T607" s="31"/>
      <c r="U607" s="30" t="s">
        <v>68</v>
      </c>
      <c r="V607" s="34" t="s">
        <v>70</v>
      </c>
      <c r="W607" s="27" t="s">
        <v>208</v>
      </c>
      <c r="X607" s="30"/>
      <c r="Y607" s="30"/>
      <c r="Z607" s="30"/>
      <c r="AA607" s="30">
        <v>1</v>
      </c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6"/>
      <c r="AS607" s="36"/>
      <c r="AT607" s="36"/>
      <c r="AU607" s="36"/>
      <c r="AV607" s="36"/>
      <c r="AW607" s="36" t="s">
        <v>69</v>
      </c>
      <c r="AX607" s="36" t="s">
        <v>455</v>
      </c>
      <c r="AY607" s="36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27"/>
      <c r="BL607" s="27"/>
    </row>
    <row r="608" spans="1:64">
      <c r="A608" s="68" t="s">
        <v>54</v>
      </c>
      <c r="B608" s="26">
        <v>46225</v>
      </c>
      <c r="C608" s="27">
        <v>29600</v>
      </c>
      <c r="D608" s="27"/>
      <c r="E608" s="27" t="s">
        <v>203</v>
      </c>
      <c r="F608" s="27" t="s">
        <v>59</v>
      </c>
      <c r="G608" s="27" t="s">
        <v>104</v>
      </c>
      <c r="H608" s="30" t="s">
        <v>28</v>
      </c>
      <c r="I608" s="31" t="s">
        <v>1229</v>
      </c>
      <c r="J608" s="30" t="s">
        <v>28</v>
      </c>
      <c r="K608" s="27">
        <v>1</v>
      </c>
      <c r="L608" s="27" t="s">
        <v>205</v>
      </c>
      <c r="M608" s="27"/>
      <c r="N608" s="31" t="s">
        <v>384</v>
      </c>
      <c r="O608" s="27"/>
      <c r="P608" s="30"/>
      <c r="Q608" s="30" t="s">
        <v>1607</v>
      </c>
      <c r="R608" s="26">
        <v>46227</v>
      </c>
      <c r="S608" s="26">
        <v>46227</v>
      </c>
      <c r="T608" s="31"/>
      <c r="U608" s="30" t="s">
        <v>68</v>
      </c>
      <c r="V608" s="34" t="s">
        <v>70</v>
      </c>
      <c r="W608" s="27" t="s">
        <v>208</v>
      </c>
      <c r="X608" s="30"/>
      <c r="Y608" s="30"/>
      <c r="Z608" s="30"/>
      <c r="AA608" s="30">
        <v>1</v>
      </c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6"/>
      <c r="AS608" s="36"/>
      <c r="AT608" s="36"/>
      <c r="AU608" s="36"/>
      <c r="AV608" s="36"/>
      <c r="AW608" s="36" t="s">
        <v>69</v>
      </c>
      <c r="AX608" s="36"/>
      <c r="AY608" s="36" t="s">
        <v>90</v>
      </c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27"/>
      <c r="BL608" s="27"/>
    </row>
    <row r="609" spans="1:64">
      <c r="A609" s="68" t="s">
        <v>54</v>
      </c>
      <c r="B609" s="26">
        <v>46225</v>
      </c>
      <c r="C609" s="27">
        <v>29616</v>
      </c>
      <c r="D609" s="27"/>
      <c r="E609" s="27" t="s">
        <v>212</v>
      </c>
      <c r="F609" s="27" t="s">
        <v>59</v>
      </c>
      <c r="G609" s="27" t="s">
        <v>104</v>
      </c>
      <c r="H609" s="30" t="s">
        <v>175</v>
      </c>
      <c r="I609" s="31" t="s">
        <v>448</v>
      </c>
      <c r="J609" s="30" t="s">
        <v>175</v>
      </c>
      <c r="K609" s="27">
        <v>1</v>
      </c>
      <c r="L609" s="27" t="s">
        <v>205</v>
      </c>
      <c r="M609" s="27"/>
      <c r="N609" s="31" t="s">
        <v>81</v>
      </c>
      <c r="O609" s="27"/>
      <c r="P609" s="30"/>
      <c r="Q609" s="30" t="s">
        <v>66</v>
      </c>
      <c r="R609" s="26">
        <v>46228</v>
      </c>
      <c r="S609" s="26">
        <v>46230</v>
      </c>
      <c r="T609" s="31"/>
      <c r="U609" s="30" t="s">
        <v>68</v>
      </c>
      <c r="V609" s="34" t="s">
        <v>70</v>
      </c>
      <c r="W609" s="27" t="s">
        <v>208</v>
      </c>
      <c r="X609" s="30">
        <v>1</v>
      </c>
      <c r="Y609" s="30">
        <v>1</v>
      </c>
      <c r="Z609" s="30">
        <v>1</v>
      </c>
      <c r="AA609" s="30">
        <v>1</v>
      </c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6"/>
      <c r="AS609" s="36"/>
      <c r="AT609" s="36"/>
      <c r="AU609" s="36"/>
      <c r="AV609" s="36"/>
      <c r="AW609" s="36" t="s">
        <v>69</v>
      </c>
      <c r="AX609" s="36" t="s">
        <v>81</v>
      </c>
      <c r="AY609" s="36"/>
      <c r="AZ609" s="30" t="s">
        <v>41</v>
      </c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27"/>
      <c r="BL609" s="27"/>
    </row>
    <row r="610" spans="1:64">
      <c r="A610" s="68" t="s">
        <v>54</v>
      </c>
      <c r="B610" s="26">
        <v>46225</v>
      </c>
      <c r="C610" s="27">
        <v>29597</v>
      </c>
      <c r="D610" s="27"/>
      <c r="E610" s="27" t="s">
        <v>203</v>
      </c>
      <c r="F610" s="27" t="s">
        <v>59</v>
      </c>
      <c r="G610" s="27" t="s">
        <v>104</v>
      </c>
      <c r="H610" s="30" t="s">
        <v>309</v>
      </c>
      <c r="I610" s="31" t="s">
        <v>1608</v>
      </c>
      <c r="J610" s="30" t="s">
        <v>309</v>
      </c>
      <c r="K610" s="27">
        <v>1</v>
      </c>
      <c r="L610" s="27" t="s">
        <v>205</v>
      </c>
      <c r="M610" s="27"/>
      <c r="N610" s="31" t="s">
        <v>455</v>
      </c>
      <c r="O610" s="27"/>
      <c r="P610" s="30"/>
      <c r="Q610" s="30" t="s">
        <v>66</v>
      </c>
      <c r="R610" s="26">
        <v>46228</v>
      </c>
      <c r="S610" s="26">
        <v>46230</v>
      </c>
      <c r="T610" s="31"/>
      <c r="U610" s="30" t="s">
        <v>68</v>
      </c>
      <c r="V610" s="34" t="s">
        <v>70</v>
      </c>
      <c r="W610" s="27" t="s">
        <v>208</v>
      </c>
      <c r="X610" s="30"/>
      <c r="Y610" s="30"/>
      <c r="Z610" s="30"/>
      <c r="AA610" s="30">
        <v>1</v>
      </c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6"/>
      <c r="AS610" s="36"/>
      <c r="AT610" s="36"/>
      <c r="AU610" s="36"/>
      <c r="AV610" s="36"/>
      <c r="AW610" s="36" t="s">
        <v>69</v>
      </c>
      <c r="AX610" s="36" t="s">
        <v>455</v>
      </c>
      <c r="AY610" s="36"/>
      <c r="AZ610" s="30" t="s">
        <v>41</v>
      </c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27"/>
      <c r="BL610" s="27"/>
    </row>
    <row r="611" spans="1:64">
      <c r="A611" s="68" t="s">
        <v>54</v>
      </c>
      <c r="B611" s="26">
        <v>46225</v>
      </c>
      <c r="C611" s="27">
        <v>29589</v>
      </c>
      <c r="D611" s="27"/>
      <c r="E611" s="27" t="s">
        <v>1421</v>
      </c>
      <c r="F611" s="27" t="s">
        <v>59</v>
      </c>
      <c r="G611" s="27" t="s">
        <v>104</v>
      </c>
      <c r="H611" s="30" t="s">
        <v>409</v>
      </c>
      <c r="I611" s="31" t="s">
        <v>1353</v>
      </c>
      <c r="J611" s="30" t="s">
        <v>409</v>
      </c>
      <c r="K611" s="27">
        <v>1</v>
      </c>
      <c r="L611" s="27" t="s">
        <v>205</v>
      </c>
      <c r="M611" s="27"/>
      <c r="N611" s="31" t="s">
        <v>95</v>
      </c>
      <c r="O611" s="27"/>
      <c r="P611" s="30"/>
      <c r="Q611" s="30" t="s">
        <v>84</v>
      </c>
      <c r="R611" s="26">
        <v>46226</v>
      </c>
      <c r="S611" s="26">
        <v>46227</v>
      </c>
      <c r="T611" s="31"/>
      <c r="U611" s="30" t="s">
        <v>68</v>
      </c>
      <c r="V611" s="34" t="s">
        <v>70</v>
      </c>
      <c r="W611" s="27" t="s">
        <v>208</v>
      </c>
      <c r="X611" s="30"/>
      <c r="Y611" s="30"/>
      <c r="Z611" s="30"/>
      <c r="AA611" s="30">
        <v>1</v>
      </c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6"/>
      <c r="AS611" s="36"/>
      <c r="AT611" s="36"/>
      <c r="AU611" s="36"/>
      <c r="AV611" s="36"/>
      <c r="AW611" s="36" t="s">
        <v>69</v>
      </c>
      <c r="AX611" s="36" t="s">
        <v>1521</v>
      </c>
      <c r="AY611" s="36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27"/>
      <c r="BL611" s="27"/>
    </row>
    <row r="612" spans="1:64">
      <c r="A612" s="68" t="s">
        <v>54</v>
      </c>
      <c r="B612" s="26">
        <v>46225</v>
      </c>
      <c r="C612" s="27">
        <v>29588</v>
      </c>
      <c r="D612" s="27"/>
      <c r="E612" s="27" t="s">
        <v>203</v>
      </c>
      <c r="F612" s="27" t="s">
        <v>59</v>
      </c>
      <c r="G612" s="27" t="s">
        <v>104</v>
      </c>
      <c r="H612" s="30" t="s">
        <v>60</v>
      </c>
      <c r="I612" s="31" t="s">
        <v>1609</v>
      </c>
      <c r="J612" s="30" t="s">
        <v>365</v>
      </c>
      <c r="K612" s="27">
        <v>1</v>
      </c>
      <c r="L612" s="27" t="s">
        <v>205</v>
      </c>
      <c r="M612" s="27"/>
      <c r="N612" s="31" t="s">
        <v>154</v>
      </c>
      <c r="O612" s="27"/>
      <c r="P612" s="30"/>
      <c r="Q612" s="30" t="s">
        <v>434</v>
      </c>
      <c r="R612" s="26">
        <v>46226</v>
      </c>
      <c r="S612" s="26">
        <v>46227</v>
      </c>
      <c r="T612" s="31"/>
      <c r="U612" s="30" t="s">
        <v>68</v>
      </c>
      <c r="V612" s="34" t="s">
        <v>70</v>
      </c>
      <c r="W612" s="27" t="s">
        <v>208</v>
      </c>
      <c r="X612" s="30"/>
      <c r="Y612" s="30"/>
      <c r="Z612" s="30"/>
      <c r="AA612" s="30">
        <v>1</v>
      </c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6"/>
      <c r="AS612" s="36"/>
      <c r="AT612" s="36"/>
      <c r="AU612" s="36"/>
      <c r="AV612" s="36"/>
      <c r="AW612" s="36" t="s">
        <v>69</v>
      </c>
      <c r="AX612" s="36" t="s">
        <v>449</v>
      </c>
      <c r="AY612" s="36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27"/>
      <c r="BL612" s="27"/>
    </row>
    <row r="613" spans="1:64">
      <c r="A613" s="68" t="s">
        <v>54</v>
      </c>
      <c r="B613" s="26">
        <v>46225</v>
      </c>
      <c r="C613" s="27">
        <v>29590</v>
      </c>
      <c r="D613" s="27"/>
      <c r="E613" s="27" t="s">
        <v>212</v>
      </c>
      <c r="F613" s="27" t="s">
        <v>59</v>
      </c>
      <c r="G613" s="27" t="s">
        <v>104</v>
      </c>
      <c r="H613" s="30" t="s">
        <v>28</v>
      </c>
      <c r="I613" s="31" t="s">
        <v>1610</v>
      </c>
      <c r="J613" s="30" t="s">
        <v>28</v>
      </c>
      <c r="K613" s="27">
        <v>1</v>
      </c>
      <c r="L613" s="27" t="s">
        <v>205</v>
      </c>
      <c r="M613" s="27"/>
      <c r="N613" s="31" t="s">
        <v>384</v>
      </c>
      <c r="O613" s="27"/>
      <c r="P613" s="30"/>
      <c r="Q613" s="30" t="s">
        <v>434</v>
      </c>
      <c r="R613" s="26">
        <v>46227</v>
      </c>
      <c r="S613" s="26">
        <v>46227</v>
      </c>
      <c r="T613" s="31"/>
      <c r="U613" s="30" t="s">
        <v>68</v>
      </c>
      <c r="V613" s="34" t="s">
        <v>70</v>
      </c>
      <c r="W613" s="27" t="s">
        <v>208</v>
      </c>
      <c r="X613" s="30"/>
      <c r="Y613" s="30"/>
      <c r="Z613" s="30"/>
      <c r="AA613" s="30">
        <v>1</v>
      </c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6"/>
      <c r="AS613" s="36"/>
      <c r="AT613" s="36"/>
      <c r="AU613" s="36"/>
      <c r="AV613" s="36"/>
      <c r="AW613" s="36" t="s">
        <v>69</v>
      </c>
      <c r="AX613" s="36"/>
      <c r="AY613" s="36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27"/>
      <c r="BL613" s="27"/>
    </row>
    <row r="614" spans="1:64">
      <c r="A614" s="68" t="s">
        <v>54</v>
      </c>
      <c r="B614" s="26">
        <v>46225</v>
      </c>
      <c r="C614" s="27">
        <v>29591</v>
      </c>
      <c r="D614" s="27"/>
      <c r="E614" s="27" t="s">
        <v>212</v>
      </c>
      <c r="F614" s="27" t="s">
        <v>59</v>
      </c>
      <c r="G614" s="27" t="s">
        <v>104</v>
      </c>
      <c r="H614" s="30" t="s">
        <v>309</v>
      </c>
      <c r="I614" s="31" t="s">
        <v>1611</v>
      </c>
      <c r="J614" s="30" t="s">
        <v>309</v>
      </c>
      <c r="K614" s="27">
        <v>1</v>
      </c>
      <c r="L614" s="27" t="s">
        <v>205</v>
      </c>
      <c r="M614" s="27"/>
      <c r="N614" s="31" t="s">
        <v>455</v>
      </c>
      <c r="O614" s="27"/>
      <c r="P614" s="30"/>
      <c r="Q614" s="30" t="s">
        <v>1612</v>
      </c>
      <c r="R614" s="26">
        <v>46228</v>
      </c>
      <c r="S614" s="26">
        <v>46230</v>
      </c>
      <c r="T614" s="31"/>
      <c r="U614" s="30" t="s">
        <v>68</v>
      </c>
      <c r="V614" s="34" t="s">
        <v>70</v>
      </c>
      <c r="W614" s="27" t="s">
        <v>208</v>
      </c>
      <c r="X614" s="30"/>
      <c r="Y614" s="30"/>
      <c r="Z614" s="30"/>
      <c r="AA614" s="30">
        <v>1</v>
      </c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6"/>
      <c r="AS614" s="36"/>
      <c r="AT614" s="36"/>
      <c r="AU614" s="36"/>
      <c r="AV614" s="36"/>
      <c r="AW614" s="36" t="s">
        <v>69</v>
      </c>
      <c r="AX614" s="36" t="s">
        <v>455</v>
      </c>
      <c r="AY614" s="36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27"/>
      <c r="BL614" s="27"/>
    </row>
    <row r="615" spans="1:64">
      <c r="A615" s="68" t="s">
        <v>54</v>
      </c>
      <c r="B615" s="26">
        <v>46225</v>
      </c>
      <c r="C615" s="27">
        <v>29601</v>
      </c>
      <c r="D615" s="27"/>
      <c r="E615" s="27" t="s">
        <v>203</v>
      </c>
      <c r="F615" s="27" t="s">
        <v>59</v>
      </c>
      <c r="G615" s="27" t="s">
        <v>104</v>
      </c>
      <c r="H615" s="30" t="s">
        <v>293</v>
      </c>
      <c r="I615" s="31" t="s">
        <v>775</v>
      </c>
      <c r="J615" s="30" t="s">
        <v>293</v>
      </c>
      <c r="K615" s="27">
        <v>1</v>
      </c>
      <c r="L615" s="27" t="s">
        <v>205</v>
      </c>
      <c r="M615" s="27"/>
      <c r="N615" s="31" t="s">
        <v>81</v>
      </c>
      <c r="O615" s="27"/>
      <c r="P615" s="30"/>
      <c r="Q615" s="30" t="s">
        <v>66</v>
      </c>
      <c r="R615" s="26">
        <v>46227</v>
      </c>
      <c r="S615" s="26">
        <v>46230</v>
      </c>
      <c r="T615" s="31"/>
      <c r="U615" s="30" t="s">
        <v>68</v>
      </c>
      <c r="V615" s="34" t="s">
        <v>70</v>
      </c>
      <c r="W615" s="27" t="s">
        <v>208</v>
      </c>
      <c r="X615" s="30">
        <v>1</v>
      </c>
      <c r="Y615" s="30">
        <v>1</v>
      </c>
      <c r="Z615" s="30">
        <v>1</v>
      </c>
      <c r="AA615" s="30">
        <v>1</v>
      </c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6"/>
      <c r="AS615" s="36"/>
      <c r="AT615" s="36"/>
      <c r="AU615" s="36"/>
      <c r="AV615" s="36"/>
      <c r="AW615" s="36" t="s">
        <v>69</v>
      </c>
      <c r="AX615" s="36" t="s">
        <v>81</v>
      </c>
      <c r="AY615" s="36" t="s">
        <v>41</v>
      </c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27"/>
      <c r="BL615" s="27"/>
    </row>
    <row r="616" spans="1:64">
      <c r="A616" s="68" t="s">
        <v>54</v>
      </c>
      <c r="B616" s="26">
        <v>46225</v>
      </c>
      <c r="C616" s="27">
        <v>29594</v>
      </c>
      <c r="D616" s="27"/>
      <c r="E616" s="27" t="s">
        <v>203</v>
      </c>
      <c r="F616" s="27" t="s">
        <v>59</v>
      </c>
      <c r="G616" s="27" t="s">
        <v>104</v>
      </c>
      <c r="H616" s="30" t="s">
        <v>378</v>
      </c>
      <c r="I616" s="31" t="s">
        <v>1296</v>
      </c>
      <c r="J616" s="30" t="s">
        <v>378</v>
      </c>
      <c r="K616" s="27">
        <v>1</v>
      </c>
      <c r="L616" s="27" t="s">
        <v>205</v>
      </c>
      <c r="M616" s="27"/>
      <c r="N616" s="31" t="s">
        <v>455</v>
      </c>
      <c r="O616" s="27"/>
      <c r="P616" s="30"/>
      <c r="Q616" s="30" t="s">
        <v>66</v>
      </c>
      <c r="R616" s="26">
        <v>46227</v>
      </c>
      <c r="S616" s="26">
        <v>46230</v>
      </c>
      <c r="T616" s="31"/>
      <c r="U616" s="30" t="s">
        <v>68</v>
      </c>
      <c r="V616" s="34" t="s">
        <v>70</v>
      </c>
      <c r="W616" s="27" t="s">
        <v>208</v>
      </c>
      <c r="X616" s="30">
        <v>1</v>
      </c>
      <c r="Y616" s="30">
        <v>1</v>
      </c>
      <c r="Z616" s="30">
        <v>1</v>
      </c>
      <c r="AA616" s="30">
        <v>1</v>
      </c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6"/>
      <c r="AS616" s="36"/>
      <c r="AT616" s="36"/>
      <c r="AU616" s="36"/>
      <c r="AV616" s="36"/>
      <c r="AW616" s="36" t="s">
        <v>69</v>
      </c>
      <c r="AX616" s="36" t="s">
        <v>455</v>
      </c>
      <c r="AY616" s="36" t="s">
        <v>41</v>
      </c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27"/>
      <c r="BL616" s="27"/>
    </row>
    <row r="617" spans="1:64">
      <c r="A617" s="68" t="s">
        <v>54</v>
      </c>
      <c r="B617" s="26">
        <v>46225</v>
      </c>
      <c r="C617" s="27"/>
      <c r="D617" s="27">
        <v>44297</v>
      </c>
      <c r="E617" s="27" t="s">
        <v>574</v>
      </c>
      <c r="F617" s="27" t="s">
        <v>48</v>
      </c>
      <c r="G617" s="27" t="s">
        <v>110</v>
      </c>
      <c r="H617" s="30" t="s">
        <v>170</v>
      </c>
      <c r="I617" s="31" t="s">
        <v>1613</v>
      </c>
      <c r="J617" s="30" t="s">
        <v>1614</v>
      </c>
      <c r="K617" s="27">
        <v>1</v>
      </c>
      <c r="L617" s="27">
        <v>9</v>
      </c>
      <c r="M617" s="27"/>
      <c r="N617" s="31" t="s">
        <v>95</v>
      </c>
      <c r="O617" s="27"/>
      <c r="P617" s="30"/>
      <c r="Q617" s="30" t="s">
        <v>66</v>
      </c>
      <c r="R617" s="26">
        <v>46231</v>
      </c>
      <c r="S617" s="26">
        <v>46234</v>
      </c>
      <c r="T617" s="31"/>
      <c r="U617" s="30" t="s">
        <v>68</v>
      </c>
      <c r="V617" s="34" t="s">
        <v>70</v>
      </c>
      <c r="W617" s="27" t="s">
        <v>284</v>
      </c>
      <c r="X617" s="30">
        <v>1</v>
      </c>
      <c r="Y617" s="30">
        <v>1</v>
      </c>
      <c r="Z617" s="30">
        <v>1</v>
      </c>
      <c r="AA617" s="30">
        <v>1</v>
      </c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6"/>
      <c r="AS617" s="36"/>
      <c r="AT617" s="36"/>
      <c r="AU617" s="36"/>
      <c r="AV617" s="36"/>
      <c r="AW617" s="36" t="s">
        <v>325</v>
      </c>
      <c r="AX617" s="36" t="s">
        <v>1615</v>
      </c>
      <c r="AY617" s="36"/>
      <c r="AZ617" s="30" t="s">
        <v>69</v>
      </c>
      <c r="BA617" s="30"/>
      <c r="BB617" s="30"/>
      <c r="BC617" s="30" t="s">
        <v>979</v>
      </c>
      <c r="BD617" s="30"/>
      <c r="BE617" s="30"/>
      <c r="BF617" s="30"/>
      <c r="BG617" s="30"/>
      <c r="BH617" s="30"/>
      <c r="BI617" s="30"/>
      <c r="BJ617" s="30"/>
      <c r="BK617" s="27"/>
      <c r="BL617" s="27"/>
    </row>
    <row r="618" spans="1:64">
      <c r="A618" s="68" t="s">
        <v>54</v>
      </c>
      <c r="B618" s="26">
        <v>46225</v>
      </c>
      <c r="C618" s="27"/>
      <c r="D618" s="27">
        <v>44858</v>
      </c>
      <c r="E618" s="27" t="s">
        <v>574</v>
      </c>
      <c r="F618" s="27" t="s">
        <v>48</v>
      </c>
      <c r="G618" s="27" t="s">
        <v>110</v>
      </c>
      <c r="H618" s="30" t="s">
        <v>170</v>
      </c>
      <c r="I618" s="31" t="s">
        <v>1616</v>
      </c>
      <c r="J618" s="30" t="s">
        <v>1617</v>
      </c>
      <c r="K618" s="27">
        <v>2</v>
      </c>
      <c r="L618" s="27">
        <v>21</v>
      </c>
      <c r="M618" s="27"/>
      <c r="N618" s="31" t="s">
        <v>95</v>
      </c>
      <c r="O618" s="27"/>
      <c r="P618" s="30"/>
      <c r="Q618" s="30" t="s">
        <v>66</v>
      </c>
      <c r="R618" s="26">
        <v>46232</v>
      </c>
      <c r="S618" s="26">
        <v>46234</v>
      </c>
      <c r="T618" s="31"/>
      <c r="U618" s="30" t="s">
        <v>68</v>
      </c>
      <c r="V618" s="34" t="s">
        <v>70</v>
      </c>
      <c r="W618" s="27" t="s">
        <v>284</v>
      </c>
      <c r="X618" s="30">
        <v>1</v>
      </c>
      <c r="Y618" s="30">
        <v>1</v>
      </c>
      <c r="Z618" s="30">
        <v>1</v>
      </c>
      <c r="AA618" s="30">
        <v>1</v>
      </c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6"/>
      <c r="AS618" s="36"/>
      <c r="AT618" s="36"/>
      <c r="AU618" s="36"/>
      <c r="AV618" s="36"/>
      <c r="AW618" s="36" t="s">
        <v>325</v>
      </c>
      <c r="AX618" s="36" t="s">
        <v>1615</v>
      </c>
      <c r="AY618" s="36"/>
      <c r="AZ618" s="30" t="s">
        <v>69</v>
      </c>
      <c r="BA618" s="30"/>
      <c r="BB618" s="30"/>
      <c r="BC618" s="30" t="s">
        <v>95</v>
      </c>
      <c r="BD618" s="30" t="s">
        <v>41</v>
      </c>
      <c r="BE618" s="30"/>
      <c r="BF618" s="30"/>
      <c r="BG618" s="30"/>
      <c r="BH618" s="30"/>
      <c r="BI618" s="30"/>
      <c r="BJ618" s="30"/>
      <c r="BK618" s="27"/>
      <c r="BL618" s="27"/>
    </row>
    <row r="619" spans="1:64">
      <c r="A619" s="68" t="s">
        <v>54</v>
      </c>
      <c r="B619" s="26">
        <v>46225</v>
      </c>
      <c r="C619" s="27">
        <v>7436</v>
      </c>
      <c r="D619" s="27"/>
      <c r="E619" s="27" t="s">
        <v>559</v>
      </c>
      <c r="F619" s="27" t="s">
        <v>185</v>
      </c>
      <c r="G619" s="27" t="s">
        <v>383</v>
      </c>
      <c r="H619" s="30" t="s">
        <v>106</v>
      </c>
      <c r="I619" s="31" t="s">
        <v>560</v>
      </c>
      <c r="J619" s="30" t="s">
        <v>1618</v>
      </c>
      <c r="K619" s="27">
        <v>39</v>
      </c>
      <c r="L619" s="27"/>
      <c r="M619" s="27"/>
      <c r="N619" s="31" t="s">
        <v>154</v>
      </c>
      <c r="O619" s="27"/>
      <c r="P619" s="30"/>
      <c r="Q619" s="30" t="s">
        <v>1619</v>
      </c>
      <c r="R619" s="26">
        <v>46226</v>
      </c>
      <c r="S619" s="26">
        <v>46227</v>
      </c>
      <c r="T619" s="31"/>
      <c r="U619" s="30" t="s">
        <v>68</v>
      </c>
      <c r="V619" s="34" t="s">
        <v>70</v>
      </c>
      <c r="W619" s="27" t="s">
        <v>563</v>
      </c>
      <c r="X619" s="30"/>
      <c r="Y619" s="30"/>
      <c r="Z619" s="30"/>
      <c r="AA619" s="30">
        <v>1</v>
      </c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6"/>
      <c r="AS619" s="36"/>
      <c r="AT619" s="36"/>
      <c r="AU619" s="36"/>
      <c r="AV619" s="36"/>
      <c r="AW619" s="36" t="s">
        <v>69</v>
      </c>
      <c r="AX619" s="36" t="s">
        <v>449</v>
      </c>
      <c r="AY619" s="36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27"/>
      <c r="BL619" s="27"/>
    </row>
    <row r="620" spans="1:64">
      <c r="A620" s="68" t="s">
        <v>54</v>
      </c>
      <c r="B620" s="26">
        <v>46225</v>
      </c>
      <c r="C620" s="27">
        <v>7444</v>
      </c>
      <c r="D620" s="27"/>
      <c r="E620" s="27" t="s">
        <v>559</v>
      </c>
      <c r="F620" s="27" t="s">
        <v>185</v>
      </c>
      <c r="G620" s="27" t="s">
        <v>383</v>
      </c>
      <c r="H620" s="30" t="s">
        <v>249</v>
      </c>
      <c r="I620" s="31" t="s">
        <v>1620</v>
      </c>
      <c r="J620" s="30" t="s">
        <v>1621</v>
      </c>
      <c r="K620" s="27">
        <v>17</v>
      </c>
      <c r="L620" s="27"/>
      <c r="M620" s="27"/>
      <c r="N620" s="31" t="s">
        <v>81</v>
      </c>
      <c r="O620" s="27"/>
      <c r="P620" s="30"/>
      <c r="Q620" s="30" t="s">
        <v>66</v>
      </c>
      <c r="R620" s="26">
        <v>46227</v>
      </c>
      <c r="S620" s="26">
        <v>46230</v>
      </c>
      <c r="T620" s="31"/>
      <c r="U620" s="30" t="s">
        <v>68</v>
      </c>
      <c r="V620" s="34" t="s">
        <v>70</v>
      </c>
      <c r="W620" s="27" t="s">
        <v>563</v>
      </c>
      <c r="X620" s="30">
        <v>1</v>
      </c>
      <c r="Y620" s="30">
        <v>1</v>
      </c>
      <c r="Z620" s="30">
        <v>1</v>
      </c>
      <c r="AA620" s="30">
        <v>1</v>
      </c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6"/>
      <c r="AS620" s="36"/>
      <c r="AT620" s="36"/>
      <c r="AU620" s="36"/>
      <c r="AV620" s="36"/>
      <c r="AW620" s="36" t="s">
        <v>69</v>
      </c>
      <c r="AX620" s="36" t="s">
        <v>81</v>
      </c>
      <c r="AY620" s="36" t="s">
        <v>41</v>
      </c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27"/>
      <c r="BL620" s="27"/>
    </row>
    <row r="621" spans="1:64">
      <c r="A621" s="68" t="s">
        <v>54</v>
      </c>
      <c r="B621" s="26">
        <v>46225</v>
      </c>
      <c r="C621" s="27">
        <v>7443</v>
      </c>
      <c r="D621" s="27"/>
      <c r="E621" s="27" t="s">
        <v>559</v>
      </c>
      <c r="F621" s="27" t="s">
        <v>185</v>
      </c>
      <c r="G621" s="27" t="s">
        <v>383</v>
      </c>
      <c r="H621" s="30" t="s">
        <v>431</v>
      </c>
      <c r="I621" s="31" t="s">
        <v>1622</v>
      </c>
      <c r="J621" s="30" t="s">
        <v>1623</v>
      </c>
      <c r="K621" s="27">
        <v>29</v>
      </c>
      <c r="L621" s="27"/>
      <c r="M621" s="27"/>
      <c r="N621" s="31" t="s">
        <v>455</v>
      </c>
      <c r="O621" s="27"/>
      <c r="P621" s="30"/>
      <c r="Q621" s="30" t="s">
        <v>434</v>
      </c>
      <c r="R621" s="26">
        <v>46227</v>
      </c>
      <c r="S621" s="26">
        <v>46230</v>
      </c>
      <c r="T621" s="31"/>
      <c r="U621" s="30" t="s">
        <v>68</v>
      </c>
      <c r="V621" s="34" t="s">
        <v>70</v>
      </c>
      <c r="W621" s="27" t="s">
        <v>563</v>
      </c>
      <c r="X621" s="30">
        <v>1</v>
      </c>
      <c r="Y621" s="30">
        <v>1</v>
      </c>
      <c r="Z621" s="30">
        <v>1</v>
      </c>
      <c r="AA621" s="30">
        <v>1</v>
      </c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6"/>
      <c r="AS621" s="36"/>
      <c r="AT621" s="36"/>
      <c r="AU621" s="36"/>
      <c r="AV621" s="36"/>
      <c r="AW621" s="36" t="s">
        <v>69</v>
      </c>
      <c r="AX621" s="36" t="s">
        <v>455</v>
      </c>
      <c r="AY621" s="36" t="s">
        <v>41</v>
      </c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27"/>
      <c r="BL621" s="27"/>
    </row>
    <row r="622" spans="1:64">
      <c r="A622" s="68" t="s">
        <v>54</v>
      </c>
      <c r="B622" s="26">
        <v>46225</v>
      </c>
      <c r="C622" s="27">
        <v>7442</v>
      </c>
      <c r="D622" s="27"/>
      <c r="E622" s="27" t="s">
        <v>559</v>
      </c>
      <c r="F622" s="27" t="s">
        <v>185</v>
      </c>
      <c r="G622" s="27" t="s">
        <v>383</v>
      </c>
      <c r="H622" s="30" t="s">
        <v>60</v>
      </c>
      <c r="I622" s="31" t="s">
        <v>1624</v>
      </c>
      <c r="J622" s="30" t="s">
        <v>1625</v>
      </c>
      <c r="K622" s="27">
        <v>19</v>
      </c>
      <c r="L622" s="27"/>
      <c r="M622" s="27"/>
      <c r="N622" s="31" t="s">
        <v>154</v>
      </c>
      <c r="O622" s="27"/>
      <c r="P622" s="30"/>
      <c r="Q622" s="30" t="s">
        <v>434</v>
      </c>
      <c r="R622" s="26">
        <v>46226</v>
      </c>
      <c r="S622" s="26">
        <v>46227</v>
      </c>
      <c r="T622" s="31"/>
      <c r="U622" s="30" t="s">
        <v>68</v>
      </c>
      <c r="V622" s="34" t="s">
        <v>70</v>
      </c>
      <c r="W622" s="27" t="s">
        <v>563</v>
      </c>
      <c r="X622" s="30"/>
      <c r="Y622" s="30"/>
      <c r="Z622" s="30"/>
      <c r="AA622" s="30">
        <v>1</v>
      </c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6"/>
      <c r="AS622" s="36"/>
      <c r="AT622" s="36"/>
      <c r="AU622" s="36"/>
      <c r="AV622" s="36"/>
      <c r="AW622" s="36" t="s">
        <v>69</v>
      </c>
      <c r="AX622" s="36" t="s">
        <v>1626</v>
      </c>
      <c r="AY622" s="36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27"/>
      <c r="BL622" s="27"/>
    </row>
    <row r="623" spans="1:64">
      <c r="A623" s="68" t="s">
        <v>54</v>
      </c>
      <c r="B623" s="26">
        <v>46225</v>
      </c>
      <c r="C623" s="27">
        <v>7441</v>
      </c>
      <c r="D623" s="27"/>
      <c r="E623" s="27" t="s">
        <v>559</v>
      </c>
      <c r="F623" s="27" t="s">
        <v>185</v>
      </c>
      <c r="G623" s="27" t="s">
        <v>383</v>
      </c>
      <c r="H623" s="30" t="s">
        <v>60</v>
      </c>
      <c r="I623" s="31" t="s">
        <v>1627</v>
      </c>
      <c r="J623" s="30" t="s">
        <v>1628</v>
      </c>
      <c r="K623" s="27">
        <v>3</v>
      </c>
      <c r="L623" s="27"/>
      <c r="M623" s="27"/>
      <c r="N623" s="31" t="s">
        <v>154</v>
      </c>
      <c r="O623" s="27"/>
      <c r="P623" s="30"/>
      <c r="Q623" s="30" t="s">
        <v>434</v>
      </c>
      <c r="R623" s="26">
        <v>46226</v>
      </c>
      <c r="S623" s="26">
        <v>46227</v>
      </c>
      <c r="T623" s="31"/>
      <c r="U623" s="30" t="s">
        <v>68</v>
      </c>
      <c r="V623" s="34" t="s">
        <v>70</v>
      </c>
      <c r="W623" s="27" t="s">
        <v>563</v>
      </c>
      <c r="X623" s="30"/>
      <c r="Y623" s="30"/>
      <c r="Z623" s="30"/>
      <c r="AA623" s="30">
        <v>1</v>
      </c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6"/>
      <c r="AS623" s="36"/>
      <c r="AT623" s="36"/>
      <c r="AU623" s="36"/>
      <c r="AV623" s="36"/>
      <c r="AW623" s="36" t="s">
        <v>69</v>
      </c>
      <c r="AX623" s="36" t="s">
        <v>1626</v>
      </c>
      <c r="AY623" s="36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27"/>
      <c r="BL623" s="27"/>
    </row>
    <row r="624" spans="1:64">
      <c r="A624" s="68" t="s">
        <v>54</v>
      </c>
      <c r="B624" s="26">
        <v>46225</v>
      </c>
      <c r="C624" s="27">
        <v>7440</v>
      </c>
      <c r="D624" s="27"/>
      <c r="E624" s="27" t="s">
        <v>559</v>
      </c>
      <c r="F624" s="27" t="s">
        <v>185</v>
      </c>
      <c r="G624" s="27" t="s">
        <v>383</v>
      </c>
      <c r="H624" s="30" t="s">
        <v>79</v>
      </c>
      <c r="I624" s="31" t="s">
        <v>1629</v>
      </c>
      <c r="J624" s="30" t="s">
        <v>1630</v>
      </c>
      <c r="K624" s="27">
        <v>29</v>
      </c>
      <c r="L624" s="27"/>
      <c r="M624" s="27"/>
      <c r="N624" s="31" t="s">
        <v>95</v>
      </c>
      <c r="O624" s="27"/>
      <c r="P624" s="30"/>
      <c r="Q624" s="30" t="s">
        <v>434</v>
      </c>
      <c r="R624" s="26">
        <v>46226</v>
      </c>
      <c r="S624" s="26">
        <v>46227</v>
      </c>
      <c r="T624" s="31"/>
      <c r="U624" s="30" t="s">
        <v>68</v>
      </c>
      <c r="V624" s="34" t="s">
        <v>70</v>
      </c>
      <c r="W624" s="27" t="s">
        <v>563</v>
      </c>
      <c r="X624" s="30"/>
      <c r="Y624" s="30"/>
      <c r="Z624" s="30"/>
      <c r="AA624" s="30">
        <v>1</v>
      </c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6"/>
      <c r="AS624" s="36"/>
      <c r="AT624" s="36"/>
      <c r="AU624" s="36"/>
      <c r="AV624" s="36"/>
      <c r="AW624" s="36" t="s">
        <v>69</v>
      </c>
      <c r="AX624" s="36" t="s">
        <v>1521</v>
      </c>
      <c r="AY624" s="36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27"/>
      <c r="BL624" s="27"/>
    </row>
    <row r="625" spans="1:64">
      <c r="A625" s="68" t="s">
        <v>54</v>
      </c>
      <c r="B625" s="26">
        <v>46225</v>
      </c>
      <c r="C625" s="27">
        <v>29982</v>
      </c>
      <c r="D625" s="27"/>
      <c r="E625" s="27" t="s">
        <v>1631</v>
      </c>
      <c r="F625" s="27" t="s">
        <v>59</v>
      </c>
      <c r="G625" s="27" t="s">
        <v>28</v>
      </c>
      <c r="H625" s="30" t="s">
        <v>1632</v>
      </c>
      <c r="I625" s="31" t="s">
        <v>1633</v>
      </c>
      <c r="J625" s="30" t="s">
        <v>1634</v>
      </c>
      <c r="K625" s="27" t="s">
        <v>1635</v>
      </c>
      <c r="L625" s="27"/>
      <c r="M625" s="27"/>
      <c r="N625" s="31" t="s">
        <v>784</v>
      </c>
      <c r="O625" s="27"/>
      <c r="P625" s="30"/>
      <c r="Q625" s="30" t="s">
        <v>434</v>
      </c>
      <c r="R625" s="26">
        <v>46230</v>
      </c>
      <c r="S625" s="26">
        <v>46234</v>
      </c>
      <c r="T625" s="31"/>
      <c r="U625" s="30" t="s">
        <v>68</v>
      </c>
      <c r="V625" s="34" t="s">
        <v>70</v>
      </c>
      <c r="W625" s="27" t="s">
        <v>103</v>
      </c>
      <c r="X625" s="30">
        <v>1</v>
      </c>
      <c r="Y625" s="30">
        <v>1</v>
      </c>
      <c r="Z625" s="30">
        <v>1</v>
      </c>
      <c r="AA625" s="30">
        <v>1</v>
      </c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6"/>
      <c r="AS625" s="36"/>
      <c r="AT625" s="36"/>
      <c r="AU625" s="36"/>
      <c r="AV625" s="36"/>
      <c r="AW625" s="36" t="s">
        <v>69</v>
      </c>
      <c r="AX625" s="36" t="s">
        <v>504</v>
      </c>
      <c r="AY625" s="36"/>
      <c r="AZ625" s="30" t="s">
        <v>325</v>
      </c>
      <c r="BA625" s="30"/>
      <c r="BB625" s="30" t="s">
        <v>1636</v>
      </c>
      <c r="BC625" s="30"/>
      <c r="BD625" s="30"/>
      <c r="BE625" s="30"/>
      <c r="BF625" s="30"/>
      <c r="BG625" s="30"/>
      <c r="BH625" s="30"/>
      <c r="BI625" s="30"/>
      <c r="BJ625" s="30"/>
      <c r="BK625" s="27"/>
      <c r="BL625" s="27"/>
    </row>
    <row r="626" spans="1:64">
      <c r="A626" s="68"/>
      <c r="B626" s="26">
        <v>46225</v>
      </c>
      <c r="C626" s="27">
        <v>29690</v>
      </c>
      <c r="D626" s="27" t="s">
        <v>360</v>
      </c>
      <c r="E626" s="27" t="s">
        <v>1637</v>
      </c>
      <c r="F626" s="27" t="s">
        <v>59</v>
      </c>
      <c r="G626" s="27" t="s">
        <v>309</v>
      </c>
      <c r="H626" s="30" t="s">
        <v>28</v>
      </c>
      <c r="I626" s="31" t="s">
        <v>1638</v>
      </c>
      <c r="J626" s="30" t="s">
        <v>1639</v>
      </c>
      <c r="K626" s="27">
        <v>8</v>
      </c>
      <c r="L626" s="27"/>
      <c r="M626" s="27">
        <v>300</v>
      </c>
      <c r="N626" s="31" t="s">
        <v>95</v>
      </c>
      <c r="O626" s="27"/>
      <c r="P626" s="30"/>
      <c r="Q626" s="30" t="s">
        <v>1640</v>
      </c>
      <c r="R626" s="26">
        <v>46228</v>
      </c>
      <c r="S626" s="26">
        <v>46230</v>
      </c>
      <c r="T626" s="31"/>
      <c r="U626" s="30" t="s">
        <v>68</v>
      </c>
      <c r="V626" s="34" t="s">
        <v>70</v>
      </c>
      <c r="W626" s="27" t="s">
        <v>96</v>
      </c>
      <c r="X626" s="30"/>
      <c r="Y626" s="30"/>
      <c r="Z626" s="30"/>
      <c r="AA626" s="30">
        <v>1</v>
      </c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6"/>
      <c r="AS626" s="36"/>
      <c r="AT626" s="36"/>
      <c r="AU626" s="36"/>
      <c r="AV626" s="36"/>
      <c r="AW626" s="36"/>
      <c r="AX626" s="36"/>
      <c r="AY626" s="36" t="s">
        <v>588</v>
      </c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27"/>
      <c r="BL626" s="27"/>
    </row>
    <row r="627" spans="1:64">
      <c r="A627" s="68"/>
      <c r="B627" s="26">
        <v>46225</v>
      </c>
      <c r="C627" s="27">
        <v>29691</v>
      </c>
      <c r="D627" s="27" t="s">
        <v>360</v>
      </c>
      <c r="E627" s="27" t="s">
        <v>1641</v>
      </c>
      <c r="F627" s="27" t="s">
        <v>59</v>
      </c>
      <c r="G627" s="27" t="s">
        <v>395</v>
      </c>
      <c r="H627" s="30" t="s">
        <v>28</v>
      </c>
      <c r="I627" s="31" t="s">
        <v>1638</v>
      </c>
      <c r="J627" s="30" t="s">
        <v>1639</v>
      </c>
      <c r="K627" s="27">
        <v>7</v>
      </c>
      <c r="L627" s="27"/>
      <c r="M627" s="27">
        <v>262</v>
      </c>
      <c r="N627" s="31" t="s">
        <v>95</v>
      </c>
      <c r="O627" s="27"/>
      <c r="P627" s="30"/>
      <c r="Q627" s="30" t="s">
        <v>1640</v>
      </c>
      <c r="R627" s="26">
        <v>46228</v>
      </c>
      <c r="S627" s="26">
        <v>46230</v>
      </c>
      <c r="T627" s="31"/>
      <c r="U627" s="30" t="s">
        <v>68</v>
      </c>
      <c r="V627" s="34" t="s">
        <v>70</v>
      </c>
      <c r="W627" s="27" t="s">
        <v>96</v>
      </c>
      <c r="X627" s="30"/>
      <c r="Y627" s="30"/>
      <c r="Z627" s="30"/>
      <c r="AA627" s="30">
        <v>1</v>
      </c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6"/>
      <c r="AS627" s="36"/>
      <c r="AT627" s="36"/>
      <c r="AU627" s="36"/>
      <c r="AV627" s="36"/>
      <c r="AW627" s="36"/>
      <c r="AX627" s="36"/>
      <c r="AY627" s="36" t="s">
        <v>588</v>
      </c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27"/>
      <c r="BL627" s="27"/>
    </row>
    <row r="628" spans="1:64">
      <c r="A628" s="68" t="s">
        <v>54</v>
      </c>
      <c r="B628" s="26">
        <v>46226</v>
      </c>
      <c r="C628" s="27">
        <v>29986</v>
      </c>
      <c r="D628" s="27"/>
      <c r="E628" s="27" t="s">
        <v>133</v>
      </c>
      <c r="F628" s="27" t="s">
        <v>59</v>
      </c>
      <c r="G628" s="27" t="s">
        <v>28</v>
      </c>
      <c r="H628" s="30" t="s">
        <v>175</v>
      </c>
      <c r="I628" s="31" t="s">
        <v>1642</v>
      </c>
      <c r="J628" s="30" t="s">
        <v>1643</v>
      </c>
      <c r="K628" s="27">
        <v>10</v>
      </c>
      <c r="L628" s="27"/>
      <c r="M628" s="27"/>
      <c r="N628" s="31" t="s">
        <v>81</v>
      </c>
      <c r="O628" s="27"/>
      <c r="P628" s="30"/>
      <c r="Q628" s="30" t="s">
        <v>66</v>
      </c>
      <c r="R628" s="26">
        <v>46227</v>
      </c>
      <c r="S628" s="26">
        <v>46230</v>
      </c>
      <c r="T628" s="31" t="s">
        <v>1644</v>
      </c>
      <c r="U628" s="30" t="s">
        <v>68</v>
      </c>
      <c r="V628" s="34" t="s">
        <v>70</v>
      </c>
      <c r="W628" s="27" t="s">
        <v>141</v>
      </c>
      <c r="X628" s="30">
        <v>1</v>
      </c>
      <c r="Y628" s="30">
        <v>1</v>
      </c>
      <c r="Z628" s="30">
        <v>1</v>
      </c>
      <c r="AA628" s="30">
        <v>1</v>
      </c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6"/>
      <c r="AS628" s="36"/>
      <c r="AT628" s="36"/>
      <c r="AU628" s="36"/>
      <c r="AV628" s="36"/>
      <c r="AW628" s="36"/>
      <c r="AX628" s="36" t="s">
        <v>1522</v>
      </c>
      <c r="AY628" s="36" t="s">
        <v>41</v>
      </c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27"/>
      <c r="BL628" s="27"/>
    </row>
    <row r="629" spans="1:64">
      <c r="A629" s="68" t="s">
        <v>54</v>
      </c>
      <c r="B629" s="26">
        <v>46226</v>
      </c>
      <c r="C629" s="27"/>
      <c r="D629" s="27">
        <v>138799</v>
      </c>
      <c r="E629" s="27" t="s">
        <v>284</v>
      </c>
      <c r="F629" s="27" t="s">
        <v>59</v>
      </c>
      <c r="G629" s="27" t="s">
        <v>104</v>
      </c>
      <c r="H629" s="30" t="s">
        <v>412</v>
      </c>
      <c r="I629" s="31" t="s">
        <v>1645</v>
      </c>
      <c r="J629" s="30" t="s">
        <v>1646</v>
      </c>
      <c r="K629" s="27">
        <v>21</v>
      </c>
      <c r="L629" s="27">
        <v>143.47</v>
      </c>
      <c r="M629" s="27"/>
      <c r="N629" s="31" t="s">
        <v>1647</v>
      </c>
      <c r="O629" s="27"/>
      <c r="P629" s="30"/>
      <c r="Q629" s="30" t="s">
        <v>66</v>
      </c>
      <c r="R629" s="26">
        <v>46227</v>
      </c>
      <c r="S629" s="26">
        <v>46230</v>
      </c>
      <c r="T629" s="31"/>
      <c r="U629" s="30" t="s">
        <v>68</v>
      </c>
      <c r="V629" s="34" t="s">
        <v>70</v>
      </c>
      <c r="W629" s="27" t="s">
        <v>284</v>
      </c>
      <c r="X629" s="30">
        <v>1</v>
      </c>
      <c r="Y629" s="30">
        <v>1</v>
      </c>
      <c r="Z629" s="30">
        <v>1</v>
      </c>
      <c r="AA629" s="30">
        <v>1</v>
      </c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6"/>
      <c r="AS629" s="36"/>
      <c r="AT629" s="36"/>
      <c r="AU629" s="36"/>
      <c r="AV629" s="36"/>
      <c r="AW629" s="36"/>
      <c r="AX629" s="36" t="s">
        <v>1449</v>
      </c>
      <c r="AY629" s="36" t="s">
        <v>41</v>
      </c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27"/>
      <c r="BL629" s="27"/>
    </row>
    <row r="630" spans="1:64">
      <c r="A630" s="68" t="s">
        <v>54</v>
      </c>
      <c r="B630" s="26">
        <v>46226</v>
      </c>
      <c r="C630" s="27"/>
      <c r="D630" s="27">
        <v>138795</v>
      </c>
      <c r="E630" s="27" t="s">
        <v>284</v>
      </c>
      <c r="F630" s="27" t="s">
        <v>59</v>
      </c>
      <c r="G630" s="27" t="s">
        <v>104</v>
      </c>
      <c r="H630" s="30" t="s">
        <v>412</v>
      </c>
      <c r="I630" s="31" t="s">
        <v>1648</v>
      </c>
      <c r="J630" s="30" t="s">
        <v>1649</v>
      </c>
      <c r="K630" s="27">
        <v>1</v>
      </c>
      <c r="L630" s="27">
        <v>0.5</v>
      </c>
      <c r="M630" s="27"/>
      <c r="N630" s="31" t="s">
        <v>154</v>
      </c>
      <c r="O630" s="27"/>
      <c r="P630" s="30"/>
      <c r="Q630" s="30" t="s">
        <v>66</v>
      </c>
      <c r="R630" s="26">
        <v>46227</v>
      </c>
      <c r="S630" s="26">
        <v>46230</v>
      </c>
      <c r="T630" s="31"/>
      <c r="U630" s="30" t="s">
        <v>68</v>
      </c>
      <c r="V630" s="34" t="s">
        <v>70</v>
      </c>
      <c r="W630" s="27" t="s">
        <v>284</v>
      </c>
      <c r="X630" s="30">
        <v>1</v>
      </c>
      <c r="Y630" s="30">
        <v>1</v>
      </c>
      <c r="Z630" s="30">
        <v>1</v>
      </c>
      <c r="AA630" s="30">
        <v>1</v>
      </c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6"/>
      <c r="AS630" s="36"/>
      <c r="AT630" s="36"/>
      <c r="AU630" s="36"/>
      <c r="AV630" s="36"/>
      <c r="AW630" s="36"/>
      <c r="AX630" s="36" t="s">
        <v>1449</v>
      </c>
      <c r="AY630" s="36" t="s">
        <v>41</v>
      </c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27"/>
      <c r="BL630" s="27"/>
    </row>
    <row r="631" spans="1:64">
      <c r="A631" s="68" t="s">
        <v>54</v>
      </c>
      <c r="B631" s="26">
        <v>46226</v>
      </c>
      <c r="C631" s="27"/>
      <c r="D631" s="27">
        <v>138798</v>
      </c>
      <c r="E631" s="27" t="s">
        <v>284</v>
      </c>
      <c r="F631" s="27" t="s">
        <v>59</v>
      </c>
      <c r="G631" s="27" t="s">
        <v>104</v>
      </c>
      <c r="H631" s="30" t="s">
        <v>144</v>
      </c>
      <c r="I631" s="31" t="s">
        <v>1650</v>
      </c>
      <c r="J631" s="30" t="s">
        <v>1651</v>
      </c>
      <c r="K631" s="27">
        <v>13</v>
      </c>
      <c r="L631" s="27">
        <v>47.765000000000001</v>
      </c>
      <c r="M631" s="27"/>
      <c r="N631" s="31" t="s">
        <v>81</v>
      </c>
      <c r="O631" s="27"/>
      <c r="P631" s="30"/>
      <c r="Q631" s="30" t="s">
        <v>66</v>
      </c>
      <c r="R631" s="26">
        <v>46227</v>
      </c>
      <c r="S631" s="26">
        <v>46230</v>
      </c>
      <c r="T631" s="31"/>
      <c r="U631" s="30" t="s">
        <v>68</v>
      </c>
      <c r="V631" s="34" t="s">
        <v>70</v>
      </c>
      <c r="W631" s="27" t="s">
        <v>284</v>
      </c>
      <c r="X631" s="30">
        <v>1</v>
      </c>
      <c r="Y631" s="30">
        <v>1</v>
      </c>
      <c r="Z631" s="30">
        <v>1</v>
      </c>
      <c r="AA631" s="30">
        <v>1</v>
      </c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6"/>
      <c r="AS631" s="36"/>
      <c r="AT631" s="36"/>
      <c r="AU631" s="36"/>
      <c r="AV631" s="36"/>
      <c r="AW631" s="36"/>
      <c r="AX631" s="36" t="s">
        <v>1522</v>
      </c>
      <c r="AY631" s="36" t="s">
        <v>41</v>
      </c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27"/>
      <c r="BL631" s="27"/>
    </row>
    <row r="632" spans="1:64">
      <c r="A632" s="68" t="s">
        <v>54</v>
      </c>
      <c r="B632" s="26">
        <v>46226</v>
      </c>
      <c r="C632" s="27"/>
      <c r="D632" s="27">
        <v>138793</v>
      </c>
      <c r="E632" s="27" t="s">
        <v>284</v>
      </c>
      <c r="F632" s="27" t="s">
        <v>59</v>
      </c>
      <c r="G632" s="27" t="s">
        <v>104</v>
      </c>
      <c r="H632" s="30" t="s">
        <v>378</v>
      </c>
      <c r="I632" s="31" t="s">
        <v>1652</v>
      </c>
      <c r="J632" s="30" t="s">
        <v>1653</v>
      </c>
      <c r="K632" s="27">
        <v>1</v>
      </c>
      <c r="L632" s="27">
        <v>0.35</v>
      </c>
      <c r="M632" s="27"/>
      <c r="N632" s="31" t="s">
        <v>455</v>
      </c>
      <c r="O632" s="27"/>
      <c r="P632" s="30"/>
      <c r="Q632" s="30" t="s">
        <v>66</v>
      </c>
      <c r="R632" s="26">
        <v>46227</v>
      </c>
      <c r="S632" s="26">
        <v>46230</v>
      </c>
      <c r="T632" s="31"/>
      <c r="U632" s="30" t="s">
        <v>68</v>
      </c>
      <c r="V632" s="34" t="s">
        <v>70</v>
      </c>
      <c r="W632" s="27" t="s">
        <v>284</v>
      </c>
      <c r="X632" s="30">
        <v>1</v>
      </c>
      <c r="Y632" s="30">
        <v>1</v>
      </c>
      <c r="Z632" s="30">
        <v>1</v>
      </c>
      <c r="AA632" s="30">
        <v>1</v>
      </c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6"/>
      <c r="AS632" s="36"/>
      <c r="AT632" s="36"/>
      <c r="AU632" s="36"/>
      <c r="AV632" s="36"/>
      <c r="AW632" s="36"/>
      <c r="AX632" s="36" t="s">
        <v>1323</v>
      </c>
      <c r="AY632" s="36" t="s">
        <v>41</v>
      </c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27"/>
      <c r="BL632" s="27"/>
    </row>
    <row r="633" spans="1:64">
      <c r="A633" s="68" t="s">
        <v>54</v>
      </c>
      <c r="B633" s="26">
        <v>46226</v>
      </c>
      <c r="C633" s="27"/>
      <c r="D633" s="27">
        <v>138794</v>
      </c>
      <c r="E633" s="27" t="s">
        <v>284</v>
      </c>
      <c r="F633" s="27" t="s">
        <v>59</v>
      </c>
      <c r="G633" s="27" t="s">
        <v>104</v>
      </c>
      <c r="H633" s="30" t="s">
        <v>409</v>
      </c>
      <c r="I633" s="31" t="s">
        <v>1654</v>
      </c>
      <c r="J633" s="30" t="s">
        <v>1655</v>
      </c>
      <c r="K633" s="27">
        <v>1</v>
      </c>
      <c r="L633" s="27">
        <v>1</v>
      </c>
      <c r="M633" s="27"/>
      <c r="N633" s="31" t="s">
        <v>81</v>
      </c>
      <c r="O633" s="27"/>
      <c r="P633" s="30"/>
      <c r="Q633" s="30" t="s">
        <v>66</v>
      </c>
      <c r="R633" s="26">
        <v>46227</v>
      </c>
      <c r="S633" s="26">
        <v>46230</v>
      </c>
      <c r="T633" s="31"/>
      <c r="U633" s="30" t="s">
        <v>68</v>
      </c>
      <c r="V633" s="34" t="s">
        <v>70</v>
      </c>
      <c r="W633" s="27" t="s">
        <v>284</v>
      </c>
      <c r="X633" s="30"/>
      <c r="Y633" s="30"/>
      <c r="Z633" s="30"/>
      <c r="AA633" s="30">
        <v>1</v>
      </c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6"/>
      <c r="AS633" s="36"/>
      <c r="AT633" s="36"/>
      <c r="AU633" s="36"/>
      <c r="AV633" s="36"/>
      <c r="AW633" s="36"/>
      <c r="AX633" s="36" t="s">
        <v>1522</v>
      </c>
      <c r="AY633" s="36" t="s">
        <v>41</v>
      </c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27"/>
      <c r="BL633" s="27"/>
    </row>
    <row r="634" spans="1:64">
      <c r="A634" s="68" t="s">
        <v>54</v>
      </c>
      <c r="B634" s="26">
        <v>46226</v>
      </c>
      <c r="C634" s="27"/>
      <c r="D634" s="27">
        <v>138796</v>
      </c>
      <c r="E634" s="27" t="s">
        <v>284</v>
      </c>
      <c r="F634" s="27" t="s">
        <v>59</v>
      </c>
      <c r="G634" s="27" t="s">
        <v>104</v>
      </c>
      <c r="H634" s="30" t="s">
        <v>378</v>
      </c>
      <c r="I634" s="31" t="s">
        <v>1656</v>
      </c>
      <c r="J634" s="30" t="s">
        <v>1657</v>
      </c>
      <c r="K634" s="27">
        <v>3</v>
      </c>
      <c r="L634" s="27">
        <v>40.840000000000003</v>
      </c>
      <c r="M634" s="27"/>
      <c r="N634" s="31" t="s">
        <v>455</v>
      </c>
      <c r="O634" s="27"/>
      <c r="P634" s="30"/>
      <c r="Q634" s="30" t="s">
        <v>66</v>
      </c>
      <c r="R634" s="26">
        <v>46227</v>
      </c>
      <c r="S634" s="26">
        <v>46230</v>
      </c>
      <c r="T634" s="31"/>
      <c r="U634" s="30" t="s">
        <v>68</v>
      </c>
      <c r="V634" s="34" t="s">
        <v>70</v>
      </c>
      <c r="W634" s="27" t="s">
        <v>284</v>
      </c>
      <c r="X634" s="30">
        <v>1</v>
      </c>
      <c r="Y634" s="30">
        <v>1</v>
      </c>
      <c r="Z634" s="30">
        <v>1</v>
      </c>
      <c r="AA634" s="30">
        <v>1</v>
      </c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6"/>
      <c r="AS634" s="36"/>
      <c r="AT634" s="36"/>
      <c r="AU634" s="36"/>
      <c r="AV634" s="36"/>
      <c r="AW634" s="36"/>
      <c r="AX634" s="36" t="s">
        <v>1323</v>
      </c>
      <c r="AY634" s="36" t="s">
        <v>41</v>
      </c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27"/>
      <c r="BL634" s="27"/>
    </row>
    <row r="635" spans="1:64">
      <c r="A635" s="68" t="s">
        <v>54</v>
      </c>
      <c r="B635" s="26">
        <v>46226</v>
      </c>
      <c r="C635" s="27"/>
      <c r="D635" s="27">
        <v>138790</v>
      </c>
      <c r="E635" s="27" t="s">
        <v>284</v>
      </c>
      <c r="F635" s="27" t="s">
        <v>59</v>
      </c>
      <c r="G635" s="27" t="s">
        <v>104</v>
      </c>
      <c r="H635" s="30" t="s">
        <v>409</v>
      </c>
      <c r="I635" s="31" t="s">
        <v>1658</v>
      </c>
      <c r="J635" s="30" t="s">
        <v>1659</v>
      </c>
      <c r="K635" s="27">
        <v>1</v>
      </c>
      <c r="L635" s="27">
        <v>1.29</v>
      </c>
      <c r="M635" s="27"/>
      <c r="N635" s="31" t="s">
        <v>81</v>
      </c>
      <c r="O635" s="27"/>
      <c r="P635" s="30"/>
      <c r="Q635" s="30" t="s">
        <v>66</v>
      </c>
      <c r="R635" s="26">
        <v>46227</v>
      </c>
      <c r="S635" s="26">
        <v>46230</v>
      </c>
      <c r="T635" s="31"/>
      <c r="U635" s="30" t="s">
        <v>68</v>
      </c>
      <c r="V635" s="34" t="s">
        <v>70</v>
      </c>
      <c r="W635" s="27" t="s">
        <v>284</v>
      </c>
      <c r="X635" s="30"/>
      <c r="Y635" s="30"/>
      <c r="Z635" s="30"/>
      <c r="AA635" s="30">
        <v>1</v>
      </c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6"/>
      <c r="AS635" s="36"/>
      <c r="AT635" s="36"/>
      <c r="AU635" s="36"/>
      <c r="AV635" s="36"/>
      <c r="AW635" s="36"/>
      <c r="AX635" s="36" t="s">
        <v>1522</v>
      </c>
      <c r="AY635" s="36" t="s">
        <v>90</v>
      </c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27"/>
      <c r="BL635" s="27"/>
    </row>
    <row r="636" spans="1:64">
      <c r="A636" s="68" t="s">
        <v>54</v>
      </c>
      <c r="B636" s="26">
        <v>46226</v>
      </c>
      <c r="C636" s="27"/>
      <c r="D636" s="27">
        <v>138792</v>
      </c>
      <c r="E636" s="27" t="s">
        <v>284</v>
      </c>
      <c r="F636" s="27" t="s">
        <v>59</v>
      </c>
      <c r="G636" s="27" t="s">
        <v>104</v>
      </c>
      <c r="H636" s="30" t="s">
        <v>767</v>
      </c>
      <c r="I636" s="31" t="s">
        <v>1660</v>
      </c>
      <c r="J636" s="30" t="s">
        <v>1661</v>
      </c>
      <c r="K636" s="27">
        <v>1</v>
      </c>
      <c r="L636" s="27">
        <v>0.56000000000000005</v>
      </c>
      <c r="M636" s="27"/>
      <c r="N636" s="31" t="s">
        <v>81</v>
      </c>
      <c r="O636" s="27"/>
      <c r="P636" s="30"/>
      <c r="Q636" s="30" t="s">
        <v>66</v>
      </c>
      <c r="R636" s="26">
        <v>46230</v>
      </c>
      <c r="S636" s="26">
        <v>46232</v>
      </c>
      <c r="T636" s="31"/>
      <c r="U636" s="30" t="s">
        <v>68</v>
      </c>
      <c r="V636" s="34" t="s">
        <v>70</v>
      </c>
      <c r="W636" s="27" t="s">
        <v>284</v>
      </c>
      <c r="X636" s="30">
        <v>1</v>
      </c>
      <c r="Y636" s="30">
        <v>1</v>
      </c>
      <c r="Z636" s="30">
        <v>1</v>
      </c>
      <c r="AA636" s="30">
        <v>1</v>
      </c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6"/>
      <c r="AS636" s="36"/>
      <c r="AT636" s="36"/>
      <c r="AU636" s="36"/>
      <c r="AV636" s="36"/>
      <c r="AW636" s="36"/>
      <c r="AX636" s="36" t="s">
        <v>69</v>
      </c>
      <c r="AY636" s="36"/>
      <c r="AZ636" s="30"/>
      <c r="BA636" s="30"/>
      <c r="BB636" s="30" t="s">
        <v>88</v>
      </c>
      <c r="BC636" s="30"/>
      <c r="BD636" s="30"/>
      <c r="BE636" s="30"/>
      <c r="BF636" s="30"/>
      <c r="BG636" s="30"/>
      <c r="BH636" s="30"/>
      <c r="BI636" s="30"/>
      <c r="BJ636" s="30"/>
      <c r="BK636" s="27"/>
      <c r="BL636" s="27"/>
    </row>
    <row r="637" spans="1:64">
      <c r="A637" s="68" t="s">
        <v>54</v>
      </c>
      <c r="B637" s="26">
        <v>46226</v>
      </c>
      <c r="C637" s="27"/>
      <c r="D637" s="27">
        <v>138797</v>
      </c>
      <c r="E637" s="27" t="s">
        <v>284</v>
      </c>
      <c r="F637" s="27" t="s">
        <v>59</v>
      </c>
      <c r="G637" s="27" t="s">
        <v>104</v>
      </c>
      <c r="H637" s="30" t="s">
        <v>409</v>
      </c>
      <c r="I637" s="31" t="s">
        <v>1662</v>
      </c>
      <c r="J637" s="30" t="s">
        <v>1663</v>
      </c>
      <c r="K637" s="27">
        <v>1</v>
      </c>
      <c r="L637" s="27">
        <v>7.42</v>
      </c>
      <c r="M637" s="27"/>
      <c r="N637" s="31" t="s">
        <v>81</v>
      </c>
      <c r="O637" s="27"/>
      <c r="P637" s="30"/>
      <c r="Q637" s="30" t="s">
        <v>66</v>
      </c>
      <c r="R637" s="26">
        <v>46228</v>
      </c>
      <c r="S637" s="26">
        <v>46230</v>
      </c>
      <c r="T637" s="31"/>
      <c r="U637" s="30" t="s">
        <v>68</v>
      </c>
      <c r="V637" s="34" t="s">
        <v>70</v>
      </c>
      <c r="W637" s="27" t="s">
        <v>284</v>
      </c>
      <c r="X637" s="30">
        <v>1</v>
      </c>
      <c r="Y637" s="30">
        <v>1</v>
      </c>
      <c r="Z637" s="30">
        <v>1</v>
      </c>
      <c r="AA637" s="30">
        <v>1</v>
      </c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6"/>
      <c r="AS637" s="36"/>
      <c r="AT637" s="36"/>
      <c r="AU637" s="36"/>
      <c r="AV637" s="36"/>
      <c r="AW637" s="36"/>
      <c r="AX637" s="36" t="s">
        <v>1522</v>
      </c>
      <c r="AY637" s="36"/>
      <c r="AZ637" s="30" t="s">
        <v>41</v>
      </c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27"/>
      <c r="BL637" s="27"/>
    </row>
    <row r="638" spans="1:64">
      <c r="A638" s="68" t="s">
        <v>54</v>
      </c>
      <c r="B638" s="26">
        <v>46226</v>
      </c>
      <c r="C638" s="27"/>
      <c r="D638" s="27">
        <v>138791</v>
      </c>
      <c r="E638" s="27" t="s">
        <v>284</v>
      </c>
      <c r="F638" s="27" t="s">
        <v>59</v>
      </c>
      <c r="G638" s="27" t="s">
        <v>104</v>
      </c>
      <c r="H638" s="30" t="s">
        <v>992</v>
      </c>
      <c r="I638" s="31" t="s">
        <v>1664</v>
      </c>
      <c r="J638" s="30" t="s">
        <v>1665</v>
      </c>
      <c r="K638" s="27">
        <v>1</v>
      </c>
      <c r="L638" s="27">
        <v>0.93</v>
      </c>
      <c r="M638" s="27"/>
      <c r="N638" s="31" t="s">
        <v>455</v>
      </c>
      <c r="O638" s="27"/>
      <c r="P638" s="30"/>
      <c r="Q638" s="30" t="s">
        <v>66</v>
      </c>
      <c r="R638" s="26">
        <v>46227</v>
      </c>
      <c r="S638" s="26">
        <v>46230</v>
      </c>
      <c r="T638" s="31"/>
      <c r="U638" s="30" t="s">
        <v>68</v>
      </c>
      <c r="V638" s="34" t="s">
        <v>70</v>
      </c>
      <c r="W638" s="27" t="s">
        <v>284</v>
      </c>
      <c r="X638" s="30">
        <v>1</v>
      </c>
      <c r="Y638" s="30">
        <v>1</v>
      </c>
      <c r="Z638" s="30">
        <v>1</v>
      </c>
      <c r="AA638" s="30">
        <v>1</v>
      </c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6"/>
      <c r="AS638" s="36"/>
      <c r="AT638" s="36"/>
      <c r="AU638" s="36"/>
      <c r="AV638" s="36"/>
      <c r="AW638" s="36"/>
      <c r="AX638" s="36" t="s">
        <v>1323</v>
      </c>
      <c r="AY638" s="36" t="s">
        <v>41</v>
      </c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27"/>
      <c r="BL638" s="27"/>
    </row>
    <row r="639" spans="1:64">
      <c r="A639" s="68" t="s">
        <v>187</v>
      </c>
      <c r="B639" s="26">
        <v>46226</v>
      </c>
      <c r="C639" s="27"/>
      <c r="D639" s="27">
        <v>46809</v>
      </c>
      <c r="E639" s="27" t="s">
        <v>1190</v>
      </c>
      <c r="F639" s="27" t="s">
        <v>59</v>
      </c>
      <c r="G639" s="27" t="s">
        <v>104</v>
      </c>
      <c r="H639" s="30" t="s">
        <v>189</v>
      </c>
      <c r="I639" s="31" t="s">
        <v>1195</v>
      </c>
      <c r="J639" s="30" t="s">
        <v>189</v>
      </c>
      <c r="K639" s="27">
        <v>13</v>
      </c>
      <c r="L639" s="27">
        <v>517</v>
      </c>
      <c r="M639" s="27" t="s">
        <v>1666</v>
      </c>
      <c r="N639" s="31" t="s">
        <v>154</v>
      </c>
      <c r="O639" s="27"/>
      <c r="P639" s="30"/>
      <c r="Q639" s="30" t="s">
        <v>66</v>
      </c>
      <c r="R639" s="26">
        <v>46228</v>
      </c>
      <c r="S639" s="26">
        <v>46230</v>
      </c>
      <c r="T639" s="31"/>
      <c r="U639" s="30" t="s">
        <v>68</v>
      </c>
      <c r="V639" s="34" t="s">
        <v>70</v>
      </c>
      <c r="W639" s="27" t="s">
        <v>174</v>
      </c>
      <c r="X639" s="30">
        <v>1</v>
      </c>
      <c r="Y639" s="30">
        <v>1</v>
      </c>
      <c r="Z639" s="30">
        <v>1</v>
      </c>
      <c r="AA639" s="30">
        <v>1</v>
      </c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6"/>
      <c r="AS639" s="36"/>
      <c r="AT639" s="36"/>
      <c r="AU639" s="36"/>
      <c r="AV639" s="36"/>
      <c r="AW639" s="36"/>
      <c r="AX639" s="36" t="s">
        <v>1449</v>
      </c>
      <c r="AY639" s="36"/>
      <c r="AZ639" s="30" t="s">
        <v>41</v>
      </c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27"/>
      <c r="BL639" s="27"/>
    </row>
    <row r="640" spans="1:64">
      <c r="A640" s="68" t="s">
        <v>187</v>
      </c>
      <c r="B640" s="26">
        <v>46226</v>
      </c>
      <c r="C640" s="27"/>
      <c r="D640" s="27">
        <v>46810</v>
      </c>
      <c r="E640" s="27" t="s">
        <v>1190</v>
      </c>
      <c r="F640" s="27" t="s">
        <v>59</v>
      </c>
      <c r="G640" s="27" t="s">
        <v>104</v>
      </c>
      <c r="H640" s="30" t="s">
        <v>189</v>
      </c>
      <c r="I640" s="31" t="s">
        <v>1667</v>
      </c>
      <c r="J640" s="30" t="s">
        <v>189</v>
      </c>
      <c r="K640" s="27">
        <v>4</v>
      </c>
      <c r="L640" s="27">
        <v>35</v>
      </c>
      <c r="M640" s="48">
        <v>46252</v>
      </c>
      <c r="N640" s="31" t="s">
        <v>154</v>
      </c>
      <c r="O640" s="27"/>
      <c r="P640" s="30"/>
      <c r="Q640" s="30" t="s">
        <v>66</v>
      </c>
      <c r="R640" s="26">
        <v>46228</v>
      </c>
      <c r="S640" s="26">
        <v>46230</v>
      </c>
      <c r="T640" s="31"/>
      <c r="U640" s="30" t="s">
        <v>68</v>
      </c>
      <c r="V640" s="34" t="s">
        <v>70</v>
      </c>
      <c r="W640" s="27" t="s">
        <v>174</v>
      </c>
      <c r="X640" s="30">
        <v>1</v>
      </c>
      <c r="Y640" s="30">
        <v>1</v>
      </c>
      <c r="Z640" s="30">
        <v>1</v>
      </c>
      <c r="AA640" s="30">
        <v>1</v>
      </c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6"/>
      <c r="AS640" s="36"/>
      <c r="AT640" s="36"/>
      <c r="AU640" s="36"/>
      <c r="AV640" s="36"/>
      <c r="AW640" s="36"/>
      <c r="AX640" s="36" t="s">
        <v>1449</v>
      </c>
      <c r="AY640" s="36"/>
      <c r="AZ640" s="30" t="s">
        <v>41</v>
      </c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27"/>
      <c r="BL640" s="27"/>
    </row>
    <row r="641" spans="1:64">
      <c r="A641" s="68" t="s">
        <v>54</v>
      </c>
      <c r="B641" s="26">
        <v>46226</v>
      </c>
      <c r="C641" s="27"/>
      <c r="D641" s="27">
        <v>46808</v>
      </c>
      <c r="E641" s="27" t="s">
        <v>1190</v>
      </c>
      <c r="F641" s="27" t="s">
        <v>59</v>
      </c>
      <c r="G641" s="27" t="s">
        <v>104</v>
      </c>
      <c r="H641" s="30" t="s">
        <v>309</v>
      </c>
      <c r="I641" s="31" t="s">
        <v>171</v>
      </c>
      <c r="J641" s="30" t="s">
        <v>309</v>
      </c>
      <c r="K641" s="27">
        <v>14</v>
      </c>
      <c r="L641" s="27">
        <v>311</v>
      </c>
      <c r="M641" s="27" t="s">
        <v>1668</v>
      </c>
      <c r="N641" s="31" t="s">
        <v>455</v>
      </c>
      <c r="O641" s="27"/>
      <c r="P641" s="30"/>
      <c r="Q641" s="30" t="s">
        <v>66</v>
      </c>
      <c r="R641" s="26">
        <v>46228</v>
      </c>
      <c r="S641" s="26">
        <v>46230</v>
      </c>
      <c r="T641" s="31"/>
      <c r="U641" s="30" t="s">
        <v>68</v>
      </c>
      <c r="V641" s="34" t="s">
        <v>70</v>
      </c>
      <c r="W641" s="27" t="s">
        <v>174</v>
      </c>
      <c r="X641" s="30">
        <v>1</v>
      </c>
      <c r="Y641" s="30">
        <v>1</v>
      </c>
      <c r="Z641" s="30">
        <v>1</v>
      </c>
      <c r="AA641" s="30">
        <v>1</v>
      </c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6"/>
      <c r="AS641" s="36"/>
      <c r="AT641" s="36"/>
      <c r="AU641" s="36"/>
      <c r="AV641" s="36"/>
      <c r="AW641" s="36"/>
      <c r="AX641" s="36" t="s">
        <v>1323</v>
      </c>
      <c r="AY641" s="36"/>
      <c r="AZ641" s="30" t="s">
        <v>41</v>
      </c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27"/>
      <c r="BL641" s="27"/>
    </row>
    <row r="642" spans="1:64">
      <c r="A642" s="68" t="s">
        <v>54</v>
      </c>
      <c r="B642" s="26">
        <v>46226</v>
      </c>
      <c r="C642" s="27"/>
      <c r="D642" s="27">
        <v>46807</v>
      </c>
      <c r="E642" s="27" t="s">
        <v>1190</v>
      </c>
      <c r="F642" s="27" t="s">
        <v>59</v>
      </c>
      <c r="G642" s="27" t="s">
        <v>104</v>
      </c>
      <c r="H642" s="30" t="s">
        <v>378</v>
      </c>
      <c r="I642" s="31" t="s">
        <v>1669</v>
      </c>
      <c r="J642" s="30" t="s">
        <v>378</v>
      </c>
      <c r="K642" s="27">
        <v>1</v>
      </c>
      <c r="L642" s="27">
        <v>2</v>
      </c>
      <c r="M642" s="27" t="s">
        <v>1670</v>
      </c>
      <c r="N642" s="31" t="s">
        <v>455</v>
      </c>
      <c r="O642" s="27"/>
      <c r="P642" s="30"/>
      <c r="Q642" s="30" t="s">
        <v>66</v>
      </c>
      <c r="R642" s="26">
        <v>46227</v>
      </c>
      <c r="S642" s="26">
        <v>46230</v>
      </c>
      <c r="T642" s="31"/>
      <c r="U642" s="30" t="s">
        <v>68</v>
      </c>
      <c r="V642" s="34" t="s">
        <v>70</v>
      </c>
      <c r="W642" s="27" t="s">
        <v>174</v>
      </c>
      <c r="X642" s="30">
        <v>1</v>
      </c>
      <c r="Y642" s="30">
        <v>1</v>
      </c>
      <c r="Z642" s="30">
        <v>1</v>
      </c>
      <c r="AA642" s="30">
        <v>1</v>
      </c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6"/>
      <c r="AS642" s="36"/>
      <c r="AT642" s="36"/>
      <c r="AU642" s="36"/>
      <c r="AV642" s="36"/>
      <c r="AW642" s="36"/>
      <c r="AX642" s="36" t="s">
        <v>1323</v>
      </c>
      <c r="AY642" s="36" t="s">
        <v>41</v>
      </c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27"/>
      <c r="BL642" s="27"/>
    </row>
    <row r="643" spans="1:64">
      <c r="A643" s="68" t="s">
        <v>54</v>
      </c>
      <c r="B643" s="26">
        <v>46226</v>
      </c>
      <c r="C643" s="27">
        <v>29987</v>
      </c>
      <c r="D643" s="27"/>
      <c r="E643" s="27" t="s">
        <v>133</v>
      </c>
      <c r="F643" s="27" t="s">
        <v>59</v>
      </c>
      <c r="G643" s="27" t="s">
        <v>383</v>
      </c>
      <c r="H643" s="30" t="s">
        <v>309</v>
      </c>
      <c r="I643" s="31" t="s">
        <v>1143</v>
      </c>
      <c r="J643" s="30" t="s">
        <v>1672</v>
      </c>
      <c r="K643" s="27">
        <v>9</v>
      </c>
      <c r="L643" s="27"/>
      <c r="M643" s="27"/>
      <c r="N643" s="31" t="s">
        <v>455</v>
      </c>
      <c r="O643" s="27"/>
      <c r="P643" s="30"/>
      <c r="Q643" s="30" t="s">
        <v>1673</v>
      </c>
      <c r="R643" s="26">
        <v>46228</v>
      </c>
      <c r="S643" s="26">
        <v>46230</v>
      </c>
      <c r="T643" s="31" t="s">
        <v>1674</v>
      </c>
      <c r="U643" s="30" t="s">
        <v>68</v>
      </c>
      <c r="V643" s="34" t="s">
        <v>70</v>
      </c>
      <c r="W643" s="27" t="s">
        <v>141</v>
      </c>
      <c r="X643" s="30"/>
      <c r="Y643" s="30"/>
      <c r="Z643" s="30"/>
      <c r="AA643" s="30">
        <v>1</v>
      </c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6"/>
      <c r="AS643" s="36"/>
      <c r="AT643" s="36"/>
      <c r="AU643" s="36"/>
      <c r="AV643" s="36"/>
      <c r="AW643" s="36"/>
      <c r="AX643" s="36" t="s">
        <v>1323</v>
      </c>
      <c r="AY643" s="36"/>
      <c r="AZ643" s="30" t="s">
        <v>906</v>
      </c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27"/>
      <c r="BL643" s="27"/>
    </row>
    <row r="644" spans="1:64">
      <c r="A644" s="68" t="s">
        <v>54</v>
      </c>
      <c r="B644" s="26">
        <v>46226</v>
      </c>
      <c r="C644" s="27"/>
      <c r="D644" s="27">
        <v>50013543</v>
      </c>
      <c r="E644" s="27" t="s">
        <v>333</v>
      </c>
      <c r="F644" s="27" t="s">
        <v>334</v>
      </c>
      <c r="G644" s="27" t="s">
        <v>383</v>
      </c>
      <c r="H644" s="30" t="s">
        <v>679</v>
      </c>
      <c r="I644" s="31" t="s">
        <v>1675</v>
      </c>
      <c r="J644" s="30" t="s">
        <v>91</v>
      </c>
      <c r="K644" s="27">
        <v>6</v>
      </c>
      <c r="L644" s="27">
        <v>72</v>
      </c>
      <c r="M644" s="27"/>
      <c r="N644" s="31" t="s">
        <v>154</v>
      </c>
      <c r="O644" s="27"/>
      <c r="P644" s="30"/>
      <c r="Q644" s="30" t="s">
        <v>1676</v>
      </c>
      <c r="R644" s="26">
        <v>46228</v>
      </c>
      <c r="S644" s="26">
        <v>46230</v>
      </c>
      <c r="T644" s="31"/>
      <c r="U644" s="30" t="s">
        <v>68</v>
      </c>
      <c r="V644" s="34" t="s">
        <v>70</v>
      </c>
      <c r="W644" s="27" t="s">
        <v>336</v>
      </c>
      <c r="X644" s="30"/>
      <c r="Y644" s="30"/>
      <c r="Z644" s="30"/>
      <c r="AA644" s="30">
        <v>1</v>
      </c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6"/>
      <c r="AS644" s="36"/>
      <c r="AT644" s="36"/>
      <c r="AU644" s="36"/>
      <c r="AV644" s="36"/>
      <c r="AW644" s="36"/>
      <c r="AX644" s="36" t="s">
        <v>1677</v>
      </c>
      <c r="AY644" s="36"/>
      <c r="AZ644" s="30" t="s">
        <v>906</v>
      </c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27"/>
      <c r="BL644" s="27"/>
    </row>
    <row r="645" spans="1:64">
      <c r="A645" s="68" t="s">
        <v>54</v>
      </c>
      <c r="B645" s="26">
        <v>46226</v>
      </c>
      <c r="C645" s="27"/>
      <c r="D645" s="27">
        <v>50013541</v>
      </c>
      <c r="E645" s="27" t="s">
        <v>333</v>
      </c>
      <c r="F645" s="27" t="s">
        <v>334</v>
      </c>
      <c r="G645" s="27" t="s">
        <v>383</v>
      </c>
      <c r="H645" s="30" t="s">
        <v>447</v>
      </c>
      <c r="I645" s="31" t="s">
        <v>1678</v>
      </c>
      <c r="J645" s="30" t="s">
        <v>447</v>
      </c>
      <c r="K645" s="27">
        <v>6</v>
      </c>
      <c r="L645" s="27">
        <v>72</v>
      </c>
      <c r="M645" s="27"/>
      <c r="N645" s="31" t="s">
        <v>154</v>
      </c>
      <c r="O645" s="27"/>
      <c r="P645" s="30"/>
      <c r="Q645" s="30" t="s">
        <v>1679</v>
      </c>
      <c r="R645" s="26">
        <v>46227</v>
      </c>
      <c r="S645" s="26">
        <v>46230</v>
      </c>
      <c r="T645" s="31"/>
      <c r="U645" s="30" t="s">
        <v>68</v>
      </c>
      <c r="V645" s="34" t="s">
        <v>70</v>
      </c>
      <c r="W645" s="27" t="s">
        <v>336</v>
      </c>
      <c r="X645" s="30"/>
      <c r="Y645" s="30"/>
      <c r="Z645" s="30"/>
      <c r="AA645" s="30">
        <v>1</v>
      </c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6"/>
      <c r="AS645" s="36"/>
      <c r="AT645" s="36"/>
      <c r="AU645" s="36"/>
      <c r="AV645" s="36"/>
      <c r="AW645" s="36"/>
      <c r="AX645" s="36" t="s">
        <v>1449</v>
      </c>
      <c r="AY645" s="36"/>
      <c r="AZ645" s="30" t="s">
        <v>906</v>
      </c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27"/>
      <c r="BL645" s="27"/>
    </row>
    <row r="646" spans="1:64">
      <c r="A646" s="68" t="s">
        <v>187</v>
      </c>
      <c r="B646" s="26">
        <v>46226</v>
      </c>
      <c r="C646" s="27">
        <v>30336</v>
      </c>
      <c r="D646" s="27" t="s">
        <v>1680</v>
      </c>
      <c r="E646" s="27" t="s">
        <v>101</v>
      </c>
      <c r="F646" s="27" t="s">
        <v>59</v>
      </c>
      <c r="G646" s="27" t="s">
        <v>104</v>
      </c>
      <c r="H646" s="30" t="s">
        <v>493</v>
      </c>
      <c r="I646" s="31" t="s">
        <v>1681</v>
      </c>
      <c r="J646" s="30" t="s">
        <v>1682</v>
      </c>
      <c r="K646" s="27">
        <v>184</v>
      </c>
      <c r="L646" s="27">
        <v>368</v>
      </c>
      <c r="M646" s="27"/>
      <c r="N646" s="31"/>
      <c r="O646" s="27" t="s">
        <v>1532</v>
      </c>
      <c r="P646" s="30"/>
      <c r="Q646" s="30"/>
      <c r="R646" s="27"/>
      <c r="S646" s="27"/>
      <c r="T646" s="31"/>
      <c r="U646" s="30" t="s">
        <v>626</v>
      </c>
      <c r="V646" s="34" t="s">
        <v>627</v>
      </c>
      <c r="W646" s="27" t="s">
        <v>101</v>
      </c>
      <c r="X646" s="30"/>
      <c r="Y646" s="30"/>
      <c r="Z646" s="30"/>
      <c r="AA646" s="30"/>
      <c r="AB646" s="30"/>
      <c r="AC646" s="30"/>
      <c r="AD646" s="30"/>
      <c r="AE646" s="30" t="s">
        <v>1683</v>
      </c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6"/>
      <c r="AS646" s="36"/>
      <c r="AT646" s="36"/>
      <c r="AU646" s="36"/>
      <c r="AV646" s="36"/>
      <c r="AW646" s="36"/>
      <c r="AX646" s="36" t="s">
        <v>69</v>
      </c>
      <c r="AY646" s="36" t="s">
        <v>1684</v>
      </c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27"/>
      <c r="BL646" s="27"/>
    </row>
    <row r="647" spans="1:64">
      <c r="A647" s="68"/>
      <c r="B647" s="26">
        <v>46226</v>
      </c>
      <c r="C647" s="27">
        <v>30339</v>
      </c>
      <c r="D647" s="27"/>
      <c r="E647" s="27" t="s">
        <v>883</v>
      </c>
      <c r="F647" s="27" t="s">
        <v>59</v>
      </c>
      <c r="G647" s="27" t="s">
        <v>60</v>
      </c>
      <c r="H647" s="30" t="s">
        <v>493</v>
      </c>
      <c r="I647" s="31" t="s">
        <v>1685</v>
      </c>
      <c r="J647" s="30" t="s">
        <v>1686</v>
      </c>
      <c r="K647" s="27">
        <v>2</v>
      </c>
      <c r="L647" s="27">
        <v>35</v>
      </c>
      <c r="M647" s="27"/>
      <c r="N647" s="31"/>
      <c r="O647" s="27" t="s">
        <v>1532</v>
      </c>
      <c r="P647" s="30"/>
      <c r="Q647" s="30"/>
      <c r="R647" s="27"/>
      <c r="S647" s="27"/>
      <c r="T647" s="31"/>
      <c r="U647" s="30" t="s">
        <v>626</v>
      </c>
      <c r="V647" s="34" t="s">
        <v>627</v>
      </c>
      <c r="W647" s="27" t="s">
        <v>888</v>
      </c>
      <c r="X647" s="30"/>
      <c r="Y647" s="30"/>
      <c r="Z647" s="30"/>
      <c r="AA647" s="30"/>
      <c r="AB647" s="30"/>
      <c r="AC647" s="30"/>
      <c r="AD647" s="30"/>
      <c r="AE647" s="30" t="s">
        <v>1683</v>
      </c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6"/>
      <c r="AS647" s="36"/>
      <c r="AT647" s="36"/>
      <c r="AU647" s="36"/>
      <c r="AV647" s="36"/>
      <c r="AW647" s="36"/>
      <c r="AX647" s="36" t="s">
        <v>69</v>
      </c>
      <c r="AY647" s="36" t="s">
        <v>1684</v>
      </c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27"/>
      <c r="BL647" s="27"/>
    </row>
    <row r="648" spans="1:64">
      <c r="A648" s="68" t="s">
        <v>54</v>
      </c>
      <c r="B648" s="26">
        <v>46226</v>
      </c>
      <c r="C648" s="27"/>
      <c r="D648" s="27">
        <v>139751</v>
      </c>
      <c r="E648" s="27" t="s">
        <v>574</v>
      </c>
      <c r="F648" s="27" t="s">
        <v>48</v>
      </c>
      <c r="G648" s="27" t="s">
        <v>110</v>
      </c>
      <c r="H648" s="30" t="s">
        <v>104</v>
      </c>
      <c r="I648" s="31" t="s">
        <v>1687</v>
      </c>
      <c r="J648" s="30" t="s">
        <v>1688</v>
      </c>
      <c r="K648" s="27">
        <v>3</v>
      </c>
      <c r="L648" s="27">
        <v>49</v>
      </c>
      <c r="M648" s="27"/>
      <c r="N648" s="31" t="s">
        <v>154</v>
      </c>
      <c r="O648" s="27"/>
      <c r="P648" s="30"/>
      <c r="Q648" s="30" t="s">
        <v>66</v>
      </c>
      <c r="R648" s="26">
        <v>46230</v>
      </c>
      <c r="S648" s="26">
        <v>46231</v>
      </c>
      <c r="T648" s="31"/>
      <c r="U648" s="30" t="s">
        <v>68</v>
      </c>
      <c r="V648" s="34" t="s">
        <v>70</v>
      </c>
      <c r="W648" s="27" t="s">
        <v>284</v>
      </c>
      <c r="X648" s="30">
        <v>1</v>
      </c>
      <c r="Y648" s="30">
        <v>1</v>
      </c>
      <c r="Z648" s="30">
        <v>1</v>
      </c>
      <c r="AA648" s="30">
        <v>1</v>
      </c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6"/>
      <c r="AS648" s="36"/>
      <c r="AT648" s="36"/>
      <c r="AU648" s="36"/>
      <c r="AV648" s="36"/>
      <c r="AW648" s="36"/>
      <c r="AX648" s="36" t="s">
        <v>1689</v>
      </c>
      <c r="AY648" s="36"/>
      <c r="AZ648" s="30"/>
      <c r="BA648" s="30"/>
      <c r="BB648" s="30" t="s">
        <v>157</v>
      </c>
      <c r="BC648" s="30"/>
      <c r="BD648" s="30"/>
      <c r="BE648" s="30"/>
      <c r="BF648" s="30"/>
      <c r="BG648" s="30"/>
      <c r="BH648" s="30"/>
      <c r="BI648" s="30"/>
      <c r="BJ648" s="30"/>
      <c r="BK648" s="27"/>
      <c r="BL648" s="27"/>
    </row>
    <row r="649" spans="1:64">
      <c r="A649" s="68" t="s">
        <v>54</v>
      </c>
      <c r="B649" s="26">
        <v>46226</v>
      </c>
      <c r="C649" s="27"/>
      <c r="D649" s="27">
        <v>139744</v>
      </c>
      <c r="E649" s="27" t="s">
        <v>574</v>
      </c>
      <c r="F649" s="27" t="s">
        <v>48</v>
      </c>
      <c r="G649" s="27" t="s">
        <v>110</v>
      </c>
      <c r="H649" s="30" t="s">
        <v>104</v>
      </c>
      <c r="I649" s="31" t="s">
        <v>1690</v>
      </c>
      <c r="J649" s="30" t="s">
        <v>1691</v>
      </c>
      <c r="K649" s="27">
        <v>2</v>
      </c>
      <c r="L649" s="48">
        <v>46246</v>
      </c>
      <c r="M649" s="27"/>
      <c r="N649" s="31" t="s">
        <v>154</v>
      </c>
      <c r="O649" s="27"/>
      <c r="P649" s="30"/>
      <c r="Q649" s="30" t="s">
        <v>66</v>
      </c>
      <c r="R649" s="26">
        <v>46230</v>
      </c>
      <c r="S649" s="27"/>
      <c r="T649" s="31"/>
      <c r="U649" s="30" t="s">
        <v>1121</v>
      </c>
      <c r="V649" s="34" t="s">
        <v>1122</v>
      </c>
      <c r="W649" s="27" t="s">
        <v>284</v>
      </c>
      <c r="X649" s="30">
        <v>1</v>
      </c>
      <c r="Y649" s="30">
        <v>1</v>
      </c>
      <c r="Z649" s="30">
        <v>1</v>
      </c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6"/>
      <c r="AS649" s="36"/>
      <c r="AT649" s="36"/>
      <c r="AU649" s="36"/>
      <c r="AV649" s="36"/>
      <c r="AW649" s="36"/>
      <c r="AX649" s="36" t="s">
        <v>1689</v>
      </c>
      <c r="AY649" s="36"/>
      <c r="AZ649" s="30"/>
      <c r="BA649" s="30"/>
      <c r="BB649" s="30" t="s">
        <v>157</v>
      </c>
      <c r="BC649" s="30"/>
      <c r="BD649" s="30"/>
      <c r="BE649" s="30"/>
      <c r="BF649" s="30"/>
      <c r="BG649" s="30"/>
      <c r="BH649" s="30"/>
      <c r="BI649" s="30"/>
      <c r="BJ649" s="30"/>
      <c r="BK649" s="27"/>
      <c r="BL649" s="27"/>
    </row>
    <row r="650" spans="1:64">
      <c r="A650" s="68" t="s">
        <v>54</v>
      </c>
      <c r="B650" s="26">
        <v>46226</v>
      </c>
      <c r="C650" s="27"/>
      <c r="D650" s="27">
        <v>139743</v>
      </c>
      <c r="E650" s="27" t="s">
        <v>574</v>
      </c>
      <c r="F650" s="27" t="s">
        <v>48</v>
      </c>
      <c r="G650" s="27" t="s">
        <v>110</v>
      </c>
      <c r="H650" s="30" t="s">
        <v>246</v>
      </c>
      <c r="I650" s="31" t="s">
        <v>1692</v>
      </c>
      <c r="J650" s="30" t="s">
        <v>246</v>
      </c>
      <c r="K650" s="27">
        <v>1</v>
      </c>
      <c r="L650" s="63">
        <v>95</v>
      </c>
      <c r="M650" s="27"/>
      <c r="N650" s="31" t="s">
        <v>318</v>
      </c>
      <c r="O650" s="27"/>
      <c r="P650" s="30"/>
      <c r="Q650" s="30" t="s">
        <v>66</v>
      </c>
      <c r="R650" s="26">
        <v>46234</v>
      </c>
      <c r="S650" s="27"/>
      <c r="T650" s="31"/>
      <c r="U650" s="30" t="s">
        <v>419</v>
      </c>
      <c r="V650" s="34" t="s">
        <v>90</v>
      </c>
      <c r="W650" s="27" t="s">
        <v>284</v>
      </c>
      <c r="X650" s="30">
        <v>1</v>
      </c>
      <c r="Y650" s="30">
        <v>1</v>
      </c>
      <c r="Z650" s="30">
        <v>1</v>
      </c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6"/>
      <c r="AS650" s="36"/>
      <c r="AT650" s="36"/>
      <c r="AU650" s="36"/>
      <c r="AV650" s="36"/>
      <c r="AW650" s="36"/>
      <c r="AX650" s="36" t="s">
        <v>1693</v>
      </c>
      <c r="AY650" s="36"/>
      <c r="AZ650" s="30" t="s">
        <v>321</v>
      </c>
      <c r="BA650" s="30"/>
      <c r="BB650" s="30"/>
      <c r="BC650" s="30"/>
      <c r="BD650" s="31" t="s">
        <v>318</v>
      </c>
      <c r="BE650" s="30"/>
      <c r="BF650" s="30" t="s">
        <v>41</v>
      </c>
      <c r="BG650" s="30"/>
      <c r="BH650" s="30"/>
      <c r="BI650" s="30"/>
      <c r="BJ650" s="30"/>
      <c r="BK650" s="27"/>
      <c r="BL650" s="27"/>
    </row>
    <row r="651" spans="1:64">
      <c r="A651" s="68" t="s">
        <v>54</v>
      </c>
      <c r="B651" s="26">
        <v>46226</v>
      </c>
      <c r="C651" s="27"/>
      <c r="D651" s="27">
        <v>140102</v>
      </c>
      <c r="E651" s="27" t="s">
        <v>574</v>
      </c>
      <c r="F651" s="27" t="s">
        <v>48</v>
      </c>
      <c r="G651" s="27" t="s">
        <v>110</v>
      </c>
      <c r="H651" s="30" t="s">
        <v>104</v>
      </c>
      <c r="I651" s="31" t="s">
        <v>1694</v>
      </c>
      <c r="J651" s="30" t="s">
        <v>1695</v>
      </c>
      <c r="K651" s="27">
        <v>2</v>
      </c>
      <c r="L651" s="27" t="s">
        <v>1696</v>
      </c>
      <c r="M651" s="27"/>
      <c r="N651" s="31" t="s">
        <v>507</v>
      </c>
      <c r="O651" s="27"/>
      <c r="P651" s="30"/>
      <c r="Q651" s="30" t="s">
        <v>66</v>
      </c>
      <c r="R651" s="26">
        <v>46230</v>
      </c>
      <c r="S651" s="26">
        <v>46231</v>
      </c>
      <c r="T651" s="31"/>
      <c r="U651" s="30" t="s">
        <v>68</v>
      </c>
      <c r="V651" s="34" t="s">
        <v>70</v>
      </c>
      <c r="W651" s="27" t="s">
        <v>284</v>
      </c>
      <c r="X651" s="30">
        <v>1</v>
      </c>
      <c r="Y651" s="30">
        <v>1</v>
      </c>
      <c r="Z651" s="30">
        <v>1</v>
      </c>
      <c r="AA651" s="30">
        <v>1</v>
      </c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6"/>
      <c r="AS651" s="36"/>
      <c r="AT651" s="36"/>
      <c r="AU651" s="36"/>
      <c r="AV651" s="36"/>
      <c r="AW651" s="36"/>
      <c r="AX651" s="36" t="s">
        <v>1697</v>
      </c>
      <c r="AY651" s="36"/>
      <c r="AZ651" s="30"/>
      <c r="BA651" s="30"/>
      <c r="BB651" s="30" t="s">
        <v>1438</v>
      </c>
      <c r="BC651" s="30"/>
      <c r="BD651" s="30"/>
      <c r="BE651" s="30"/>
      <c r="BF651" s="30"/>
      <c r="BG651" s="30"/>
      <c r="BH651" s="30"/>
      <c r="BI651" s="30"/>
      <c r="BJ651" s="30"/>
      <c r="BK651" s="27"/>
      <c r="BL651" s="27"/>
    </row>
    <row r="652" spans="1:64">
      <c r="A652" s="68" t="s">
        <v>54</v>
      </c>
      <c r="B652" s="26">
        <v>46226</v>
      </c>
      <c r="C652" s="27"/>
      <c r="D652" s="27">
        <v>139750</v>
      </c>
      <c r="E652" s="27" t="s">
        <v>574</v>
      </c>
      <c r="F652" s="27" t="s">
        <v>48</v>
      </c>
      <c r="G652" s="27" t="s">
        <v>110</v>
      </c>
      <c r="H652" s="30" t="s">
        <v>246</v>
      </c>
      <c r="I652" s="31" t="s">
        <v>1698</v>
      </c>
      <c r="J652" s="30" t="s">
        <v>246</v>
      </c>
      <c r="K652" s="27">
        <v>1</v>
      </c>
      <c r="L652" s="27">
        <v>0.60599999999999998</v>
      </c>
      <c r="M652" s="27"/>
      <c r="N652" s="31" t="s">
        <v>318</v>
      </c>
      <c r="O652" s="27"/>
      <c r="P652" s="30"/>
      <c r="Q652" s="30" t="s">
        <v>66</v>
      </c>
      <c r="R652" s="26">
        <v>46234</v>
      </c>
      <c r="S652" s="27"/>
      <c r="T652" s="31"/>
      <c r="U652" s="30" t="s">
        <v>419</v>
      </c>
      <c r="V652" s="34" t="s">
        <v>90</v>
      </c>
      <c r="W652" s="27" t="s">
        <v>284</v>
      </c>
      <c r="X652" s="30">
        <v>1</v>
      </c>
      <c r="Y652" s="30">
        <v>1</v>
      </c>
      <c r="Z652" s="30">
        <v>1</v>
      </c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6"/>
      <c r="AS652" s="36"/>
      <c r="AT652" s="36"/>
      <c r="AU652" s="36"/>
      <c r="AV652" s="36"/>
      <c r="AW652" s="36"/>
      <c r="AX652" s="36" t="s">
        <v>1693</v>
      </c>
      <c r="AY652" s="36"/>
      <c r="AZ652" s="30" t="s">
        <v>576</v>
      </c>
      <c r="BA652" s="30"/>
      <c r="BB652" s="30"/>
      <c r="BC652" s="30"/>
      <c r="BD652" s="31" t="s">
        <v>318</v>
      </c>
      <c r="BE652" s="30"/>
      <c r="BF652" s="30" t="s">
        <v>41</v>
      </c>
      <c r="BG652" s="30"/>
      <c r="BH652" s="30"/>
      <c r="BI652" s="30"/>
      <c r="BJ652" s="30"/>
      <c r="BK652" s="27"/>
      <c r="BL652" s="27"/>
    </row>
    <row r="653" spans="1:64">
      <c r="A653" s="68" t="s">
        <v>54</v>
      </c>
      <c r="B653" s="26">
        <v>46226</v>
      </c>
      <c r="C653" s="27"/>
      <c r="D653" s="27">
        <v>139738</v>
      </c>
      <c r="E653" s="27" t="s">
        <v>574</v>
      </c>
      <c r="F653" s="27" t="s">
        <v>48</v>
      </c>
      <c r="G653" s="27" t="s">
        <v>110</v>
      </c>
      <c r="H653" s="30" t="s">
        <v>246</v>
      </c>
      <c r="I653" s="31" t="s">
        <v>1699</v>
      </c>
      <c r="J653" s="30" t="s">
        <v>246</v>
      </c>
      <c r="K653" s="27">
        <v>1</v>
      </c>
      <c r="L653" s="48">
        <v>46330</v>
      </c>
      <c r="M653" s="27"/>
      <c r="N653" s="31" t="s">
        <v>115</v>
      </c>
      <c r="O653" s="27"/>
      <c r="P653" s="30"/>
      <c r="Q653" s="30" t="s">
        <v>66</v>
      </c>
      <c r="R653" s="26">
        <v>46237</v>
      </c>
      <c r="S653" s="27"/>
      <c r="T653" s="31"/>
      <c r="U653" s="30" t="s">
        <v>419</v>
      </c>
      <c r="V653" s="34" t="s">
        <v>90</v>
      </c>
      <c r="W653" s="27" t="s">
        <v>284</v>
      </c>
      <c r="X653" s="30">
        <v>1</v>
      </c>
      <c r="Y653" s="30">
        <v>1</v>
      </c>
      <c r="Z653" s="30">
        <v>1</v>
      </c>
      <c r="AA653" s="30"/>
      <c r="AB653" s="30"/>
      <c r="AC653" s="30" t="s">
        <v>115</v>
      </c>
      <c r="AD653" s="30" t="s">
        <v>41</v>
      </c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6"/>
      <c r="AS653" s="36"/>
      <c r="AT653" s="36"/>
      <c r="AU653" s="36"/>
      <c r="AV653" s="36"/>
      <c r="AW653" s="36"/>
      <c r="AX653" s="36" t="s">
        <v>1693</v>
      </c>
      <c r="AY653" s="36"/>
      <c r="AZ653" s="30" t="s">
        <v>576</v>
      </c>
      <c r="BA653" s="30"/>
      <c r="BB653" s="30"/>
      <c r="BC653" s="30"/>
      <c r="BD653" s="31" t="s">
        <v>318</v>
      </c>
      <c r="BE653" s="30"/>
      <c r="BF653" s="30"/>
      <c r="BG653" s="30"/>
      <c r="BH653" s="30"/>
      <c r="BI653" s="30"/>
      <c r="BJ653" s="30"/>
      <c r="BK653" s="27"/>
      <c r="BL653" s="27"/>
    </row>
    <row r="654" spans="1:64">
      <c r="A654" s="68" t="s">
        <v>54</v>
      </c>
      <c r="B654" s="26">
        <v>46226</v>
      </c>
      <c r="C654" s="27"/>
      <c r="D654" s="27">
        <v>139745</v>
      </c>
      <c r="E654" s="27" t="s">
        <v>574</v>
      </c>
      <c r="F654" s="27" t="s">
        <v>48</v>
      </c>
      <c r="G654" s="27" t="s">
        <v>110</v>
      </c>
      <c r="H654" s="30" t="s">
        <v>104</v>
      </c>
      <c r="I654" s="31" t="s">
        <v>1700</v>
      </c>
      <c r="J654" s="30" t="s">
        <v>104</v>
      </c>
      <c r="K654" s="27">
        <v>2</v>
      </c>
      <c r="L654" s="27">
        <v>10</v>
      </c>
      <c r="M654" s="27"/>
      <c r="N654" s="31" t="s">
        <v>507</v>
      </c>
      <c r="O654" s="27"/>
      <c r="P654" s="30"/>
      <c r="Q654" s="30" t="s">
        <v>66</v>
      </c>
      <c r="R654" s="26">
        <v>46230</v>
      </c>
      <c r="S654" s="27"/>
      <c r="T654" s="31"/>
      <c r="U654" s="30" t="s">
        <v>419</v>
      </c>
      <c r="V654" s="34" t="s">
        <v>90</v>
      </c>
      <c r="W654" s="27" t="s">
        <v>284</v>
      </c>
      <c r="X654" s="30">
        <v>1</v>
      </c>
      <c r="Y654" s="30">
        <v>1</v>
      </c>
      <c r="Z654" s="30">
        <v>1</v>
      </c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6"/>
      <c r="AS654" s="36"/>
      <c r="AT654" s="36"/>
      <c r="AU654" s="36"/>
      <c r="AV654" s="36"/>
      <c r="AW654" s="36"/>
      <c r="AX654" s="36" t="s">
        <v>1697</v>
      </c>
      <c r="AY654" s="36"/>
      <c r="AZ654" s="30"/>
      <c r="BA654" s="30"/>
      <c r="BB654" s="30" t="s">
        <v>1438</v>
      </c>
      <c r="BC654" s="30"/>
      <c r="BD654" s="30"/>
      <c r="BE654" s="30"/>
      <c r="BF654" s="30"/>
      <c r="BG654" s="30"/>
      <c r="BH654" s="30"/>
      <c r="BI654" s="30"/>
      <c r="BJ654" s="30"/>
      <c r="BK654" s="27"/>
      <c r="BL654" s="27"/>
    </row>
    <row r="655" spans="1:64">
      <c r="A655" s="68" t="s">
        <v>54</v>
      </c>
      <c r="B655" s="26">
        <v>46226</v>
      </c>
      <c r="C655" s="27"/>
      <c r="D655" s="27">
        <v>140101</v>
      </c>
      <c r="E655" s="27" t="s">
        <v>574</v>
      </c>
      <c r="F655" s="27" t="s">
        <v>48</v>
      </c>
      <c r="G655" s="27" t="s">
        <v>110</v>
      </c>
      <c r="H655" s="30" t="s">
        <v>104</v>
      </c>
      <c r="I655" s="31" t="s">
        <v>1701</v>
      </c>
      <c r="J655" s="30" t="s">
        <v>104</v>
      </c>
      <c r="K655" s="27">
        <v>1</v>
      </c>
      <c r="L655" s="63">
        <v>537</v>
      </c>
      <c r="M655" s="27"/>
      <c r="N655" s="31" t="s">
        <v>507</v>
      </c>
      <c r="O655" s="27"/>
      <c r="P655" s="30"/>
      <c r="Q655" s="30" t="s">
        <v>66</v>
      </c>
      <c r="R655" s="26">
        <v>46230</v>
      </c>
      <c r="S655" s="26">
        <v>46231</v>
      </c>
      <c r="T655" s="31"/>
      <c r="U655" s="30" t="s">
        <v>68</v>
      </c>
      <c r="V655" s="34" t="s">
        <v>70</v>
      </c>
      <c r="W655" s="27" t="s">
        <v>284</v>
      </c>
      <c r="X655" s="30">
        <v>1</v>
      </c>
      <c r="Y655" s="30">
        <v>1</v>
      </c>
      <c r="Z655" s="30">
        <v>1</v>
      </c>
      <c r="AA655" s="30">
        <v>1</v>
      </c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6"/>
      <c r="AS655" s="36"/>
      <c r="AT655" s="36"/>
      <c r="AU655" s="36"/>
      <c r="AV655" s="36"/>
      <c r="AW655" s="36"/>
      <c r="AX655" s="36" t="s">
        <v>1697</v>
      </c>
      <c r="AY655" s="36"/>
      <c r="AZ655" s="30"/>
      <c r="BA655" s="30"/>
      <c r="BB655" s="30" t="s">
        <v>1438</v>
      </c>
      <c r="BC655" s="30"/>
      <c r="BD655" s="30"/>
      <c r="BE655" s="30"/>
      <c r="BF655" s="30"/>
      <c r="BG655" s="30"/>
      <c r="BH655" s="30"/>
      <c r="BI655" s="30"/>
      <c r="BJ655" s="30"/>
      <c r="BK655" s="27"/>
      <c r="BL655" s="27"/>
    </row>
    <row r="656" spans="1:64">
      <c r="A656" s="68" t="s">
        <v>54</v>
      </c>
      <c r="B656" s="26">
        <v>46226</v>
      </c>
      <c r="C656" s="27"/>
      <c r="D656" s="27">
        <v>139748</v>
      </c>
      <c r="E656" s="27" t="s">
        <v>574</v>
      </c>
      <c r="F656" s="27" t="s">
        <v>48</v>
      </c>
      <c r="G656" s="27" t="s">
        <v>110</v>
      </c>
      <c r="H656" s="30" t="s">
        <v>104</v>
      </c>
      <c r="I656" s="31" t="s">
        <v>1702</v>
      </c>
      <c r="J656" s="30" t="s">
        <v>104</v>
      </c>
      <c r="K656" s="27">
        <v>1</v>
      </c>
      <c r="L656" s="27" t="s">
        <v>1703</v>
      </c>
      <c r="M656" s="27"/>
      <c r="N656" s="31" t="s">
        <v>507</v>
      </c>
      <c r="O656" s="27"/>
      <c r="P656" s="30"/>
      <c r="Q656" s="30" t="s">
        <v>66</v>
      </c>
      <c r="R656" s="26">
        <v>46230</v>
      </c>
      <c r="S656" s="26">
        <v>46231</v>
      </c>
      <c r="T656" s="31"/>
      <c r="U656" s="30" t="s">
        <v>68</v>
      </c>
      <c r="V656" s="34" t="s">
        <v>70</v>
      </c>
      <c r="W656" s="27" t="s">
        <v>284</v>
      </c>
      <c r="X656" s="30">
        <v>1</v>
      </c>
      <c r="Y656" s="30">
        <v>1</v>
      </c>
      <c r="Z656" s="30">
        <v>1</v>
      </c>
      <c r="AA656" s="30">
        <v>1</v>
      </c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6"/>
      <c r="AS656" s="36"/>
      <c r="AT656" s="36"/>
      <c r="AU656" s="36"/>
      <c r="AV656" s="36"/>
      <c r="AW656" s="36"/>
      <c r="AX656" s="36" t="s">
        <v>1697</v>
      </c>
      <c r="AY656" s="36"/>
      <c r="AZ656" s="30"/>
      <c r="BA656" s="30"/>
      <c r="BB656" s="30" t="s">
        <v>1704</v>
      </c>
      <c r="BC656" s="30"/>
      <c r="BD656" s="30"/>
      <c r="BE656" s="30"/>
      <c r="BF656" s="30"/>
      <c r="BG656" s="30"/>
      <c r="BH656" s="30"/>
      <c r="BI656" s="30"/>
      <c r="BJ656" s="30"/>
      <c r="BK656" s="27"/>
      <c r="BL656" s="27"/>
    </row>
    <row r="657" spans="1:64">
      <c r="A657" s="68" t="s">
        <v>54</v>
      </c>
      <c r="B657" s="26">
        <v>46226</v>
      </c>
      <c r="C657" s="27"/>
      <c r="D657" s="27">
        <v>139746</v>
      </c>
      <c r="E657" s="27" t="s">
        <v>574</v>
      </c>
      <c r="F657" s="27" t="s">
        <v>48</v>
      </c>
      <c r="G657" s="27" t="s">
        <v>110</v>
      </c>
      <c r="H657" s="30" t="s">
        <v>104</v>
      </c>
      <c r="I657" s="31" t="s">
        <v>1705</v>
      </c>
      <c r="J657" s="30" t="s">
        <v>104</v>
      </c>
      <c r="K657" s="27">
        <v>2</v>
      </c>
      <c r="L657" s="48">
        <v>46033</v>
      </c>
      <c r="M657" s="27"/>
      <c r="N657" s="31" t="s">
        <v>507</v>
      </c>
      <c r="O657" s="27"/>
      <c r="P657" s="30"/>
      <c r="Q657" s="30" t="s">
        <v>66</v>
      </c>
      <c r="R657" s="26">
        <v>46230</v>
      </c>
      <c r="S657" s="27"/>
      <c r="T657" s="31"/>
      <c r="U657" s="30" t="s">
        <v>419</v>
      </c>
      <c r="V657" s="34" t="s">
        <v>90</v>
      </c>
      <c r="W657" s="27" t="s">
        <v>284</v>
      </c>
      <c r="X657" s="30">
        <v>1</v>
      </c>
      <c r="Y657" s="30">
        <v>1</v>
      </c>
      <c r="Z657" s="30">
        <v>1</v>
      </c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6"/>
      <c r="AS657" s="36"/>
      <c r="AT657" s="36"/>
      <c r="AU657" s="36"/>
      <c r="AV657" s="36"/>
      <c r="AW657" s="36"/>
      <c r="AX657" s="36" t="s">
        <v>1697</v>
      </c>
      <c r="AY657" s="36"/>
      <c r="AZ657" s="30"/>
      <c r="BA657" s="30"/>
      <c r="BB657" s="30" t="s">
        <v>1438</v>
      </c>
      <c r="BC657" s="30"/>
      <c r="BD657" s="30"/>
      <c r="BE657" s="30"/>
      <c r="BF657" s="30"/>
      <c r="BG657" s="30"/>
      <c r="BH657" s="30"/>
      <c r="BI657" s="30"/>
      <c r="BJ657" s="30"/>
      <c r="BK657" s="27"/>
      <c r="BL657" s="27"/>
    </row>
    <row r="658" spans="1:64">
      <c r="A658" s="68" t="s">
        <v>54</v>
      </c>
      <c r="B658" s="26">
        <v>46226</v>
      </c>
      <c r="C658" s="27"/>
      <c r="D658" s="27">
        <v>139740</v>
      </c>
      <c r="E658" s="27" t="s">
        <v>574</v>
      </c>
      <c r="F658" s="27" t="s">
        <v>48</v>
      </c>
      <c r="G658" s="27" t="s">
        <v>110</v>
      </c>
      <c r="H658" s="30" t="s">
        <v>104</v>
      </c>
      <c r="I658" s="31" t="s">
        <v>1706</v>
      </c>
      <c r="J658" s="30" t="s">
        <v>104</v>
      </c>
      <c r="K658" s="27">
        <v>4</v>
      </c>
      <c r="L658" s="63">
        <v>1204</v>
      </c>
      <c r="M658" s="27"/>
      <c r="N658" s="31" t="s">
        <v>507</v>
      </c>
      <c r="O658" s="27"/>
      <c r="P658" s="30"/>
      <c r="Q658" s="30" t="s">
        <v>1707</v>
      </c>
      <c r="R658" s="26">
        <v>46230</v>
      </c>
      <c r="S658" s="26">
        <v>46231</v>
      </c>
      <c r="T658" s="31"/>
      <c r="U658" s="30" t="s">
        <v>68</v>
      </c>
      <c r="V658" s="34" t="s">
        <v>70</v>
      </c>
      <c r="W658" s="27" t="s">
        <v>284</v>
      </c>
      <c r="X658" s="30"/>
      <c r="Y658" s="30"/>
      <c r="Z658" s="30"/>
      <c r="AA658" s="30">
        <v>1</v>
      </c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6"/>
      <c r="AS658" s="36"/>
      <c r="AT658" s="36"/>
      <c r="AU658" s="36"/>
      <c r="AV658" s="36"/>
      <c r="AW658" s="36"/>
      <c r="AX658" s="36" t="s">
        <v>1697</v>
      </c>
      <c r="AY658" s="36"/>
      <c r="AZ658" s="30"/>
      <c r="BA658" s="30"/>
      <c r="BB658" s="30" t="s">
        <v>1438</v>
      </c>
      <c r="BC658" s="30"/>
      <c r="BD658" s="30"/>
      <c r="BE658" s="30"/>
      <c r="BF658" s="30"/>
      <c r="BG658" s="30"/>
      <c r="BH658" s="30"/>
      <c r="BI658" s="30"/>
      <c r="BJ658" s="30"/>
      <c r="BK658" s="27"/>
      <c r="BL658" s="27"/>
    </row>
    <row r="659" spans="1:64">
      <c r="A659" s="68" t="s">
        <v>54</v>
      </c>
      <c r="B659" s="26">
        <v>46226</v>
      </c>
      <c r="C659" s="27"/>
      <c r="D659" s="27">
        <v>139741</v>
      </c>
      <c r="E659" s="27" t="s">
        <v>574</v>
      </c>
      <c r="F659" s="27" t="s">
        <v>48</v>
      </c>
      <c r="G659" s="27" t="s">
        <v>110</v>
      </c>
      <c r="H659" s="30" t="s">
        <v>29</v>
      </c>
      <c r="I659" s="31" t="s">
        <v>1708</v>
      </c>
      <c r="J659" s="30" t="s">
        <v>1709</v>
      </c>
      <c r="K659" s="27">
        <v>2</v>
      </c>
      <c r="L659" s="48">
        <v>46120</v>
      </c>
      <c r="M659" s="27"/>
      <c r="N659" s="31" t="s">
        <v>318</v>
      </c>
      <c r="O659" s="27"/>
      <c r="P659" s="30"/>
      <c r="Q659" s="30" t="s">
        <v>66</v>
      </c>
      <c r="R659" s="26">
        <v>46234</v>
      </c>
      <c r="S659" s="26">
        <v>46237</v>
      </c>
      <c r="T659" s="31"/>
      <c r="U659" s="30" t="s">
        <v>68</v>
      </c>
      <c r="V659" s="34" t="s">
        <v>70</v>
      </c>
      <c r="W659" s="27" t="s">
        <v>284</v>
      </c>
      <c r="X659" s="30">
        <v>1</v>
      </c>
      <c r="Y659" s="30">
        <v>1</v>
      </c>
      <c r="Z659" s="30">
        <v>1</v>
      </c>
      <c r="AA659" s="30">
        <v>1</v>
      </c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6"/>
      <c r="AS659" s="36"/>
      <c r="AT659" s="36"/>
      <c r="AU659" s="36"/>
      <c r="AV659" s="36"/>
      <c r="AW659" s="36"/>
      <c r="AX659" s="36" t="s">
        <v>1693</v>
      </c>
      <c r="AY659" s="36"/>
      <c r="AZ659" s="30" t="s">
        <v>321</v>
      </c>
      <c r="BA659" s="30"/>
      <c r="BB659" s="30"/>
      <c r="BC659" s="30"/>
      <c r="BD659" s="31" t="s">
        <v>318</v>
      </c>
      <c r="BE659" s="30"/>
      <c r="BF659" s="30" t="s">
        <v>41</v>
      </c>
      <c r="BG659" s="30"/>
      <c r="BH659" s="30"/>
      <c r="BI659" s="30"/>
      <c r="BJ659" s="30"/>
      <c r="BK659" s="27"/>
      <c r="BL659" s="27"/>
    </row>
    <row r="660" spans="1:64">
      <c r="A660" s="68" t="s">
        <v>54</v>
      </c>
      <c r="B660" s="26">
        <v>46226</v>
      </c>
      <c r="C660" s="27"/>
      <c r="D660" s="27">
        <v>139739</v>
      </c>
      <c r="E660" s="27" t="s">
        <v>574</v>
      </c>
      <c r="F660" s="27" t="s">
        <v>48</v>
      </c>
      <c r="G660" s="27" t="s">
        <v>110</v>
      </c>
      <c r="H660" s="30" t="s">
        <v>104</v>
      </c>
      <c r="I660" s="31" t="s">
        <v>1710</v>
      </c>
      <c r="J660" s="30" t="s">
        <v>104</v>
      </c>
      <c r="K660" s="27">
        <v>5</v>
      </c>
      <c r="L660" s="63">
        <v>2608</v>
      </c>
      <c r="M660" s="27"/>
      <c r="N660" s="31" t="s">
        <v>1711</v>
      </c>
      <c r="O660" s="27"/>
      <c r="P660" s="30"/>
      <c r="Q660" s="30" t="s">
        <v>434</v>
      </c>
      <c r="R660" s="26">
        <v>46231</v>
      </c>
      <c r="S660" s="26">
        <v>46231</v>
      </c>
      <c r="T660" s="31"/>
      <c r="U660" s="30" t="s">
        <v>68</v>
      </c>
      <c r="V660" s="34" t="s">
        <v>70</v>
      </c>
      <c r="W660" s="27" t="s">
        <v>284</v>
      </c>
      <c r="X660" s="30"/>
      <c r="Y660" s="30"/>
      <c r="Z660" s="30"/>
      <c r="AA660" s="30">
        <v>1</v>
      </c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6"/>
      <c r="AS660" s="36"/>
      <c r="AT660" s="36"/>
      <c r="AU660" s="36"/>
      <c r="AV660" s="36"/>
      <c r="AW660" s="36"/>
      <c r="AX660" s="36" t="s">
        <v>1697</v>
      </c>
      <c r="AY660" s="36"/>
      <c r="AZ660" s="30"/>
      <c r="BA660" s="30"/>
      <c r="BB660" s="30" t="s">
        <v>154</v>
      </c>
      <c r="BC660" s="30" t="s">
        <v>1712</v>
      </c>
      <c r="BD660" s="30"/>
      <c r="BE660" s="30"/>
      <c r="BF660" s="30"/>
      <c r="BG660" s="30"/>
      <c r="BH660" s="30"/>
      <c r="BI660" s="30"/>
      <c r="BJ660" s="30"/>
      <c r="BK660" s="27"/>
      <c r="BL660" s="27"/>
    </row>
    <row r="661" spans="1:64">
      <c r="A661" s="68" t="s">
        <v>54</v>
      </c>
      <c r="B661" s="26">
        <v>46226</v>
      </c>
      <c r="C661" s="27"/>
      <c r="D661" s="27">
        <v>140103</v>
      </c>
      <c r="E661" s="27" t="s">
        <v>574</v>
      </c>
      <c r="F661" s="27" t="s">
        <v>48</v>
      </c>
      <c r="G661" s="27" t="s">
        <v>110</v>
      </c>
      <c r="H661" s="30" t="s">
        <v>104</v>
      </c>
      <c r="I661" s="31" t="s">
        <v>1710</v>
      </c>
      <c r="J661" s="30" t="s">
        <v>104</v>
      </c>
      <c r="K661" s="27">
        <v>2</v>
      </c>
      <c r="L661" s="27" t="s">
        <v>1713</v>
      </c>
      <c r="M661" s="27"/>
      <c r="N661" s="31" t="s">
        <v>1711</v>
      </c>
      <c r="O661" s="27"/>
      <c r="P661" s="30"/>
      <c r="Q661" s="30" t="s">
        <v>434</v>
      </c>
      <c r="R661" s="26">
        <v>46231</v>
      </c>
      <c r="S661" s="26">
        <v>46231</v>
      </c>
      <c r="T661" s="31"/>
      <c r="U661" s="30" t="s">
        <v>68</v>
      </c>
      <c r="V661" s="34" t="s">
        <v>70</v>
      </c>
      <c r="W661" s="27" t="s">
        <v>284</v>
      </c>
      <c r="X661" s="30"/>
      <c r="Y661" s="30"/>
      <c r="Z661" s="30"/>
      <c r="AA661" s="30">
        <v>1</v>
      </c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6"/>
      <c r="AS661" s="36"/>
      <c r="AT661" s="36"/>
      <c r="AU661" s="36"/>
      <c r="AV661" s="36"/>
      <c r="AW661" s="36"/>
      <c r="AX661" s="36" t="s">
        <v>1697</v>
      </c>
      <c r="AY661" s="36"/>
      <c r="AZ661" s="30"/>
      <c r="BA661" s="30"/>
      <c r="BB661" s="30" t="s">
        <v>154</v>
      </c>
      <c r="BC661" s="30" t="s">
        <v>1712</v>
      </c>
      <c r="BD661" s="30"/>
      <c r="BE661" s="30"/>
      <c r="BF661" s="30"/>
      <c r="BG661" s="30"/>
      <c r="BH661" s="30"/>
      <c r="BI661" s="30"/>
      <c r="BJ661" s="30"/>
      <c r="BK661" s="27"/>
      <c r="BL661" s="27"/>
    </row>
    <row r="662" spans="1:64">
      <c r="A662" s="68" t="s">
        <v>54</v>
      </c>
      <c r="B662" s="26">
        <v>46226</v>
      </c>
      <c r="C662" s="27"/>
      <c r="D662" s="27">
        <v>139747</v>
      </c>
      <c r="E662" s="27" t="s">
        <v>574</v>
      </c>
      <c r="F662" s="27" t="s">
        <v>48</v>
      </c>
      <c r="G662" s="27" t="s">
        <v>110</v>
      </c>
      <c r="H662" s="30" t="s">
        <v>104</v>
      </c>
      <c r="I662" s="31" t="s">
        <v>1714</v>
      </c>
      <c r="J662" s="30" t="s">
        <v>104</v>
      </c>
      <c r="K662" s="27">
        <v>3</v>
      </c>
      <c r="L662" s="63">
        <v>1761</v>
      </c>
      <c r="M662" s="27"/>
      <c r="N662" s="31" t="s">
        <v>507</v>
      </c>
      <c r="O662" s="27"/>
      <c r="P662" s="30"/>
      <c r="Q662" s="30" t="s">
        <v>66</v>
      </c>
      <c r="R662" s="26">
        <v>46230</v>
      </c>
      <c r="S662" s="26">
        <v>46231</v>
      </c>
      <c r="T662" s="31"/>
      <c r="U662" s="30" t="s">
        <v>68</v>
      </c>
      <c r="V662" s="34" t="s">
        <v>70</v>
      </c>
      <c r="W662" s="27" t="s">
        <v>284</v>
      </c>
      <c r="X662" s="30">
        <v>1</v>
      </c>
      <c r="Y662" s="30">
        <v>1</v>
      </c>
      <c r="Z662" s="30">
        <v>1</v>
      </c>
      <c r="AA662" s="30">
        <v>1</v>
      </c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6"/>
      <c r="AS662" s="36"/>
      <c r="AT662" s="36"/>
      <c r="AU662" s="36"/>
      <c r="AV662" s="36"/>
      <c r="AW662" s="36"/>
      <c r="AX662" s="36" t="s">
        <v>1697</v>
      </c>
      <c r="AY662" s="36"/>
      <c r="AZ662" s="30"/>
      <c r="BA662" s="30"/>
      <c r="BB662" s="30" t="s">
        <v>509</v>
      </c>
      <c r="BC662" s="30"/>
      <c r="BD662" s="30"/>
      <c r="BE662" s="30"/>
      <c r="BF662" s="30"/>
      <c r="BG662" s="30"/>
      <c r="BH662" s="30"/>
      <c r="BI662" s="30"/>
      <c r="BJ662" s="30"/>
      <c r="BK662" s="27"/>
      <c r="BL662" s="27"/>
    </row>
    <row r="663" spans="1:64">
      <c r="A663" s="68" t="s">
        <v>54</v>
      </c>
      <c r="B663" s="26">
        <v>46226</v>
      </c>
      <c r="C663" s="27"/>
      <c r="D663" s="27">
        <v>139749</v>
      </c>
      <c r="E663" s="27" t="s">
        <v>574</v>
      </c>
      <c r="F663" s="27" t="s">
        <v>48</v>
      </c>
      <c r="G663" s="27" t="s">
        <v>110</v>
      </c>
      <c r="H663" s="30" t="s">
        <v>104</v>
      </c>
      <c r="I663" s="31" t="s">
        <v>1714</v>
      </c>
      <c r="J663" s="30" t="s">
        <v>104</v>
      </c>
      <c r="K663" s="27">
        <v>1</v>
      </c>
      <c r="L663" s="27" t="s">
        <v>1715</v>
      </c>
      <c r="M663" s="27"/>
      <c r="N663" s="31" t="s">
        <v>507</v>
      </c>
      <c r="O663" s="27"/>
      <c r="P663" s="30"/>
      <c r="Q663" s="30" t="s">
        <v>66</v>
      </c>
      <c r="R663" s="26">
        <v>46230</v>
      </c>
      <c r="S663" s="26">
        <v>46231</v>
      </c>
      <c r="T663" s="31"/>
      <c r="U663" s="30" t="s">
        <v>68</v>
      </c>
      <c r="V663" s="34" t="s">
        <v>70</v>
      </c>
      <c r="W663" s="27" t="s">
        <v>284</v>
      </c>
      <c r="X663" s="30">
        <v>1</v>
      </c>
      <c r="Y663" s="30">
        <v>1</v>
      </c>
      <c r="Z663" s="30">
        <v>1</v>
      </c>
      <c r="AA663" s="30">
        <v>1</v>
      </c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6"/>
      <c r="AS663" s="36"/>
      <c r="AT663" s="36"/>
      <c r="AU663" s="36"/>
      <c r="AV663" s="36"/>
      <c r="AW663" s="36"/>
      <c r="AX663" s="36" t="s">
        <v>1697</v>
      </c>
      <c r="AY663" s="36"/>
      <c r="AZ663" s="30"/>
      <c r="BA663" s="30"/>
      <c r="BB663" s="30" t="s">
        <v>509</v>
      </c>
      <c r="BC663" s="30"/>
      <c r="BD663" s="30"/>
      <c r="BE663" s="30"/>
      <c r="BF663" s="30"/>
      <c r="BG663" s="30"/>
      <c r="BH663" s="30"/>
      <c r="BI663" s="30"/>
      <c r="BJ663" s="30"/>
      <c r="BK663" s="27"/>
      <c r="BL663" s="27"/>
    </row>
    <row r="664" spans="1:64">
      <c r="A664" s="68" t="s">
        <v>54</v>
      </c>
      <c r="B664" s="26">
        <v>46226</v>
      </c>
      <c r="C664" s="27">
        <v>29459</v>
      </c>
      <c r="D664" s="27"/>
      <c r="E664" s="27" t="s">
        <v>1716</v>
      </c>
      <c r="F664" s="27" t="s">
        <v>48</v>
      </c>
      <c r="G664" s="27" t="s">
        <v>403</v>
      </c>
      <c r="H664" s="30" t="s">
        <v>962</v>
      </c>
      <c r="I664" s="31" t="s">
        <v>1717</v>
      </c>
      <c r="J664" s="30" t="s">
        <v>962</v>
      </c>
      <c r="K664" s="27">
        <v>2</v>
      </c>
      <c r="L664" s="27"/>
      <c r="M664" s="27"/>
      <c r="N664" s="31" t="s">
        <v>247</v>
      </c>
      <c r="O664" s="27"/>
      <c r="P664" s="30"/>
      <c r="Q664" s="30" t="s">
        <v>66</v>
      </c>
      <c r="R664" s="26">
        <v>46230</v>
      </c>
      <c r="S664" s="27"/>
      <c r="T664" s="31"/>
      <c r="U664" s="30" t="s">
        <v>419</v>
      </c>
      <c r="V664" s="34" t="s">
        <v>90</v>
      </c>
      <c r="W664" s="27" t="s">
        <v>1716</v>
      </c>
      <c r="X664" s="30">
        <v>1</v>
      </c>
      <c r="Y664" s="30">
        <v>1</v>
      </c>
      <c r="Z664" s="30">
        <v>1</v>
      </c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6"/>
      <c r="AS664" s="36"/>
      <c r="AT664" s="36"/>
      <c r="AU664" s="36"/>
      <c r="AV664" s="36"/>
      <c r="AW664" s="36"/>
      <c r="AX664" s="36" t="s">
        <v>1718</v>
      </c>
      <c r="AY664" s="36"/>
      <c r="AZ664" s="30"/>
      <c r="BA664" s="30"/>
      <c r="BB664" s="30" t="s">
        <v>1069</v>
      </c>
      <c r="BC664" s="30"/>
      <c r="BD664" s="30"/>
      <c r="BE664" s="30"/>
      <c r="BF664" s="30"/>
      <c r="BG664" s="30"/>
      <c r="BH664" s="30"/>
      <c r="BI664" s="30"/>
      <c r="BJ664" s="30"/>
      <c r="BK664" s="27"/>
      <c r="BL664" s="27"/>
    </row>
    <row r="665" spans="1:64">
      <c r="A665" s="68" t="s">
        <v>54</v>
      </c>
      <c r="B665" s="26">
        <v>46226</v>
      </c>
      <c r="C665" s="27">
        <v>29624</v>
      </c>
      <c r="D665" s="27"/>
      <c r="E665" s="27" t="s">
        <v>212</v>
      </c>
      <c r="F665" s="27" t="s">
        <v>59</v>
      </c>
      <c r="G665" s="27" t="s">
        <v>104</v>
      </c>
      <c r="H665" s="30" t="s">
        <v>60</v>
      </c>
      <c r="I665" s="31" t="s">
        <v>1365</v>
      </c>
      <c r="J665" s="30" t="s">
        <v>60</v>
      </c>
      <c r="K665" s="27">
        <v>1</v>
      </c>
      <c r="L665" s="27" t="s">
        <v>205</v>
      </c>
      <c r="M665" s="27"/>
      <c r="N665" s="31" t="s">
        <v>81</v>
      </c>
      <c r="O665" s="27"/>
      <c r="P665" s="30"/>
      <c r="Q665" s="30" t="s">
        <v>66</v>
      </c>
      <c r="R665" s="26">
        <v>46230</v>
      </c>
      <c r="S665" s="26">
        <v>46232</v>
      </c>
      <c r="T665" s="31"/>
      <c r="U665" s="30" t="s">
        <v>68</v>
      </c>
      <c r="V665" s="34" t="s">
        <v>70</v>
      </c>
      <c r="W665" s="27" t="s">
        <v>208</v>
      </c>
      <c r="X665" s="30">
        <v>1</v>
      </c>
      <c r="Y665" s="30">
        <v>1</v>
      </c>
      <c r="Z665" s="30">
        <v>1</v>
      </c>
      <c r="AA665" s="30">
        <v>1</v>
      </c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6"/>
      <c r="AS665" s="36"/>
      <c r="AT665" s="36"/>
      <c r="AU665" s="36"/>
      <c r="AV665" s="36"/>
      <c r="AW665" s="36"/>
      <c r="AX665" s="36" t="s">
        <v>69</v>
      </c>
      <c r="AY665" s="36"/>
      <c r="AZ665" s="30"/>
      <c r="BA665" s="30"/>
      <c r="BB665" s="30" t="s">
        <v>88</v>
      </c>
      <c r="BC665" s="30"/>
      <c r="BD665" s="30"/>
      <c r="BE665" s="30"/>
      <c r="BF665" s="30"/>
      <c r="BG665" s="30"/>
      <c r="BH665" s="30"/>
      <c r="BI665" s="30"/>
      <c r="BJ665" s="30"/>
      <c r="BK665" s="27"/>
      <c r="BL665" s="27"/>
    </row>
    <row r="666" spans="1:64">
      <c r="A666" s="68" t="s">
        <v>54</v>
      </c>
      <c r="B666" s="26">
        <v>46226</v>
      </c>
      <c r="C666" s="27">
        <v>29623</v>
      </c>
      <c r="D666" s="27"/>
      <c r="E666" s="27" t="s">
        <v>212</v>
      </c>
      <c r="F666" s="27" t="s">
        <v>59</v>
      </c>
      <c r="G666" s="27" t="s">
        <v>104</v>
      </c>
      <c r="H666" s="30" t="s">
        <v>60</v>
      </c>
      <c r="I666" s="31" t="s">
        <v>1605</v>
      </c>
      <c r="J666" s="30" t="s">
        <v>60</v>
      </c>
      <c r="K666" s="27">
        <v>1</v>
      </c>
      <c r="L666" s="27" t="s">
        <v>205</v>
      </c>
      <c r="M666" s="27"/>
      <c r="N666" s="31" t="s">
        <v>81</v>
      </c>
      <c r="O666" s="27"/>
      <c r="P666" s="30"/>
      <c r="Q666" s="30" t="s">
        <v>66</v>
      </c>
      <c r="R666" s="26">
        <v>46230</v>
      </c>
      <c r="S666" s="26">
        <v>46232</v>
      </c>
      <c r="T666" s="31"/>
      <c r="U666" s="30" t="s">
        <v>68</v>
      </c>
      <c r="V666" s="34" t="s">
        <v>70</v>
      </c>
      <c r="W666" s="27" t="s">
        <v>208</v>
      </c>
      <c r="X666" s="30">
        <v>1</v>
      </c>
      <c r="Y666" s="30">
        <v>1</v>
      </c>
      <c r="Z666" s="30">
        <v>1</v>
      </c>
      <c r="AA666" s="30">
        <v>1</v>
      </c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6"/>
      <c r="AS666" s="36"/>
      <c r="AT666" s="36"/>
      <c r="AU666" s="36"/>
      <c r="AV666" s="36"/>
      <c r="AW666" s="36"/>
      <c r="AX666" s="36" t="s">
        <v>69</v>
      </c>
      <c r="AY666" s="36"/>
      <c r="AZ666" s="30"/>
      <c r="BA666" s="30"/>
      <c r="BB666" s="30" t="s">
        <v>88</v>
      </c>
      <c r="BC666" s="30"/>
      <c r="BD666" s="30"/>
      <c r="BE666" s="30"/>
      <c r="BF666" s="30"/>
      <c r="BG666" s="30"/>
      <c r="BH666" s="30"/>
      <c r="BI666" s="30"/>
      <c r="BJ666" s="30"/>
      <c r="BK666" s="27"/>
      <c r="BL666" s="27"/>
    </row>
    <row r="667" spans="1:64">
      <c r="A667" s="68" t="s">
        <v>54</v>
      </c>
      <c r="B667" s="26">
        <v>46226</v>
      </c>
      <c r="C667" s="27">
        <v>29610</v>
      </c>
      <c r="D667" s="27"/>
      <c r="E667" s="27" t="s">
        <v>212</v>
      </c>
      <c r="F667" s="27" t="s">
        <v>59</v>
      </c>
      <c r="G667" s="27" t="s">
        <v>104</v>
      </c>
      <c r="H667" s="30" t="s">
        <v>60</v>
      </c>
      <c r="I667" s="31" t="s">
        <v>1719</v>
      </c>
      <c r="J667" s="30" t="s">
        <v>60</v>
      </c>
      <c r="K667" s="27">
        <v>1</v>
      </c>
      <c r="L667" s="27" t="s">
        <v>214</v>
      </c>
      <c r="M667" s="27"/>
      <c r="N667" s="31" t="s">
        <v>81</v>
      </c>
      <c r="O667" s="27"/>
      <c r="P667" s="30"/>
      <c r="Q667" s="30" t="s">
        <v>66</v>
      </c>
      <c r="R667" s="26">
        <v>46230</v>
      </c>
      <c r="S667" s="26">
        <v>46232</v>
      </c>
      <c r="T667" s="31"/>
      <c r="U667" s="30" t="s">
        <v>68</v>
      </c>
      <c r="V667" s="34" t="s">
        <v>70</v>
      </c>
      <c r="W667" s="27" t="s">
        <v>208</v>
      </c>
      <c r="X667" s="30">
        <v>1</v>
      </c>
      <c r="Y667" s="30">
        <v>1</v>
      </c>
      <c r="Z667" s="30">
        <v>1</v>
      </c>
      <c r="AA667" s="30">
        <v>1</v>
      </c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6"/>
      <c r="AS667" s="36"/>
      <c r="AT667" s="36"/>
      <c r="AU667" s="36"/>
      <c r="AV667" s="36"/>
      <c r="AW667" s="36"/>
      <c r="AX667" s="36" t="s">
        <v>69</v>
      </c>
      <c r="AY667" s="36"/>
      <c r="AZ667" s="30"/>
      <c r="BA667" s="30"/>
      <c r="BB667" s="30" t="s">
        <v>88</v>
      </c>
      <c r="BC667" s="30"/>
      <c r="BD667" s="30"/>
      <c r="BE667" s="30"/>
      <c r="BF667" s="30"/>
      <c r="BG667" s="30"/>
      <c r="BH667" s="30"/>
      <c r="BI667" s="30"/>
      <c r="BJ667" s="30"/>
      <c r="BK667" s="27"/>
      <c r="BL667" s="27"/>
    </row>
    <row r="668" spans="1:64">
      <c r="A668" s="68" t="s">
        <v>54</v>
      </c>
      <c r="B668" s="26">
        <v>46226</v>
      </c>
      <c r="C668" s="27">
        <v>28786</v>
      </c>
      <c r="D668" s="27"/>
      <c r="E668" s="27" t="s">
        <v>212</v>
      </c>
      <c r="F668" s="27" t="s">
        <v>59</v>
      </c>
      <c r="G668" s="27" t="s">
        <v>104</v>
      </c>
      <c r="H668" s="30" t="s">
        <v>60</v>
      </c>
      <c r="I668" s="31" t="s">
        <v>647</v>
      </c>
      <c r="J668" s="30" t="s">
        <v>60</v>
      </c>
      <c r="K668" s="27">
        <v>1</v>
      </c>
      <c r="L668" s="27" t="s">
        <v>214</v>
      </c>
      <c r="M668" s="27"/>
      <c r="N668" s="31" t="s">
        <v>81</v>
      </c>
      <c r="O668" s="27"/>
      <c r="P668" s="30"/>
      <c r="Q668" s="30" t="s">
        <v>66</v>
      </c>
      <c r="R668" s="26">
        <v>46230</v>
      </c>
      <c r="S668" s="26">
        <v>46232</v>
      </c>
      <c r="T668" s="31"/>
      <c r="U668" s="30" t="s">
        <v>68</v>
      </c>
      <c r="V668" s="34" t="s">
        <v>70</v>
      </c>
      <c r="W668" s="27" t="s">
        <v>208</v>
      </c>
      <c r="X668" s="30">
        <v>1</v>
      </c>
      <c r="Y668" s="30">
        <v>1</v>
      </c>
      <c r="Z668" s="30">
        <v>1</v>
      </c>
      <c r="AA668" s="30">
        <v>1</v>
      </c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6"/>
      <c r="AS668" s="36"/>
      <c r="AT668" s="36"/>
      <c r="AU668" s="36"/>
      <c r="AV668" s="36"/>
      <c r="AW668" s="36"/>
      <c r="AX668" s="36" t="s">
        <v>69</v>
      </c>
      <c r="AY668" s="36"/>
      <c r="AZ668" s="30"/>
      <c r="BA668" s="30"/>
      <c r="BB668" s="30" t="s">
        <v>748</v>
      </c>
      <c r="BC668" s="30"/>
      <c r="BD668" s="30"/>
      <c r="BE668" s="30"/>
      <c r="BF668" s="30"/>
      <c r="BG668" s="30"/>
      <c r="BH668" s="30"/>
      <c r="BI668" s="30"/>
      <c r="BJ668" s="30"/>
      <c r="BK668" s="27"/>
      <c r="BL668" s="27"/>
    </row>
    <row r="669" spans="1:64">
      <c r="A669" s="68" t="s">
        <v>54</v>
      </c>
      <c r="B669" s="26">
        <v>46226</v>
      </c>
      <c r="C669" s="27">
        <v>29607</v>
      </c>
      <c r="D669" s="27"/>
      <c r="E669" s="27" t="s">
        <v>212</v>
      </c>
      <c r="F669" s="27" t="s">
        <v>59</v>
      </c>
      <c r="G669" s="27" t="s">
        <v>104</v>
      </c>
      <c r="H669" s="30" t="s">
        <v>757</v>
      </c>
      <c r="I669" s="31" t="s">
        <v>1606</v>
      </c>
      <c r="J669" s="30" t="s">
        <v>757</v>
      </c>
      <c r="K669" s="27">
        <v>1</v>
      </c>
      <c r="L669" s="27" t="s">
        <v>214</v>
      </c>
      <c r="M669" s="27"/>
      <c r="N669" s="31" t="s">
        <v>81</v>
      </c>
      <c r="O669" s="27"/>
      <c r="P669" s="30"/>
      <c r="Q669" s="30" t="s">
        <v>66</v>
      </c>
      <c r="R669" s="26">
        <v>46230</v>
      </c>
      <c r="S669" s="26">
        <v>46232</v>
      </c>
      <c r="T669" s="31"/>
      <c r="U669" s="30" t="s">
        <v>68</v>
      </c>
      <c r="V669" s="34" t="s">
        <v>70</v>
      </c>
      <c r="W669" s="27" t="s">
        <v>208</v>
      </c>
      <c r="X669" s="30">
        <v>1</v>
      </c>
      <c r="Y669" s="30">
        <v>1</v>
      </c>
      <c r="Z669" s="30">
        <v>1</v>
      </c>
      <c r="AA669" s="30">
        <v>1</v>
      </c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6"/>
      <c r="AS669" s="36"/>
      <c r="AT669" s="36"/>
      <c r="AU669" s="36"/>
      <c r="AV669" s="36"/>
      <c r="AW669" s="36"/>
      <c r="AX669" s="36" t="s">
        <v>69</v>
      </c>
      <c r="AY669" s="36"/>
      <c r="AZ669" s="30"/>
      <c r="BA669" s="30"/>
      <c r="BB669" s="30" t="s">
        <v>81</v>
      </c>
      <c r="BC669" s="30" t="s">
        <v>41</v>
      </c>
      <c r="BD669" s="30"/>
      <c r="BE669" s="30"/>
      <c r="BF669" s="30"/>
      <c r="BG669" s="30"/>
      <c r="BH669" s="30"/>
      <c r="BI669" s="30"/>
      <c r="BJ669" s="30"/>
      <c r="BK669" s="27"/>
      <c r="BL669" s="27"/>
    </row>
    <row r="670" spans="1:64">
      <c r="A670" s="68" t="s">
        <v>54</v>
      </c>
      <c r="B670" s="26">
        <v>46226</v>
      </c>
      <c r="C670" s="27">
        <v>29622</v>
      </c>
      <c r="D670" s="27"/>
      <c r="E670" s="27" t="s">
        <v>203</v>
      </c>
      <c r="F670" s="27" t="s">
        <v>59</v>
      </c>
      <c r="G670" s="27" t="s">
        <v>104</v>
      </c>
      <c r="H670" s="30" t="s">
        <v>243</v>
      </c>
      <c r="I670" s="31" t="s">
        <v>1720</v>
      </c>
      <c r="J670" s="30" t="s">
        <v>656</v>
      </c>
      <c r="K670" s="27">
        <v>1</v>
      </c>
      <c r="L670" s="27" t="s">
        <v>205</v>
      </c>
      <c r="M670" s="27"/>
      <c r="N670" s="31" t="s">
        <v>154</v>
      </c>
      <c r="O670" s="27"/>
      <c r="P670" s="30"/>
      <c r="Q670" s="30" t="s">
        <v>66</v>
      </c>
      <c r="R670" s="26">
        <v>46231</v>
      </c>
      <c r="S670" s="26">
        <v>46232</v>
      </c>
      <c r="T670" s="31"/>
      <c r="U670" s="30" t="s">
        <v>68</v>
      </c>
      <c r="V670" s="34" t="s">
        <v>70</v>
      </c>
      <c r="W670" s="27" t="s">
        <v>208</v>
      </c>
      <c r="X670" s="30">
        <v>1</v>
      </c>
      <c r="Y670" s="30">
        <v>1</v>
      </c>
      <c r="Z670" s="30">
        <v>1</v>
      </c>
      <c r="AA670" s="30">
        <v>1</v>
      </c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6"/>
      <c r="AS670" s="36"/>
      <c r="AT670" s="36"/>
      <c r="AU670" s="36"/>
      <c r="AV670" s="36"/>
      <c r="AW670" s="36"/>
      <c r="AX670" s="36" t="s">
        <v>69</v>
      </c>
      <c r="AY670" s="36"/>
      <c r="AZ670" s="30"/>
      <c r="BA670" s="30"/>
      <c r="BB670" s="30"/>
      <c r="BC670" s="30" t="s">
        <v>157</v>
      </c>
      <c r="BD670" s="30"/>
      <c r="BE670" s="30"/>
      <c r="BF670" s="30"/>
      <c r="BG670" s="30"/>
      <c r="BH670" s="30"/>
      <c r="BI670" s="30"/>
      <c r="BJ670" s="30"/>
      <c r="BK670" s="27"/>
      <c r="BL670" s="27"/>
    </row>
    <row r="671" spans="1:64">
      <c r="A671" s="68" t="s">
        <v>54</v>
      </c>
      <c r="B671" s="26">
        <v>46226</v>
      </c>
      <c r="C671" s="27">
        <v>29605</v>
      </c>
      <c r="D671" s="27"/>
      <c r="E671" s="27" t="s">
        <v>203</v>
      </c>
      <c r="F671" s="27" t="s">
        <v>59</v>
      </c>
      <c r="G671" s="27" t="s">
        <v>104</v>
      </c>
      <c r="H671" s="30" t="s">
        <v>195</v>
      </c>
      <c r="I671" s="31" t="s">
        <v>1721</v>
      </c>
      <c r="J671" s="30" t="s">
        <v>760</v>
      </c>
      <c r="K671" s="27">
        <v>1</v>
      </c>
      <c r="L671" s="27" t="s">
        <v>205</v>
      </c>
      <c r="M671" s="27"/>
      <c r="N671" s="31" t="s">
        <v>154</v>
      </c>
      <c r="O671" s="27"/>
      <c r="P671" s="30"/>
      <c r="Q671" s="30" t="s">
        <v>66</v>
      </c>
      <c r="R671" s="26">
        <v>46231</v>
      </c>
      <c r="S671" s="26">
        <v>46232</v>
      </c>
      <c r="T671" s="31"/>
      <c r="U671" s="30" t="s">
        <v>68</v>
      </c>
      <c r="V671" s="34" t="s">
        <v>70</v>
      </c>
      <c r="W671" s="27" t="s">
        <v>208</v>
      </c>
      <c r="X671" s="30">
        <v>1</v>
      </c>
      <c r="Y671" s="30">
        <v>1</v>
      </c>
      <c r="Z671" s="30">
        <v>1</v>
      </c>
      <c r="AA671" s="30">
        <v>1</v>
      </c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6"/>
      <c r="AS671" s="36"/>
      <c r="AT671" s="36"/>
      <c r="AU671" s="36"/>
      <c r="AV671" s="36"/>
      <c r="AW671" s="36"/>
      <c r="AX671" s="36" t="s">
        <v>69</v>
      </c>
      <c r="AY671" s="36"/>
      <c r="AZ671" s="30"/>
      <c r="BA671" s="30"/>
      <c r="BB671" s="30"/>
      <c r="BC671" s="30" t="s">
        <v>154</v>
      </c>
      <c r="BD671" s="30"/>
      <c r="BE671" s="30"/>
      <c r="BF671" s="30"/>
      <c r="BG671" s="30"/>
      <c r="BH671" s="30"/>
      <c r="BI671" s="30"/>
      <c r="BJ671" s="30"/>
      <c r="BK671" s="27"/>
      <c r="BL671" s="27"/>
    </row>
    <row r="672" spans="1:64">
      <c r="A672" s="68" t="s">
        <v>54</v>
      </c>
      <c r="B672" s="26">
        <v>46226</v>
      </c>
      <c r="C672" s="27">
        <v>28782</v>
      </c>
      <c r="D672" s="27"/>
      <c r="E672" s="27" t="s">
        <v>212</v>
      </c>
      <c r="F672" s="27" t="s">
        <v>59</v>
      </c>
      <c r="G672" s="27" t="s">
        <v>104</v>
      </c>
      <c r="H672" s="30" t="s">
        <v>120</v>
      </c>
      <c r="I672" s="31" t="s">
        <v>1722</v>
      </c>
      <c r="J672" s="30" t="s">
        <v>120</v>
      </c>
      <c r="K672" s="27">
        <v>1</v>
      </c>
      <c r="L672" s="27" t="s">
        <v>205</v>
      </c>
      <c r="M672" s="27"/>
      <c r="N672" s="31" t="s">
        <v>455</v>
      </c>
      <c r="O672" s="27"/>
      <c r="P672" s="30"/>
      <c r="Q672" s="30" t="s">
        <v>66</v>
      </c>
      <c r="R672" s="26">
        <v>46231</v>
      </c>
      <c r="S672" s="26">
        <v>46233</v>
      </c>
      <c r="T672" s="31"/>
      <c r="U672" s="30" t="s">
        <v>68</v>
      </c>
      <c r="V672" s="34" t="s">
        <v>70</v>
      </c>
      <c r="W672" s="27" t="s">
        <v>208</v>
      </c>
      <c r="X672" s="30">
        <v>3</v>
      </c>
      <c r="Y672" s="30">
        <v>1</v>
      </c>
      <c r="Z672" s="30">
        <v>1</v>
      </c>
      <c r="AA672" s="30">
        <v>1</v>
      </c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6"/>
      <c r="AS672" s="36"/>
      <c r="AT672" s="36"/>
      <c r="AU672" s="36"/>
      <c r="AV672" s="36"/>
      <c r="AW672" s="36"/>
      <c r="AX672" s="36" t="s">
        <v>69</v>
      </c>
      <c r="AY672" s="36"/>
      <c r="AZ672" s="30"/>
      <c r="BA672" s="30"/>
      <c r="BB672" s="30"/>
      <c r="BC672" s="30" t="s">
        <v>583</v>
      </c>
      <c r="BD672" s="30"/>
      <c r="BE672" s="30"/>
      <c r="BF672" s="30"/>
      <c r="BG672" s="30"/>
      <c r="BH672" s="30"/>
      <c r="BI672" s="30"/>
      <c r="BJ672" s="30"/>
      <c r="BK672" s="27"/>
      <c r="BL672" s="27"/>
    </row>
    <row r="673" spans="1:64">
      <c r="A673" s="68" t="s">
        <v>54</v>
      </c>
      <c r="B673" s="26">
        <v>46226</v>
      </c>
      <c r="C673" s="27">
        <v>29608</v>
      </c>
      <c r="D673" s="27"/>
      <c r="E673" s="27" t="s">
        <v>212</v>
      </c>
      <c r="F673" s="27" t="s">
        <v>59</v>
      </c>
      <c r="G673" s="27" t="s">
        <v>104</v>
      </c>
      <c r="H673" s="30" t="s">
        <v>28</v>
      </c>
      <c r="I673" s="31" t="s">
        <v>1723</v>
      </c>
      <c r="J673" s="30" t="s">
        <v>28</v>
      </c>
      <c r="K673" s="27">
        <v>1</v>
      </c>
      <c r="L673" s="27" t="s">
        <v>205</v>
      </c>
      <c r="M673" s="27"/>
      <c r="N673" s="31" t="s">
        <v>258</v>
      </c>
      <c r="O673" s="27"/>
      <c r="P673" s="30"/>
      <c r="Q673" s="30" t="s">
        <v>434</v>
      </c>
      <c r="R673" s="26">
        <v>46227</v>
      </c>
      <c r="S673" s="26">
        <v>46228</v>
      </c>
      <c r="T673" s="31"/>
      <c r="U673" s="30" t="s">
        <v>68</v>
      </c>
      <c r="V673" s="34" t="s">
        <v>70</v>
      </c>
      <c r="W673" s="27" t="s">
        <v>208</v>
      </c>
      <c r="X673" s="30">
        <v>1</v>
      </c>
      <c r="Y673" s="30">
        <v>1</v>
      </c>
      <c r="Z673" s="30">
        <v>1</v>
      </c>
      <c r="AA673" s="30">
        <v>1</v>
      </c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6"/>
      <c r="AS673" s="36"/>
      <c r="AT673" s="36"/>
      <c r="AU673" s="36"/>
      <c r="AV673" s="36"/>
      <c r="AW673" s="36"/>
      <c r="AX673" s="36" t="s">
        <v>69</v>
      </c>
      <c r="AY673" s="36" t="s">
        <v>1724</v>
      </c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27"/>
      <c r="BL673" s="27"/>
    </row>
    <row r="674" spans="1:64">
      <c r="A674" s="68" t="s">
        <v>54</v>
      </c>
      <c r="B674" s="26">
        <v>46226</v>
      </c>
      <c r="C674" s="27">
        <v>28787</v>
      </c>
      <c r="D674" s="27"/>
      <c r="E674" s="27" t="s">
        <v>212</v>
      </c>
      <c r="F674" s="27" t="s">
        <v>59</v>
      </c>
      <c r="G674" s="27" t="s">
        <v>104</v>
      </c>
      <c r="H674" s="30" t="s">
        <v>28</v>
      </c>
      <c r="I674" s="31" t="s">
        <v>1723</v>
      </c>
      <c r="J674" s="30" t="s">
        <v>28</v>
      </c>
      <c r="K674" s="27">
        <v>1</v>
      </c>
      <c r="L674" s="27" t="s">
        <v>205</v>
      </c>
      <c r="M674" s="27"/>
      <c r="N674" s="31" t="s">
        <v>258</v>
      </c>
      <c r="O674" s="27"/>
      <c r="P674" s="30"/>
      <c r="Q674" s="30" t="s">
        <v>434</v>
      </c>
      <c r="R674" s="26">
        <v>46227</v>
      </c>
      <c r="S674" s="26">
        <v>46228</v>
      </c>
      <c r="T674" s="31"/>
      <c r="U674" s="30" t="s">
        <v>68</v>
      </c>
      <c r="V674" s="34" t="s">
        <v>70</v>
      </c>
      <c r="W674" s="27" t="s">
        <v>208</v>
      </c>
      <c r="X674" s="30">
        <v>1</v>
      </c>
      <c r="Y674" s="30">
        <v>1</v>
      </c>
      <c r="Z674" s="30">
        <v>1</v>
      </c>
      <c r="AA674" s="30">
        <v>1</v>
      </c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6"/>
      <c r="AS674" s="36"/>
      <c r="AT674" s="36"/>
      <c r="AU674" s="36"/>
      <c r="AV674" s="36"/>
      <c r="AW674" s="36"/>
      <c r="AX674" s="36" t="s">
        <v>69</v>
      </c>
      <c r="AY674" s="36" t="s">
        <v>260</v>
      </c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27"/>
      <c r="BL674" s="27"/>
    </row>
    <row r="675" spans="1:64">
      <c r="A675" s="68" t="s">
        <v>54</v>
      </c>
      <c r="B675" s="26">
        <v>46226</v>
      </c>
      <c r="C675" s="27">
        <v>28777</v>
      </c>
      <c r="D675" s="27"/>
      <c r="E675" s="27" t="s">
        <v>212</v>
      </c>
      <c r="F675" s="27" t="s">
        <v>59</v>
      </c>
      <c r="G675" s="27" t="s">
        <v>104</v>
      </c>
      <c r="H675" s="30" t="s">
        <v>28</v>
      </c>
      <c r="I675" s="31" t="s">
        <v>1542</v>
      </c>
      <c r="J675" s="30" t="s">
        <v>28</v>
      </c>
      <c r="K675" s="27">
        <v>1</v>
      </c>
      <c r="L675" s="27" t="s">
        <v>205</v>
      </c>
      <c r="M675" s="27"/>
      <c r="N675" s="31" t="s">
        <v>258</v>
      </c>
      <c r="O675" s="27"/>
      <c r="P675" s="30"/>
      <c r="Q675" s="30" t="s">
        <v>434</v>
      </c>
      <c r="R675" s="26">
        <v>46227</v>
      </c>
      <c r="S675" s="26">
        <v>46228</v>
      </c>
      <c r="T675" s="31"/>
      <c r="U675" s="30" t="s">
        <v>68</v>
      </c>
      <c r="V675" s="34" t="s">
        <v>70</v>
      </c>
      <c r="W675" s="27" t="s">
        <v>208</v>
      </c>
      <c r="X675" s="30">
        <v>1</v>
      </c>
      <c r="Y675" s="30">
        <v>1</v>
      </c>
      <c r="Z675" s="30">
        <v>1</v>
      </c>
      <c r="AA675" s="30">
        <v>1</v>
      </c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6"/>
      <c r="AS675" s="36"/>
      <c r="AT675" s="36"/>
      <c r="AU675" s="36"/>
      <c r="AV675" s="36"/>
      <c r="AW675" s="36"/>
      <c r="AX675" s="36" t="s">
        <v>69</v>
      </c>
      <c r="AY675" s="36" t="s">
        <v>260</v>
      </c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27"/>
      <c r="BL675" s="27"/>
    </row>
    <row r="676" spans="1:64">
      <c r="A676" s="68" t="s">
        <v>54</v>
      </c>
      <c r="B676" s="26">
        <v>46226</v>
      </c>
      <c r="C676" s="27">
        <v>28780</v>
      </c>
      <c r="D676" s="27"/>
      <c r="E676" s="27" t="s">
        <v>212</v>
      </c>
      <c r="F676" s="27" t="s">
        <v>59</v>
      </c>
      <c r="G676" s="27" t="s">
        <v>104</v>
      </c>
      <c r="H676" s="30" t="s">
        <v>28</v>
      </c>
      <c r="I676" s="31" t="s">
        <v>1725</v>
      </c>
      <c r="J676" s="30" t="s">
        <v>28</v>
      </c>
      <c r="K676" s="27">
        <v>1</v>
      </c>
      <c r="L676" s="27" t="s">
        <v>214</v>
      </c>
      <c r="M676" s="27"/>
      <c r="N676" s="31" t="s">
        <v>258</v>
      </c>
      <c r="O676" s="27"/>
      <c r="P676" s="30"/>
      <c r="Q676" s="30" t="s">
        <v>434</v>
      </c>
      <c r="R676" s="26">
        <v>46227</v>
      </c>
      <c r="S676" s="26">
        <v>46228</v>
      </c>
      <c r="T676" s="31"/>
      <c r="U676" s="30" t="s">
        <v>68</v>
      </c>
      <c r="V676" s="34" t="s">
        <v>70</v>
      </c>
      <c r="W676" s="27" t="s">
        <v>208</v>
      </c>
      <c r="X676" s="30">
        <v>1</v>
      </c>
      <c r="Y676" s="30">
        <v>1</v>
      </c>
      <c r="Z676" s="30">
        <v>1</v>
      </c>
      <c r="AA676" s="30">
        <v>1</v>
      </c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6"/>
      <c r="AS676" s="36"/>
      <c r="AT676" s="36"/>
      <c r="AU676" s="36"/>
      <c r="AV676" s="36"/>
      <c r="AW676" s="36"/>
      <c r="AX676" s="36" t="s">
        <v>69</v>
      </c>
      <c r="AY676" s="36" t="s">
        <v>260</v>
      </c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27"/>
      <c r="BL676" s="27"/>
    </row>
    <row r="677" spans="1:64">
      <c r="A677" s="68" t="s">
        <v>54</v>
      </c>
      <c r="B677" s="26">
        <v>46226</v>
      </c>
      <c r="C677" s="27">
        <v>28781</v>
      </c>
      <c r="D677" s="27"/>
      <c r="E677" s="27" t="s">
        <v>212</v>
      </c>
      <c r="F677" s="27" t="s">
        <v>59</v>
      </c>
      <c r="G677" s="27" t="s">
        <v>104</v>
      </c>
      <c r="H677" s="30" t="s">
        <v>170</v>
      </c>
      <c r="I677" s="31" t="s">
        <v>834</v>
      </c>
      <c r="J677" s="30" t="s">
        <v>170</v>
      </c>
      <c r="K677" s="27">
        <v>1</v>
      </c>
      <c r="L677" s="27" t="s">
        <v>214</v>
      </c>
      <c r="M677" s="27"/>
      <c r="N677" s="31" t="s">
        <v>455</v>
      </c>
      <c r="O677" s="27"/>
      <c r="P677" s="30"/>
      <c r="Q677" s="30" t="s">
        <v>434</v>
      </c>
      <c r="R677" s="26">
        <v>46228</v>
      </c>
      <c r="S677" s="26">
        <v>46230</v>
      </c>
      <c r="T677" s="31"/>
      <c r="U677" s="30" t="s">
        <v>68</v>
      </c>
      <c r="V677" s="34" t="s">
        <v>70</v>
      </c>
      <c r="W677" s="27" t="s">
        <v>208</v>
      </c>
      <c r="X677" s="30">
        <v>1</v>
      </c>
      <c r="Y677" s="30">
        <v>1</v>
      </c>
      <c r="Z677" s="30">
        <v>1</v>
      </c>
      <c r="AA677" s="30">
        <v>1</v>
      </c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6"/>
      <c r="AS677" s="36"/>
      <c r="AT677" s="36"/>
      <c r="AU677" s="36"/>
      <c r="AV677" s="36"/>
      <c r="AW677" s="36"/>
      <c r="AX677" s="36" t="s">
        <v>1323</v>
      </c>
      <c r="AY677" s="36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27"/>
      <c r="BL677" s="27"/>
    </row>
    <row r="678" spans="1:64">
      <c r="A678" s="68" t="s">
        <v>54</v>
      </c>
      <c r="B678" s="26">
        <v>46226</v>
      </c>
      <c r="C678" s="27">
        <v>29612</v>
      </c>
      <c r="D678" s="27"/>
      <c r="E678" s="27" t="s">
        <v>212</v>
      </c>
      <c r="F678" s="27" t="s">
        <v>59</v>
      </c>
      <c r="G678" s="27" t="s">
        <v>104</v>
      </c>
      <c r="H678" s="30" t="s">
        <v>170</v>
      </c>
      <c r="I678" s="31" t="s">
        <v>770</v>
      </c>
      <c r="J678" s="30" t="s">
        <v>170</v>
      </c>
      <c r="K678" s="27">
        <v>1</v>
      </c>
      <c r="L678" s="27" t="s">
        <v>205</v>
      </c>
      <c r="M678" s="27"/>
      <c r="N678" s="31" t="s">
        <v>455</v>
      </c>
      <c r="O678" s="27"/>
      <c r="P678" s="30"/>
      <c r="Q678" s="30" t="s">
        <v>66</v>
      </c>
      <c r="R678" s="26">
        <v>46228</v>
      </c>
      <c r="S678" s="26">
        <v>46230</v>
      </c>
      <c r="T678" s="31"/>
      <c r="U678" s="30" t="s">
        <v>68</v>
      </c>
      <c r="V678" s="34" t="s">
        <v>70</v>
      </c>
      <c r="W678" s="27" t="s">
        <v>208</v>
      </c>
      <c r="X678" s="30">
        <v>1</v>
      </c>
      <c r="Y678" s="30">
        <v>1</v>
      </c>
      <c r="Z678" s="30">
        <v>1</v>
      </c>
      <c r="AA678" s="30">
        <v>1</v>
      </c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6"/>
      <c r="AS678" s="36"/>
      <c r="AT678" s="36"/>
      <c r="AU678" s="36"/>
      <c r="AV678" s="36"/>
      <c r="AW678" s="36"/>
      <c r="AX678" s="36" t="s">
        <v>1323</v>
      </c>
      <c r="AY678" s="36"/>
      <c r="AZ678" s="30" t="s">
        <v>90</v>
      </c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27"/>
      <c r="BL678" s="27"/>
    </row>
    <row r="679" spans="1:64">
      <c r="A679" s="68" t="s">
        <v>54</v>
      </c>
      <c r="B679" s="26">
        <v>46226</v>
      </c>
      <c r="C679" s="27">
        <v>28783</v>
      </c>
      <c r="D679" s="27"/>
      <c r="E679" s="27" t="s">
        <v>212</v>
      </c>
      <c r="F679" s="27" t="s">
        <v>59</v>
      </c>
      <c r="G679" s="27" t="s">
        <v>104</v>
      </c>
      <c r="H679" s="30" t="s">
        <v>170</v>
      </c>
      <c r="I679" s="31" t="s">
        <v>1726</v>
      </c>
      <c r="J679" s="30" t="s">
        <v>170</v>
      </c>
      <c r="K679" s="27">
        <v>1</v>
      </c>
      <c r="L679" s="27" t="s">
        <v>205</v>
      </c>
      <c r="M679" s="27"/>
      <c r="N679" s="31" t="s">
        <v>455</v>
      </c>
      <c r="O679" s="27"/>
      <c r="P679" s="30"/>
      <c r="Q679" s="30" t="s">
        <v>400</v>
      </c>
      <c r="R679" s="26">
        <v>46228</v>
      </c>
      <c r="S679" s="26">
        <v>46230</v>
      </c>
      <c r="T679" s="31"/>
      <c r="U679" s="30" t="s">
        <v>68</v>
      </c>
      <c r="V679" s="34" t="s">
        <v>70</v>
      </c>
      <c r="W679" s="27" t="s">
        <v>208</v>
      </c>
      <c r="X679" s="30">
        <v>1</v>
      </c>
      <c r="Y679" s="30">
        <v>1</v>
      </c>
      <c r="Z679" s="30">
        <v>1</v>
      </c>
      <c r="AA679" s="30">
        <v>1</v>
      </c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6"/>
      <c r="AS679" s="36"/>
      <c r="AT679" s="36"/>
      <c r="AU679" s="36"/>
      <c r="AV679" s="36"/>
      <c r="AW679" s="36"/>
      <c r="AX679" s="36" t="s">
        <v>1323</v>
      </c>
      <c r="AY679" s="36"/>
      <c r="AZ679" s="30" t="s">
        <v>90</v>
      </c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27"/>
      <c r="BL679" s="27"/>
    </row>
    <row r="680" spans="1:64">
      <c r="A680" s="68" t="s">
        <v>54</v>
      </c>
      <c r="B680" s="26">
        <v>46226</v>
      </c>
      <c r="C680" s="27">
        <v>29613</v>
      </c>
      <c r="D680" s="27"/>
      <c r="E680" s="27" t="s">
        <v>203</v>
      </c>
      <c r="F680" s="27" t="s">
        <v>59</v>
      </c>
      <c r="G680" s="27" t="s">
        <v>104</v>
      </c>
      <c r="H680" s="30" t="s">
        <v>170</v>
      </c>
      <c r="I680" s="31" t="s">
        <v>213</v>
      </c>
      <c r="J680" s="30" t="s">
        <v>170</v>
      </c>
      <c r="K680" s="27">
        <v>1</v>
      </c>
      <c r="L680" s="27" t="s">
        <v>214</v>
      </c>
      <c r="M680" s="27"/>
      <c r="N680" s="31" t="s">
        <v>455</v>
      </c>
      <c r="O680" s="27"/>
      <c r="P680" s="30"/>
      <c r="Q680" s="30" t="s">
        <v>1612</v>
      </c>
      <c r="R680" s="26">
        <v>46228</v>
      </c>
      <c r="S680" s="26">
        <v>46230</v>
      </c>
      <c r="T680" s="31"/>
      <c r="U680" s="30" t="s">
        <v>68</v>
      </c>
      <c r="V680" s="34" t="s">
        <v>70</v>
      </c>
      <c r="W680" s="27" t="s">
        <v>208</v>
      </c>
      <c r="X680" s="30">
        <v>1</v>
      </c>
      <c r="Y680" s="30">
        <v>1</v>
      </c>
      <c r="Z680" s="30">
        <v>1</v>
      </c>
      <c r="AA680" s="30">
        <v>1</v>
      </c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6"/>
      <c r="AS680" s="36"/>
      <c r="AT680" s="36"/>
      <c r="AU680" s="36"/>
      <c r="AV680" s="36"/>
      <c r="AW680" s="36"/>
      <c r="AX680" s="36" t="s">
        <v>1323</v>
      </c>
      <c r="AY680" s="36"/>
      <c r="AZ680" s="30" t="s">
        <v>906</v>
      </c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27"/>
      <c r="BL680" s="27"/>
    </row>
    <row r="681" spans="1:64">
      <c r="A681" s="68" t="s">
        <v>54</v>
      </c>
      <c r="B681" s="26">
        <v>46226</v>
      </c>
      <c r="C681" s="27">
        <v>28788</v>
      </c>
      <c r="D681" s="27"/>
      <c r="E681" s="27" t="s">
        <v>212</v>
      </c>
      <c r="F681" s="27" t="s">
        <v>59</v>
      </c>
      <c r="G681" s="27" t="s">
        <v>104</v>
      </c>
      <c r="H681" s="30" t="s">
        <v>151</v>
      </c>
      <c r="I681" s="31" t="s">
        <v>839</v>
      </c>
      <c r="J681" s="30" t="s">
        <v>151</v>
      </c>
      <c r="K681" s="27">
        <v>1</v>
      </c>
      <c r="L681" s="27" t="s">
        <v>214</v>
      </c>
      <c r="M681" s="27"/>
      <c r="N681" s="31" t="s">
        <v>455</v>
      </c>
      <c r="O681" s="27"/>
      <c r="P681" s="30"/>
      <c r="Q681" s="30" t="s">
        <v>66</v>
      </c>
      <c r="R681" s="26">
        <v>46227</v>
      </c>
      <c r="S681" s="26">
        <v>46230</v>
      </c>
      <c r="T681" s="31"/>
      <c r="U681" s="30" t="s">
        <v>68</v>
      </c>
      <c r="V681" s="34" t="s">
        <v>70</v>
      </c>
      <c r="W681" s="27" t="s">
        <v>208</v>
      </c>
      <c r="X681" s="30">
        <v>1</v>
      </c>
      <c r="Y681" s="30">
        <v>1</v>
      </c>
      <c r="Z681" s="30">
        <v>1</v>
      </c>
      <c r="AA681" s="30">
        <v>1</v>
      </c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6"/>
      <c r="AS681" s="36"/>
      <c r="AT681" s="36"/>
      <c r="AU681" s="36"/>
      <c r="AV681" s="36"/>
      <c r="AW681" s="36"/>
      <c r="AX681" s="36" t="s">
        <v>1323</v>
      </c>
      <c r="AY681" s="36" t="s">
        <v>41</v>
      </c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27"/>
      <c r="BL681" s="27"/>
    </row>
    <row r="682" spans="1:64">
      <c r="A682" s="68" t="s">
        <v>54</v>
      </c>
      <c r="B682" s="26">
        <v>46226</v>
      </c>
      <c r="C682" s="27">
        <v>29614</v>
      </c>
      <c r="D682" s="27"/>
      <c r="E682" s="27" t="s">
        <v>212</v>
      </c>
      <c r="F682" s="27" t="s">
        <v>59</v>
      </c>
      <c r="G682" s="27" t="s">
        <v>104</v>
      </c>
      <c r="H682" s="30" t="s">
        <v>151</v>
      </c>
      <c r="I682" s="31" t="s">
        <v>282</v>
      </c>
      <c r="J682" s="30" t="s">
        <v>151</v>
      </c>
      <c r="K682" s="27">
        <v>1</v>
      </c>
      <c r="L682" s="27" t="s">
        <v>214</v>
      </c>
      <c r="M682" s="27"/>
      <c r="N682" s="31" t="s">
        <v>455</v>
      </c>
      <c r="O682" s="27"/>
      <c r="P682" s="30"/>
      <c r="Q682" s="30" t="s">
        <v>66</v>
      </c>
      <c r="R682" s="26">
        <v>46227</v>
      </c>
      <c r="S682" s="26">
        <v>46230</v>
      </c>
      <c r="T682" s="31"/>
      <c r="U682" s="30" t="s">
        <v>68</v>
      </c>
      <c r="V682" s="34" t="s">
        <v>70</v>
      </c>
      <c r="W682" s="27" t="s">
        <v>208</v>
      </c>
      <c r="X682" s="30">
        <v>1</v>
      </c>
      <c r="Y682" s="30">
        <v>1</v>
      </c>
      <c r="Z682" s="30">
        <v>1</v>
      </c>
      <c r="AA682" s="30">
        <v>1</v>
      </c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6"/>
      <c r="AS682" s="36"/>
      <c r="AT682" s="36"/>
      <c r="AU682" s="36"/>
      <c r="AV682" s="36"/>
      <c r="AW682" s="36"/>
      <c r="AX682" s="36" t="s">
        <v>1323</v>
      </c>
      <c r="AY682" s="36" t="s">
        <v>41</v>
      </c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27"/>
      <c r="BL682" s="27"/>
    </row>
    <row r="683" spans="1:64">
      <c r="A683" s="68" t="s">
        <v>54</v>
      </c>
      <c r="B683" s="26">
        <v>46226</v>
      </c>
      <c r="C683" s="27">
        <v>28776</v>
      </c>
      <c r="D683" s="27"/>
      <c r="E683" s="27" t="s">
        <v>212</v>
      </c>
      <c r="F683" s="27" t="s">
        <v>59</v>
      </c>
      <c r="G683" s="27" t="s">
        <v>104</v>
      </c>
      <c r="H683" s="30" t="s">
        <v>151</v>
      </c>
      <c r="I683" s="31" t="s">
        <v>638</v>
      </c>
      <c r="J683" s="30" t="s">
        <v>151</v>
      </c>
      <c r="K683" s="27">
        <v>1</v>
      </c>
      <c r="L683" s="27" t="s">
        <v>214</v>
      </c>
      <c r="M683" s="27"/>
      <c r="N683" s="31" t="s">
        <v>455</v>
      </c>
      <c r="O683" s="27"/>
      <c r="P683" s="30"/>
      <c r="Q683" s="30" t="s">
        <v>66</v>
      </c>
      <c r="R683" s="26">
        <v>46227</v>
      </c>
      <c r="S683" s="26">
        <v>46230</v>
      </c>
      <c r="T683" s="31"/>
      <c r="U683" s="30" t="s">
        <v>68</v>
      </c>
      <c r="V683" s="34" t="s">
        <v>70</v>
      </c>
      <c r="W683" s="27" t="s">
        <v>208</v>
      </c>
      <c r="X683" s="30">
        <v>1</v>
      </c>
      <c r="Y683" s="30">
        <v>1</v>
      </c>
      <c r="Z683" s="30">
        <v>1</v>
      </c>
      <c r="AA683" s="30">
        <v>1</v>
      </c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6"/>
      <c r="AS683" s="36"/>
      <c r="AT683" s="36"/>
      <c r="AU683" s="36"/>
      <c r="AV683" s="36"/>
      <c r="AW683" s="36"/>
      <c r="AX683" s="36" t="s">
        <v>1323</v>
      </c>
      <c r="AY683" s="36" t="s">
        <v>41</v>
      </c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27"/>
      <c r="BL683" s="27"/>
    </row>
    <row r="684" spans="1:64">
      <c r="A684" s="68" t="s">
        <v>54</v>
      </c>
      <c r="B684" s="26">
        <v>46226</v>
      </c>
      <c r="C684" s="27">
        <v>28778</v>
      </c>
      <c r="D684" s="27"/>
      <c r="E684" s="27" t="s">
        <v>203</v>
      </c>
      <c r="F684" s="27" t="s">
        <v>59</v>
      </c>
      <c r="G684" s="27" t="s">
        <v>104</v>
      </c>
      <c r="H684" s="30" t="s">
        <v>151</v>
      </c>
      <c r="I684" s="31" t="s">
        <v>768</v>
      </c>
      <c r="J684" s="30" t="s">
        <v>151</v>
      </c>
      <c r="K684" s="27">
        <v>1</v>
      </c>
      <c r="L684" s="27" t="s">
        <v>214</v>
      </c>
      <c r="M684" s="27"/>
      <c r="N684" s="31" t="s">
        <v>455</v>
      </c>
      <c r="O684" s="27"/>
      <c r="P684" s="30"/>
      <c r="Q684" s="30" t="s">
        <v>66</v>
      </c>
      <c r="R684" s="26">
        <v>46227</v>
      </c>
      <c r="S684" s="26">
        <v>46230</v>
      </c>
      <c r="T684" s="31"/>
      <c r="U684" s="30" t="s">
        <v>68</v>
      </c>
      <c r="V684" s="34" t="s">
        <v>70</v>
      </c>
      <c r="W684" s="27" t="s">
        <v>208</v>
      </c>
      <c r="X684" s="30">
        <v>1</v>
      </c>
      <c r="Y684" s="30">
        <v>1</v>
      </c>
      <c r="Z684" s="30">
        <v>1</v>
      </c>
      <c r="AA684" s="30">
        <v>1</v>
      </c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6"/>
      <c r="AS684" s="36"/>
      <c r="AT684" s="36"/>
      <c r="AU684" s="36"/>
      <c r="AV684" s="36"/>
      <c r="AW684" s="36"/>
      <c r="AX684" s="36" t="s">
        <v>1323</v>
      </c>
      <c r="AY684" s="36" t="s">
        <v>41</v>
      </c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27"/>
      <c r="BL684" s="27"/>
    </row>
    <row r="685" spans="1:64">
      <c r="A685" s="68" t="s">
        <v>54</v>
      </c>
      <c r="B685" s="26">
        <v>46226</v>
      </c>
      <c r="C685" s="27">
        <v>29611</v>
      </c>
      <c r="D685" s="27"/>
      <c r="E685" s="27" t="s">
        <v>212</v>
      </c>
      <c r="F685" s="27" t="s">
        <v>59</v>
      </c>
      <c r="G685" s="27" t="s">
        <v>104</v>
      </c>
      <c r="H685" s="30" t="s">
        <v>151</v>
      </c>
      <c r="I685" s="31" t="s">
        <v>1401</v>
      </c>
      <c r="J685" s="30" t="s">
        <v>151</v>
      </c>
      <c r="K685" s="27">
        <v>1</v>
      </c>
      <c r="L685" s="27" t="s">
        <v>214</v>
      </c>
      <c r="M685" s="27"/>
      <c r="N685" s="31" t="s">
        <v>455</v>
      </c>
      <c r="O685" s="27"/>
      <c r="P685" s="30"/>
      <c r="Q685" s="30" t="s">
        <v>66</v>
      </c>
      <c r="R685" s="26">
        <v>46227</v>
      </c>
      <c r="S685" s="26">
        <v>46230</v>
      </c>
      <c r="T685" s="31"/>
      <c r="U685" s="30" t="s">
        <v>68</v>
      </c>
      <c r="V685" s="34" t="s">
        <v>70</v>
      </c>
      <c r="W685" s="27" t="s">
        <v>208</v>
      </c>
      <c r="X685" s="30">
        <v>1</v>
      </c>
      <c r="Y685" s="30">
        <v>1</v>
      </c>
      <c r="Z685" s="30">
        <v>1</v>
      </c>
      <c r="AA685" s="30">
        <v>1</v>
      </c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6"/>
      <c r="AS685" s="36"/>
      <c r="AT685" s="36"/>
      <c r="AU685" s="36"/>
      <c r="AV685" s="36"/>
      <c r="AW685" s="36"/>
      <c r="AX685" s="36" t="s">
        <v>1323</v>
      </c>
      <c r="AY685" s="36" t="s">
        <v>41</v>
      </c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27"/>
      <c r="BL685" s="27"/>
    </row>
    <row r="686" spans="1:64">
      <c r="A686" s="68" t="s">
        <v>54</v>
      </c>
      <c r="B686" s="26">
        <v>46226</v>
      </c>
      <c r="C686" s="27">
        <v>28785</v>
      </c>
      <c r="D686" s="27"/>
      <c r="E686" s="27" t="s">
        <v>212</v>
      </c>
      <c r="F686" s="27" t="s">
        <v>59</v>
      </c>
      <c r="G686" s="27" t="s">
        <v>104</v>
      </c>
      <c r="H686" s="30" t="s">
        <v>151</v>
      </c>
      <c r="I686" s="31" t="s">
        <v>277</v>
      </c>
      <c r="J686" s="30" t="s">
        <v>151</v>
      </c>
      <c r="K686" s="27">
        <v>1</v>
      </c>
      <c r="L686" s="27" t="s">
        <v>214</v>
      </c>
      <c r="M686" s="27"/>
      <c r="N686" s="31" t="s">
        <v>455</v>
      </c>
      <c r="O686" s="27"/>
      <c r="P686" s="30"/>
      <c r="Q686" s="30" t="s">
        <v>66</v>
      </c>
      <c r="R686" s="26">
        <v>46227</v>
      </c>
      <c r="S686" s="26">
        <v>46230</v>
      </c>
      <c r="T686" s="31"/>
      <c r="U686" s="30" t="s">
        <v>68</v>
      </c>
      <c r="V686" s="34" t="s">
        <v>70</v>
      </c>
      <c r="W686" s="27" t="s">
        <v>208</v>
      </c>
      <c r="X686" s="30">
        <v>1</v>
      </c>
      <c r="Y686" s="30">
        <v>1</v>
      </c>
      <c r="Z686" s="30">
        <v>1</v>
      </c>
      <c r="AA686" s="30">
        <v>1</v>
      </c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6"/>
      <c r="AS686" s="36"/>
      <c r="AT686" s="36"/>
      <c r="AU686" s="36"/>
      <c r="AV686" s="36"/>
      <c r="AW686" s="36"/>
      <c r="AX686" s="36" t="s">
        <v>1323</v>
      </c>
      <c r="AY686" s="36" t="s">
        <v>41</v>
      </c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27"/>
      <c r="BL686" s="27"/>
    </row>
    <row r="687" spans="1:64">
      <c r="A687" s="68" t="s">
        <v>54</v>
      </c>
      <c r="B687" s="26">
        <v>46226</v>
      </c>
      <c r="C687" s="27">
        <v>28784</v>
      </c>
      <c r="D687" s="27"/>
      <c r="E687" s="27" t="s">
        <v>212</v>
      </c>
      <c r="F687" s="27" t="s">
        <v>59</v>
      </c>
      <c r="G687" s="27" t="s">
        <v>104</v>
      </c>
      <c r="H687" s="30" t="s">
        <v>106</v>
      </c>
      <c r="I687" s="31" t="s">
        <v>1727</v>
      </c>
      <c r="J687" s="30" t="s">
        <v>106</v>
      </c>
      <c r="K687" s="27">
        <v>1</v>
      </c>
      <c r="L687" s="27" t="s">
        <v>214</v>
      </c>
      <c r="M687" s="27"/>
      <c r="N687" s="31" t="s">
        <v>81</v>
      </c>
      <c r="O687" s="27"/>
      <c r="P687" s="30"/>
      <c r="Q687" s="30" t="s">
        <v>66</v>
      </c>
      <c r="R687" s="26">
        <v>46227</v>
      </c>
      <c r="S687" s="26">
        <v>46230</v>
      </c>
      <c r="T687" s="31"/>
      <c r="U687" s="30" t="s">
        <v>68</v>
      </c>
      <c r="V687" s="34" t="s">
        <v>70</v>
      </c>
      <c r="W687" s="27" t="s">
        <v>208</v>
      </c>
      <c r="X687" s="30"/>
      <c r="Y687" s="30"/>
      <c r="Z687" s="30"/>
      <c r="AA687" s="30">
        <v>1</v>
      </c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6"/>
      <c r="AS687" s="36"/>
      <c r="AT687" s="36"/>
      <c r="AU687" s="36"/>
      <c r="AV687" s="36"/>
      <c r="AW687" s="36"/>
      <c r="AX687" s="36" t="s">
        <v>1420</v>
      </c>
      <c r="AY687" s="36" t="s">
        <v>90</v>
      </c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27"/>
      <c r="BL687" s="27"/>
    </row>
    <row r="688" spans="1:64">
      <c r="A688" s="68" t="s">
        <v>54</v>
      </c>
      <c r="B688" s="26">
        <v>46226</v>
      </c>
      <c r="C688" s="27">
        <v>29625</v>
      </c>
      <c r="D688" s="27"/>
      <c r="E688" s="27" t="s">
        <v>212</v>
      </c>
      <c r="F688" s="27" t="s">
        <v>59</v>
      </c>
      <c r="G688" s="27" t="s">
        <v>104</v>
      </c>
      <c r="H688" s="30" t="s">
        <v>106</v>
      </c>
      <c r="I688" s="31" t="s">
        <v>463</v>
      </c>
      <c r="J688" s="30" t="s">
        <v>106</v>
      </c>
      <c r="K688" s="27">
        <v>1</v>
      </c>
      <c r="L688" s="27" t="s">
        <v>205</v>
      </c>
      <c r="M688" s="27"/>
      <c r="N688" s="31" t="s">
        <v>81</v>
      </c>
      <c r="O688" s="27"/>
      <c r="P688" s="30"/>
      <c r="Q688" s="30" t="s">
        <v>66</v>
      </c>
      <c r="R688" s="26">
        <v>46228</v>
      </c>
      <c r="S688" s="26">
        <v>46230</v>
      </c>
      <c r="T688" s="31"/>
      <c r="U688" s="30" t="s">
        <v>68</v>
      </c>
      <c r="V688" s="34" t="s">
        <v>70</v>
      </c>
      <c r="W688" s="27" t="s">
        <v>208</v>
      </c>
      <c r="X688" s="30">
        <v>1</v>
      </c>
      <c r="Y688" s="30">
        <v>1</v>
      </c>
      <c r="Z688" s="30">
        <v>1</v>
      </c>
      <c r="AA688" s="30">
        <v>1</v>
      </c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6"/>
      <c r="AS688" s="36"/>
      <c r="AT688" s="36"/>
      <c r="AU688" s="36"/>
      <c r="AV688" s="36"/>
      <c r="AW688" s="36"/>
      <c r="AX688" s="36" t="s">
        <v>1420</v>
      </c>
      <c r="AY688" s="36"/>
      <c r="AZ688" s="30" t="s">
        <v>41</v>
      </c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27"/>
      <c r="BL688" s="27"/>
    </row>
    <row r="689" spans="1:64">
      <c r="A689" s="68" t="s">
        <v>54</v>
      </c>
      <c r="B689" s="26">
        <v>46226</v>
      </c>
      <c r="C689" s="27">
        <v>29621</v>
      </c>
      <c r="D689" s="27"/>
      <c r="E689" s="27" t="s">
        <v>212</v>
      </c>
      <c r="F689" s="27" t="s">
        <v>59</v>
      </c>
      <c r="G689" s="27" t="s">
        <v>104</v>
      </c>
      <c r="H689" s="30" t="s">
        <v>227</v>
      </c>
      <c r="I689" s="31" t="s">
        <v>1728</v>
      </c>
      <c r="J689" s="30" t="s">
        <v>227</v>
      </c>
      <c r="K689" s="27">
        <v>1</v>
      </c>
      <c r="L689" s="27" t="s">
        <v>205</v>
      </c>
      <c r="M689" s="27"/>
      <c r="N689" s="31" t="s">
        <v>95</v>
      </c>
      <c r="O689" s="27"/>
      <c r="P689" s="30"/>
      <c r="Q689" s="30" t="s">
        <v>66</v>
      </c>
      <c r="R689" s="26">
        <v>46233</v>
      </c>
      <c r="S689" s="26">
        <v>46234</v>
      </c>
      <c r="T689" s="31"/>
      <c r="U689" s="30" t="s">
        <v>68</v>
      </c>
      <c r="V689" s="34" t="s">
        <v>70</v>
      </c>
      <c r="W689" s="27" t="s">
        <v>208</v>
      </c>
      <c r="X689" s="30">
        <v>3</v>
      </c>
      <c r="Y689" s="30">
        <v>1</v>
      </c>
      <c r="Z689" s="30">
        <v>1</v>
      </c>
      <c r="AA689" s="30">
        <v>1</v>
      </c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6"/>
      <c r="AS689" s="36"/>
      <c r="AT689" s="36"/>
      <c r="AU689" s="36"/>
      <c r="AV689" s="36"/>
      <c r="AW689" s="36"/>
      <c r="AX689" s="36"/>
      <c r="AY689" s="36"/>
      <c r="AZ689" s="30"/>
      <c r="BA689" s="30"/>
      <c r="BB689" s="30"/>
      <c r="BC689" s="30" t="s">
        <v>95</v>
      </c>
      <c r="BD689" s="30"/>
      <c r="BE689" s="30" t="s">
        <v>41</v>
      </c>
      <c r="BF689" s="30"/>
      <c r="BG689" s="30"/>
      <c r="BH689" s="30"/>
      <c r="BI689" s="30"/>
      <c r="BJ689" s="30"/>
      <c r="BK689" s="27"/>
      <c r="BL689" s="27"/>
    </row>
    <row r="690" spans="1:64">
      <c r="A690" s="68" t="s">
        <v>54</v>
      </c>
      <c r="B690" s="26">
        <v>46226</v>
      </c>
      <c r="C690" s="27">
        <v>29609</v>
      </c>
      <c r="D690" s="27"/>
      <c r="E690" s="27" t="s">
        <v>212</v>
      </c>
      <c r="F690" s="27" t="s">
        <v>59</v>
      </c>
      <c r="G690" s="27" t="s">
        <v>104</v>
      </c>
      <c r="H690" s="30" t="s">
        <v>144</v>
      </c>
      <c r="I690" s="31" t="s">
        <v>775</v>
      </c>
      <c r="J690" s="30" t="s">
        <v>144</v>
      </c>
      <c r="K690" s="27">
        <v>1</v>
      </c>
      <c r="L690" s="27" t="s">
        <v>205</v>
      </c>
      <c r="M690" s="27"/>
      <c r="N690" s="31" t="s">
        <v>81</v>
      </c>
      <c r="O690" s="27"/>
      <c r="P690" s="30"/>
      <c r="Q690" s="30" t="s">
        <v>66</v>
      </c>
      <c r="R690" s="26">
        <v>46227</v>
      </c>
      <c r="S690" s="26">
        <v>46230</v>
      </c>
      <c r="T690" s="31"/>
      <c r="U690" s="30" t="s">
        <v>68</v>
      </c>
      <c r="V690" s="34" t="s">
        <v>70</v>
      </c>
      <c r="W690" s="27" t="s">
        <v>208</v>
      </c>
      <c r="X690" s="30">
        <v>1</v>
      </c>
      <c r="Y690" s="30">
        <v>1</v>
      </c>
      <c r="Z690" s="30">
        <v>1</v>
      </c>
      <c r="AA690" s="30">
        <v>1</v>
      </c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6"/>
      <c r="AS690" s="36"/>
      <c r="AT690" s="36"/>
      <c r="AU690" s="36"/>
      <c r="AV690" s="36"/>
      <c r="AW690" s="36"/>
      <c r="AX690" s="36" t="s">
        <v>1420</v>
      </c>
      <c r="AY690" s="36" t="s">
        <v>41</v>
      </c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27"/>
      <c r="BL690" s="27"/>
    </row>
    <row r="691" spans="1:64">
      <c r="A691" s="68" t="s">
        <v>54</v>
      </c>
      <c r="B691" s="26">
        <v>46226</v>
      </c>
      <c r="C691" s="27">
        <v>29606</v>
      </c>
      <c r="D691" s="27"/>
      <c r="E691" s="27" t="s">
        <v>212</v>
      </c>
      <c r="F691" s="27" t="s">
        <v>59</v>
      </c>
      <c r="G691" s="27" t="s">
        <v>104</v>
      </c>
      <c r="H691" s="30" t="s">
        <v>175</v>
      </c>
      <c r="I691" s="31" t="s">
        <v>1729</v>
      </c>
      <c r="J691" s="30" t="s">
        <v>175</v>
      </c>
      <c r="K691" s="27">
        <v>1</v>
      </c>
      <c r="L691" s="27" t="s">
        <v>214</v>
      </c>
      <c r="M691" s="27"/>
      <c r="N691" s="31" t="s">
        <v>81</v>
      </c>
      <c r="O691" s="27"/>
      <c r="P691" s="30"/>
      <c r="Q691" s="30" t="s">
        <v>66</v>
      </c>
      <c r="R691" s="26">
        <v>46228</v>
      </c>
      <c r="S691" s="26">
        <v>46230</v>
      </c>
      <c r="T691" s="31"/>
      <c r="U691" s="30" t="s">
        <v>68</v>
      </c>
      <c r="V691" s="34" t="s">
        <v>70</v>
      </c>
      <c r="W691" s="27" t="s">
        <v>208</v>
      </c>
      <c r="X691" s="30">
        <v>1</v>
      </c>
      <c r="Y691" s="30">
        <v>1</v>
      </c>
      <c r="Z691" s="30">
        <v>1</v>
      </c>
      <c r="AA691" s="30">
        <v>1</v>
      </c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6"/>
      <c r="AS691" s="36"/>
      <c r="AT691" s="36"/>
      <c r="AU691" s="36"/>
      <c r="AV691" s="36"/>
      <c r="AW691" s="36"/>
      <c r="AX691" s="36" t="s">
        <v>1420</v>
      </c>
      <c r="AY691" s="36"/>
      <c r="AZ691" s="30" t="s">
        <v>41</v>
      </c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27"/>
      <c r="BL691" s="27"/>
    </row>
    <row r="692" spans="1:64">
      <c r="A692" s="68" t="s">
        <v>54</v>
      </c>
      <c r="B692" s="26">
        <v>46226</v>
      </c>
      <c r="C692" s="27">
        <v>28779</v>
      </c>
      <c r="D692" s="27"/>
      <c r="E692" s="27" t="s">
        <v>212</v>
      </c>
      <c r="F692" s="27" t="s">
        <v>59</v>
      </c>
      <c r="G692" s="27" t="s">
        <v>104</v>
      </c>
      <c r="H692" s="30" t="s">
        <v>175</v>
      </c>
      <c r="I692" s="31" t="s">
        <v>1730</v>
      </c>
      <c r="J692" s="30" t="s">
        <v>175</v>
      </c>
      <c r="K692" s="27">
        <v>1</v>
      </c>
      <c r="L692" s="27" t="s">
        <v>205</v>
      </c>
      <c r="M692" s="27"/>
      <c r="N692" s="31" t="s">
        <v>81</v>
      </c>
      <c r="O692" s="27"/>
      <c r="P692" s="30"/>
      <c r="Q692" s="30" t="s">
        <v>66</v>
      </c>
      <c r="R692" s="26">
        <v>46228</v>
      </c>
      <c r="S692" s="26">
        <v>46230</v>
      </c>
      <c r="T692" s="31"/>
      <c r="U692" s="30" t="s">
        <v>68</v>
      </c>
      <c r="V692" s="34" t="s">
        <v>70</v>
      </c>
      <c r="W692" s="27" t="s">
        <v>208</v>
      </c>
      <c r="X692" s="30">
        <v>1</v>
      </c>
      <c r="Y692" s="30">
        <v>1</v>
      </c>
      <c r="Z692" s="30">
        <v>1</v>
      </c>
      <c r="AA692" s="30">
        <v>1</v>
      </c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6"/>
      <c r="AS692" s="36"/>
      <c r="AT692" s="36"/>
      <c r="AU692" s="36"/>
      <c r="AV692" s="36"/>
      <c r="AW692" s="36"/>
      <c r="AX692" s="36" t="s">
        <v>1420</v>
      </c>
      <c r="AY692" s="36"/>
      <c r="AZ692" s="30" t="s">
        <v>41</v>
      </c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27"/>
      <c r="BL692" s="27"/>
    </row>
    <row r="693" spans="1:64">
      <c r="A693" s="68" t="s">
        <v>54</v>
      </c>
      <c r="B693" s="26">
        <v>46226</v>
      </c>
      <c r="C693" s="27">
        <v>29604</v>
      </c>
      <c r="D693" s="27"/>
      <c r="E693" s="27" t="s">
        <v>212</v>
      </c>
      <c r="F693" s="27" t="s">
        <v>59</v>
      </c>
      <c r="G693" s="27" t="s">
        <v>104</v>
      </c>
      <c r="H693" s="30" t="s">
        <v>106</v>
      </c>
      <c r="I693" s="31" t="s">
        <v>1731</v>
      </c>
      <c r="J693" s="30" t="s">
        <v>106</v>
      </c>
      <c r="K693" s="27">
        <v>1</v>
      </c>
      <c r="L693" s="27" t="s">
        <v>205</v>
      </c>
      <c r="M693" s="27"/>
      <c r="N693" s="31" t="s">
        <v>81</v>
      </c>
      <c r="O693" s="27"/>
      <c r="P693" s="30"/>
      <c r="Q693" s="30" t="s">
        <v>66</v>
      </c>
      <c r="R693" s="26">
        <v>46228</v>
      </c>
      <c r="S693" s="26">
        <v>46230</v>
      </c>
      <c r="T693" s="31"/>
      <c r="U693" s="30" t="s">
        <v>68</v>
      </c>
      <c r="V693" s="34" t="s">
        <v>70</v>
      </c>
      <c r="W693" s="27" t="s">
        <v>208</v>
      </c>
      <c r="X693" s="30">
        <v>1</v>
      </c>
      <c r="Y693" s="30">
        <v>1</v>
      </c>
      <c r="Z693" s="30">
        <v>1</v>
      </c>
      <c r="AA693" s="30">
        <v>1</v>
      </c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6"/>
      <c r="AS693" s="36"/>
      <c r="AT693" s="36"/>
      <c r="AU693" s="36"/>
      <c r="AV693" s="36"/>
      <c r="AW693" s="36"/>
      <c r="AX693" s="36" t="s">
        <v>1420</v>
      </c>
      <c r="AY693" s="36"/>
      <c r="AZ693" s="30" t="s">
        <v>41</v>
      </c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27"/>
      <c r="BL693" s="27"/>
    </row>
    <row r="694" spans="1:64">
      <c r="A694" s="68"/>
      <c r="B694" s="26">
        <v>46226</v>
      </c>
      <c r="C694" s="27">
        <v>30335</v>
      </c>
      <c r="D694" s="27" t="s">
        <v>360</v>
      </c>
      <c r="E694" s="27" t="s">
        <v>1732</v>
      </c>
      <c r="F694" s="27" t="s">
        <v>59</v>
      </c>
      <c r="G694" s="27" t="s">
        <v>144</v>
      </c>
      <c r="H694" s="30" t="s">
        <v>104</v>
      </c>
      <c r="I694" s="31" t="s">
        <v>362</v>
      </c>
      <c r="J694" s="30" t="s">
        <v>295</v>
      </c>
      <c r="K694" s="27">
        <v>3</v>
      </c>
      <c r="L694" s="63">
        <v>45</v>
      </c>
      <c r="M694" s="27"/>
      <c r="N694" s="31" t="s">
        <v>95</v>
      </c>
      <c r="O694" s="27"/>
      <c r="P694" s="30"/>
      <c r="Q694" s="30" t="s">
        <v>482</v>
      </c>
      <c r="R694" s="26">
        <v>46227</v>
      </c>
      <c r="S694" s="27"/>
      <c r="T694" s="31"/>
      <c r="U694" s="30" t="s">
        <v>68</v>
      </c>
      <c r="V694" s="34" t="s">
        <v>70</v>
      </c>
      <c r="W694" s="27" t="s">
        <v>101</v>
      </c>
      <c r="X694" s="30"/>
      <c r="Y694" s="30"/>
      <c r="Z694" s="30"/>
      <c r="AA694" s="30">
        <v>1</v>
      </c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6"/>
      <c r="AS694" s="36"/>
      <c r="AT694" s="36"/>
      <c r="AU694" s="36"/>
      <c r="AV694" s="36"/>
      <c r="AW694" s="36"/>
      <c r="AX694" s="36"/>
      <c r="AY694" s="36" t="s">
        <v>588</v>
      </c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27"/>
      <c r="BL694" s="27"/>
    </row>
    <row r="695" spans="1:64">
      <c r="A695" s="68"/>
      <c r="B695" s="26">
        <v>46226</v>
      </c>
      <c r="C695" s="27">
        <v>7448</v>
      </c>
      <c r="D695" s="27"/>
      <c r="E695" s="27" t="s">
        <v>1733</v>
      </c>
      <c r="F695" s="27" t="s">
        <v>1734</v>
      </c>
      <c r="G695" s="27" t="s">
        <v>403</v>
      </c>
      <c r="H695" s="30" t="s">
        <v>962</v>
      </c>
      <c r="I695" s="31" t="s">
        <v>1717</v>
      </c>
      <c r="J695" s="30" t="s">
        <v>1735</v>
      </c>
      <c r="K695" s="27">
        <v>2</v>
      </c>
      <c r="L695" s="63"/>
      <c r="M695" s="27"/>
      <c r="N695" s="31" t="s">
        <v>740</v>
      </c>
      <c r="O695" s="27"/>
      <c r="P695" s="30"/>
      <c r="Q695" s="30" t="s">
        <v>1736</v>
      </c>
      <c r="R695" s="26">
        <v>46230</v>
      </c>
      <c r="S695" s="26">
        <v>46234</v>
      </c>
      <c r="T695" s="31"/>
      <c r="U695" s="30" t="s">
        <v>68</v>
      </c>
      <c r="V695" s="34" t="s">
        <v>70</v>
      </c>
      <c r="W695" s="27" t="s">
        <v>1716</v>
      </c>
      <c r="X695" s="30"/>
      <c r="Y695" s="30"/>
      <c r="Z695" s="30"/>
      <c r="AA695" s="30">
        <v>1</v>
      </c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6"/>
      <c r="AS695" s="36"/>
      <c r="AT695" s="36"/>
      <c r="AU695" s="36"/>
      <c r="AV695" s="36"/>
      <c r="AW695" s="36"/>
      <c r="AX695" s="36"/>
      <c r="AY695" s="36"/>
      <c r="AZ695" s="30"/>
      <c r="BA695" s="30"/>
      <c r="BB695" s="30" t="s">
        <v>557</v>
      </c>
      <c r="BC695" s="30"/>
      <c r="BD695" s="30"/>
      <c r="BE695" s="30"/>
      <c r="BF695" s="30"/>
      <c r="BG695" s="30"/>
      <c r="BH695" s="30"/>
      <c r="BI695" s="30"/>
      <c r="BJ695" s="30"/>
      <c r="BK695" s="27"/>
      <c r="BL695" s="27"/>
    </row>
    <row r="696" spans="1:64">
      <c r="A696" s="68" t="s">
        <v>187</v>
      </c>
      <c r="B696" s="26">
        <v>46227</v>
      </c>
      <c r="C696" s="27"/>
      <c r="D696" s="27">
        <v>53458</v>
      </c>
      <c r="E696" s="27" t="s">
        <v>780</v>
      </c>
      <c r="F696" s="27" t="s">
        <v>48</v>
      </c>
      <c r="G696" s="27" t="s">
        <v>110</v>
      </c>
      <c r="H696" s="30" t="s">
        <v>1191</v>
      </c>
      <c r="I696" s="31" t="s">
        <v>1737</v>
      </c>
      <c r="J696" s="30" t="s">
        <v>1738</v>
      </c>
      <c r="K696" s="27">
        <v>4</v>
      </c>
      <c r="L696" s="63">
        <v>74</v>
      </c>
      <c r="M696" s="27">
        <v>232.56</v>
      </c>
      <c r="N696" s="31" t="s">
        <v>94</v>
      </c>
      <c r="O696" s="27"/>
      <c r="P696" s="30"/>
      <c r="Q696" s="30" t="s">
        <v>1739</v>
      </c>
      <c r="R696" s="26">
        <v>46231</v>
      </c>
      <c r="S696" s="26">
        <v>46233</v>
      </c>
      <c r="T696" s="31"/>
      <c r="U696" s="30" t="s">
        <v>68</v>
      </c>
      <c r="V696" s="34" t="s">
        <v>70</v>
      </c>
      <c r="W696" s="27" t="s">
        <v>747</v>
      </c>
      <c r="X696" s="30">
        <v>1</v>
      </c>
      <c r="Y696" s="30">
        <v>1</v>
      </c>
      <c r="Z696" s="30">
        <v>1</v>
      </c>
      <c r="AA696" s="30">
        <v>1</v>
      </c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6"/>
      <c r="AS696" s="36"/>
      <c r="AT696" s="36"/>
      <c r="AU696" s="36"/>
      <c r="AV696" s="36"/>
      <c r="AW696" s="36"/>
      <c r="AX696" s="36"/>
      <c r="AY696" s="36" t="s">
        <v>118</v>
      </c>
      <c r="AZ696" s="30" t="s">
        <v>504</v>
      </c>
      <c r="BA696" s="30"/>
      <c r="BB696" s="30" t="s">
        <v>94</v>
      </c>
      <c r="BC696" s="30" t="s">
        <v>90</v>
      </c>
      <c r="BD696" s="30"/>
      <c r="BE696" s="30"/>
      <c r="BF696" s="30"/>
      <c r="BG696" s="30"/>
      <c r="BH696" s="30"/>
      <c r="BI696" s="30"/>
      <c r="BJ696" s="30"/>
      <c r="BK696" s="27"/>
      <c r="BL696" s="27"/>
    </row>
    <row r="697" spans="1:64">
      <c r="A697" s="68" t="s">
        <v>54</v>
      </c>
      <c r="B697" s="26">
        <v>46227</v>
      </c>
      <c r="C697" s="27"/>
      <c r="D697" s="27">
        <v>139953</v>
      </c>
      <c r="E697" s="27" t="s">
        <v>284</v>
      </c>
      <c r="F697" s="27" t="s">
        <v>59</v>
      </c>
      <c r="G697" s="27" t="s">
        <v>104</v>
      </c>
      <c r="H697" s="30" t="s">
        <v>151</v>
      </c>
      <c r="I697" s="31" t="s">
        <v>1741</v>
      </c>
      <c r="J697" s="30" t="s">
        <v>1523</v>
      </c>
      <c r="K697" s="27">
        <v>1</v>
      </c>
      <c r="L697" s="63">
        <v>12865</v>
      </c>
      <c r="M697" s="27"/>
      <c r="N697" s="31" t="s">
        <v>154</v>
      </c>
      <c r="O697" s="27"/>
      <c r="P697" s="30"/>
      <c r="Q697" s="30" t="s">
        <v>66</v>
      </c>
      <c r="R697" s="26">
        <v>46233</v>
      </c>
      <c r="S697" s="26">
        <v>46233</v>
      </c>
      <c r="T697" s="31"/>
      <c r="U697" s="30" t="s">
        <v>68</v>
      </c>
      <c r="V697" s="34" t="s">
        <v>1742</v>
      </c>
      <c r="W697" s="27" t="s">
        <v>284</v>
      </c>
      <c r="X697" s="30">
        <v>1</v>
      </c>
      <c r="Y697" s="30">
        <v>1</v>
      </c>
      <c r="Z697" s="30">
        <v>1</v>
      </c>
      <c r="AA697" s="30">
        <v>1</v>
      </c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6"/>
      <c r="AS697" s="36"/>
      <c r="AT697" s="36"/>
      <c r="AU697" s="36"/>
      <c r="AV697" s="36"/>
      <c r="AW697" s="36"/>
      <c r="AX697" s="36"/>
      <c r="AY697" s="36" t="s">
        <v>69</v>
      </c>
      <c r="AZ697" s="30"/>
      <c r="BA697" s="30"/>
      <c r="BB697" s="30"/>
      <c r="BC697" s="30"/>
      <c r="BD697" s="30" t="s">
        <v>154</v>
      </c>
      <c r="BE697" s="30" t="s">
        <v>41</v>
      </c>
      <c r="BF697" s="30"/>
      <c r="BG697" s="30"/>
      <c r="BH697" s="30"/>
      <c r="BI697" s="30"/>
      <c r="BJ697" s="30"/>
      <c r="BK697" s="27"/>
      <c r="BL697" s="27"/>
    </row>
    <row r="698" spans="1:64">
      <c r="A698" s="68" t="s">
        <v>54</v>
      </c>
      <c r="B698" s="26">
        <v>46227</v>
      </c>
      <c r="C698" s="27"/>
      <c r="D698" s="27">
        <v>138800</v>
      </c>
      <c r="E698" s="27" t="s">
        <v>284</v>
      </c>
      <c r="F698" s="27" t="s">
        <v>59</v>
      </c>
      <c r="G698" s="27" t="s">
        <v>104</v>
      </c>
      <c r="H698" s="30" t="s">
        <v>144</v>
      </c>
      <c r="I698" s="31" t="s">
        <v>1743</v>
      </c>
      <c r="J698" s="30" t="s">
        <v>1744</v>
      </c>
      <c r="K698" s="27">
        <v>2</v>
      </c>
      <c r="L698" s="27">
        <v>34.880000000000003</v>
      </c>
      <c r="M698" s="27"/>
      <c r="N698" s="31" t="s">
        <v>455</v>
      </c>
      <c r="O698" s="27"/>
      <c r="P698" s="30"/>
      <c r="Q698" s="30" t="s">
        <v>66</v>
      </c>
      <c r="R698" s="26">
        <v>46231</v>
      </c>
      <c r="S698" s="26">
        <v>46233</v>
      </c>
      <c r="T698" s="31"/>
      <c r="U698" s="30" t="s">
        <v>68</v>
      </c>
      <c r="V698" s="34" t="s">
        <v>70</v>
      </c>
      <c r="W698" s="27" t="s">
        <v>284</v>
      </c>
      <c r="X698" s="30">
        <v>1</v>
      </c>
      <c r="Y698" s="30">
        <v>1</v>
      </c>
      <c r="Z698" s="30">
        <v>1</v>
      </c>
      <c r="AA698" s="30">
        <v>1</v>
      </c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6"/>
      <c r="AS698" s="36"/>
      <c r="AT698" s="36"/>
      <c r="AU698" s="36"/>
      <c r="AV698" s="36"/>
      <c r="AW698" s="36"/>
      <c r="AX698" s="36"/>
      <c r="AY698" s="36" t="s">
        <v>69</v>
      </c>
      <c r="AZ698" s="30"/>
      <c r="BA698" s="30"/>
      <c r="BB698" s="30" t="s">
        <v>455</v>
      </c>
      <c r="BC698" s="30" t="s">
        <v>41</v>
      </c>
      <c r="BD698" s="30"/>
      <c r="BE698" s="30"/>
      <c r="BF698" s="30"/>
      <c r="BG698" s="30"/>
      <c r="BH698" s="30"/>
      <c r="BI698" s="30"/>
      <c r="BJ698" s="30"/>
      <c r="BK698" s="27"/>
      <c r="BL698" s="27"/>
    </row>
    <row r="699" spans="1:64">
      <c r="A699" s="68" t="s">
        <v>54</v>
      </c>
      <c r="B699" s="26">
        <v>46227</v>
      </c>
      <c r="C699" s="27"/>
      <c r="D699" s="27">
        <v>12827</v>
      </c>
      <c r="E699" s="27" t="s">
        <v>548</v>
      </c>
      <c r="F699" s="27" t="s">
        <v>59</v>
      </c>
      <c r="G699" s="27" t="s">
        <v>104</v>
      </c>
      <c r="H699" s="30" t="s">
        <v>767</v>
      </c>
      <c r="I699" s="31" t="s">
        <v>1745</v>
      </c>
      <c r="J699" s="30" t="s">
        <v>1746</v>
      </c>
      <c r="K699" s="27">
        <v>1</v>
      </c>
      <c r="L699" s="27">
        <v>35</v>
      </c>
      <c r="M699" s="27">
        <v>132</v>
      </c>
      <c r="N699" s="31" t="s">
        <v>81</v>
      </c>
      <c r="O699" s="27"/>
      <c r="P699" s="30"/>
      <c r="Q699" s="30" t="s">
        <v>66</v>
      </c>
      <c r="R699" s="26">
        <v>46231</v>
      </c>
      <c r="S699" s="26">
        <v>46232</v>
      </c>
      <c r="T699" s="31"/>
      <c r="U699" s="30" t="s">
        <v>68</v>
      </c>
      <c r="V699" s="34" t="s">
        <v>70</v>
      </c>
      <c r="W699" s="27" t="s">
        <v>548</v>
      </c>
      <c r="X699" s="30">
        <v>1</v>
      </c>
      <c r="Y699" s="30">
        <v>1</v>
      </c>
      <c r="Z699" s="30">
        <v>1</v>
      </c>
      <c r="AA699" s="30">
        <v>1</v>
      </c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6"/>
      <c r="AS699" s="36"/>
      <c r="AT699" s="36"/>
      <c r="AU699" s="36"/>
      <c r="AV699" s="36"/>
      <c r="AW699" s="36"/>
      <c r="AX699" s="36"/>
      <c r="AY699" s="36" t="s">
        <v>69</v>
      </c>
      <c r="AZ699" s="30"/>
      <c r="BA699" s="30"/>
      <c r="BB699" s="30" t="s">
        <v>81</v>
      </c>
      <c r="BC699" s="30" t="s">
        <v>41</v>
      </c>
      <c r="BD699" s="30"/>
      <c r="BE699" s="30"/>
      <c r="BF699" s="30"/>
      <c r="BG699" s="30"/>
      <c r="BH699" s="30"/>
      <c r="BI699" s="30"/>
      <c r="BJ699" s="30"/>
      <c r="BK699" s="27"/>
      <c r="BL699" s="27"/>
    </row>
    <row r="700" spans="1:64">
      <c r="A700" s="68" t="s">
        <v>187</v>
      </c>
      <c r="B700" s="26">
        <v>46227</v>
      </c>
      <c r="C700" s="27">
        <v>30337</v>
      </c>
      <c r="D700" s="27" t="s">
        <v>1747</v>
      </c>
      <c r="E700" s="27" t="s">
        <v>101</v>
      </c>
      <c r="F700" s="27" t="s">
        <v>59</v>
      </c>
      <c r="G700" s="27" t="s">
        <v>104</v>
      </c>
      <c r="H700" s="30" t="s">
        <v>488</v>
      </c>
      <c r="I700" s="31" t="s">
        <v>1748</v>
      </c>
      <c r="J700" s="30" t="s">
        <v>1749</v>
      </c>
      <c r="K700" s="27">
        <v>277</v>
      </c>
      <c r="L700" s="27">
        <v>692</v>
      </c>
      <c r="M700" s="27"/>
      <c r="N700" s="31"/>
      <c r="O700" s="27" t="s">
        <v>1264</v>
      </c>
      <c r="P700" s="30"/>
      <c r="Q700" s="30"/>
      <c r="R700" s="27"/>
      <c r="S700" s="27"/>
      <c r="T700" s="31"/>
      <c r="U700" s="30" t="s">
        <v>626</v>
      </c>
      <c r="V700" s="34" t="s">
        <v>627</v>
      </c>
      <c r="W700" s="27" t="s">
        <v>101</v>
      </c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6"/>
      <c r="AS700" s="36"/>
      <c r="AT700" s="36"/>
      <c r="AU700" s="36"/>
      <c r="AV700" s="36"/>
      <c r="AW700" s="36"/>
      <c r="AX700" s="36"/>
      <c r="AY700" s="36" t="s">
        <v>69</v>
      </c>
      <c r="AZ700" s="30"/>
      <c r="BA700" s="30"/>
      <c r="BB700" s="30" t="s">
        <v>1750</v>
      </c>
      <c r="BC700" s="30"/>
      <c r="BD700" s="30"/>
      <c r="BE700" s="30"/>
      <c r="BF700" s="30"/>
      <c r="BG700" s="30"/>
      <c r="BH700" s="30"/>
      <c r="BI700" s="30"/>
      <c r="BJ700" s="30"/>
      <c r="BK700" s="27"/>
      <c r="BL700" s="27"/>
    </row>
    <row r="701" spans="1:64">
      <c r="A701" s="68" t="s">
        <v>187</v>
      </c>
      <c r="B701" s="26">
        <v>46227</v>
      </c>
      <c r="C701" s="27">
        <v>30338</v>
      </c>
      <c r="D701" s="27" t="s">
        <v>1751</v>
      </c>
      <c r="E701" s="27" t="s">
        <v>101</v>
      </c>
      <c r="F701" s="27" t="s">
        <v>59</v>
      </c>
      <c r="G701" s="27" t="s">
        <v>104</v>
      </c>
      <c r="H701" s="30" t="s">
        <v>1361</v>
      </c>
      <c r="I701" s="31" t="s">
        <v>1752</v>
      </c>
      <c r="J701" s="30" t="s">
        <v>1753</v>
      </c>
      <c r="K701" s="27">
        <v>93</v>
      </c>
      <c r="L701" s="27">
        <v>175</v>
      </c>
      <c r="M701" s="27"/>
      <c r="N701" s="31"/>
      <c r="O701" s="27" t="s">
        <v>302</v>
      </c>
      <c r="P701" s="30"/>
      <c r="Q701" s="30" t="s">
        <v>1754</v>
      </c>
      <c r="R701" s="26">
        <v>46232</v>
      </c>
      <c r="S701" s="27"/>
      <c r="T701" s="31"/>
      <c r="U701" s="30" t="s">
        <v>419</v>
      </c>
      <c r="V701" s="34" t="s">
        <v>90</v>
      </c>
      <c r="W701" s="27" t="s">
        <v>101</v>
      </c>
      <c r="X701" s="30">
        <v>1</v>
      </c>
      <c r="Y701" s="30">
        <v>1</v>
      </c>
      <c r="Z701" s="30">
        <v>1</v>
      </c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6"/>
      <c r="AS701" s="36"/>
      <c r="AT701" s="36"/>
      <c r="AU701" s="36"/>
      <c r="AV701" s="36"/>
      <c r="AW701" s="36"/>
      <c r="AX701" s="36"/>
      <c r="AY701" s="36" t="s">
        <v>69</v>
      </c>
      <c r="AZ701" s="30" t="s">
        <v>302</v>
      </c>
      <c r="BA701" s="30"/>
      <c r="BB701" s="30"/>
      <c r="BC701" s="30"/>
      <c r="BD701" s="30" t="s">
        <v>90</v>
      </c>
      <c r="BE701" s="30"/>
      <c r="BF701" s="30"/>
      <c r="BG701" s="30"/>
      <c r="BH701" s="30"/>
      <c r="BI701" s="30"/>
      <c r="BJ701" s="30"/>
      <c r="BK701" s="27"/>
      <c r="BL701" s="27"/>
    </row>
    <row r="702" spans="1:64">
      <c r="A702" s="68" t="s">
        <v>54</v>
      </c>
      <c r="B702" s="26">
        <v>46227</v>
      </c>
      <c r="C702" s="27">
        <v>29698</v>
      </c>
      <c r="D702" s="27"/>
      <c r="E702" s="27" t="s">
        <v>1755</v>
      </c>
      <c r="F702" s="27" t="s">
        <v>59</v>
      </c>
      <c r="G702" s="27" t="s">
        <v>104</v>
      </c>
      <c r="H702" s="30" t="s">
        <v>843</v>
      </c>
      <c r="I702" s="31" t="s">
        <v>1756</v>
      </c>
      <c r="J702" s="30" t="s">
        <v>1757</v>
      </c>
      <c r="K702" s="27">
        <v>1</v>
      </c>
      <c r="L702" s="27">
        <v>32</v>
      </c>
      <c r="M702" s="27"/>
      <c r="N702" s="31" t="s">
        <v>318</v>
      </c>
      <c r="O702" s="27"/>
      <c r="P702" s="30"/>
      <c r="Q702" s="30" t="s">
        <v>66</v>
      </c>
      <c r="R702" s="26">
        <v>46234</v>
      </c>
      <c r="S702" s="26">
        <v>46237</v>
      </c>
      <c r="T702" s="31"/>
      <c r="U702" s="30" t="s">
        <v>68</v>
      </c>
      <c r="V702" s="34" t="s">
        <v>70</v>
      </c>
      <c r="W702" s="27" t="s">
        <v>615</v>
      </c>
      <c r="X702" s="30">
        <v>3</v>
      </c>
      <c r="Y702" s="30">
        <v>2</v>
      </c>
      <c r="Z702" s="30">
        <v>2</v>
      </c>
      <c r="AA702" s="30">
        <v>1</v>
      </c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6"/>
      <c r="AS702" s="36"/>
      <c r="AT702" s="36"/>
      <c r="AU702" s="36"/>
      <c r="AV702" s="36"/>
      <c r="AW702" s="36"/>
      <c r="AX702" s="36"/>
      <c r="AY702" s="36" t="s">
        <v>69</v>
      </c>
      <c r="AZ702" s="30"/>
      <c r="BA702" s="30"/>
      <c r="BB702" s="30"/>
      <c r="BC702" s="30" t="s">
        <v>1758</v>
      </c>
      <c r="BD702" s="31" t="s">
        <v>318</v>
      </c>
      <c r="BE702" s="30"/>
      <c r="BF702" s="30" t="s">
        <v>41</v>
      </c>
      <c r="BG702" s="30"/>
      <c r="BH702" s="30"/>
      <c r="BI702" s="30"/>
      <c r="BJ702" s="30"/>
      <c r="BK702" s="27"/>
      <c r="BL702" s="27"/>
    </row>
    <row r="703" spans="1:64">
      <c r="A703" s="68" t="s">
        <v>187</v>
      </c>
      <c r="B703" s="26">
        <v>46227</v>
      </c>
      <c r="C703" s="27">
        <v>29697</v>
      </c>
      <c r="D703" s="27"/>
      <c r="E703" s="27" t="s">
        <v>367</v>
      </c>
      <c r="F703" s="27" t="s">
        <v>59</v>
      </c>
      <c r="G703" s="27" t="s">
        <v>104</v>
      </c>
      <c r="H703" s="30" t="s">
        <v>622</v>
      </c>
      <c r="I703" s="31" t="s">
        <v>1288</v>
      </c>
      <c r="J703" s="30" t="s">
        <v>1408</v>
      </c>
      <c r="K703" s="27">
        <v>10</v>
      </c>
      <c r="L703" s="27"/>
      <c r="M703" s="27"/>
      <c r="N703" s="31" t="s">
        <v>325</v>
      </c>
      <c r="O703" s="27"/>
      <c r="P703" s="30"/>
      <c r="Q703" s="30"/>
      <c r="R703" s="27"/>
      <c r="S703" s="27"/>
      <c r="T703" s="31"/>
      <c r="U703" s="30" t="s">
        <v>626</v>
      </c>
      <c r="V703" s="34" t="s">
        <v>627</v>
      </c>
      <c r="W703" s="27" t="s">
        <v>320</v>
      </c>
      <c r="X703" s="30">
        <v>3</v>
      </c>
      <c r="Y703" s="30">
        <v>3</v>
      </c>
      <c r="Z703" s="30">
        <v>3</v>
      </c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6"/>
      <c r="AS703" s="36"/>
      <c r="AT703" s="36"/>
      <c r="AU703" s="36"/>
      <c r="AV703" s="36"/>
      <c r="AW703" s="36"/>
      <c r="AX703" s="36"/>
      <c r="AY703" s="36" t="s">
        <v>69</v>
      </c>
      <c r="AZ703" s="30"/>
      <c r="BA703" s="30"/>
      <c r="BB703" s="30"/>
      <c r="BC703" s="30"/>
      <c r="BD703" s="30" t="s">
        <v>1327</v>
      </c>
      <c r="BE703" s="30"/>
      <c r="BF703" s="30" t="s">
        <v>118</v>
      </c>
      <c r="BG703" s="30"/>
      <c r="BH703" s="30"/>
      <c r="BI703" s="30"/>
      <c r="BJ703" s="30"/>
      <c r="BK703" s="27"/>
      <c r="BL703" s="27"/>
    </row>
    <row r="704" spans="1:64">
      <c r="A704" s="68" t="s">
        <v>187</v>
      </c>
      <c r="B704" s="26">
        <v>46227</v>
      </c>
      <c r="C704" s="27">
        <v>29696</v>
      </c>
      <c r="D704" s="27"/>
      <c r="E704" s="27" t="s">
        <v>367</v>
      </c>
      <c r="F704" s="27" t="s">
        <v>59</v>
      </c>
      <c r="G704" s="27" t="s">
        <v>104</v>
      </c>
      <c r="H704" s="30" t="s">
        <v>1759</v>
      </c>
      <c r="I704" s="31" t="s">
        <v>1760</v>
      </c>
      <c r="J704" s="30" t="s">
        <v>1761</v>
      </c>
      <c r="K704" s="27">
        <v>10</v>
      </c>
      <c r="L704" s="27"/>
      <c r="M704" s="27"/>
      <c r="N704" s="31"/>
      <c r="O704" s="27" t="s">
        <v>302</v>
      </c>
      <c r="P704" s="30"/>
      <c r="Q704" s="30" t="s">
        <v>434</v>
      </c>
      <c r="R704" s="26">
        <v>46231</v>
      </c>
      <c r="S704" s="27"/>
      <c r="T704" s="31"/>
      <c r="U704" s="30" t="s">
        <v>419</v>
      </c>
      <c r="V704" s="34" t="s">
        <v>90</v>
      </c>
      <c r="W704" s="27" t="s">
        <v>320</v>
      </c>
      <c r="X704" s="30">
        <v>1</v>
      </c>
      <c r="Y704" s="30">
        <v>1</v>
      </c>
      <c r="Z704" s="30">
        <v>1</v>
      </c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6"/>
      <c r="AS704" s="36"/>
      <c r="AT704" s="36"/>
      <c r="AU704" s="36"/>
      <c r="AV704" s="36"/>
      <c r="AW704" s="36"/>
      <c r="AX704" s="36"/>
      <c r="AY704" s="36" t="s">
        <v>69</v>
      </c>
      <c r="AZ704" s="30" t="s">
        <v>302</v>
      </c>
      <c r="BA704" s="30"/>
      <c r="BB704" s="30"/>
      <c r="BC704" s="30" t="s">
        <v>90</v>
      </c>
      <c r="BD704" s="30"/>
      <c r="BE704" s="30"/>
      <c r="BF704" s="30"/>
      <c r="BG704" s="30"/>
      <c r="BH704" s="30"/>
      <c r="BI704" s="30"/>
      <c r="BJ704" s="30"/>
      <c r="BK704" s="27"/>
      <c r="BL704" s="27"/>
    </row>
    <row r="705" spans="1:64">
      <c r="A705" s="68" t="s">
        <v>54</v>
      </c>
      <c r="B705" s="26">
        <v>46227</v>
      </c>
      <c r="C705" s="27">
        <v>7445</v>
      </c>
      <c r="D705" s="27"/>
      <c r="E705" s="27" t="s">
        <v>559</v>
      </c>
      <c r="F705" s="27" t="s">
        <v>59</v>
      </c>
      <c r="G705" s="27" t="s">
        <v>28</v>
      </c>
      <c r="H705" s="30" t="s">
        <v>833</v>
      </c>
      <c r="I705" s="31" t="s">
        <v>1762</v>
      </c>
      <c r="J705" s="30" t="s">
        <v>1763</v>
      </c>
      <c r="K705" s="27">
        <v>14</v>
      </c>
      <c r="L705" s="27"/>
      <c r="M705" s="27"/>
      <c r="N705" s="31" t="s">
        <v>95</v>
      </c>
      <c r="O705" s="27"/>
      <c r="P705" s="30"/>
      <c r="Q705" s="30" t="s">
        <v>66</v>
      </c>
      <c r="R705" s="26">
        <v>46231</v>
      </c>
      <c r="S705" s="26">
        <v>46234</v>
      </c>
      <c r="T705" s="31"/>
      <c r="U705" s="30" t="s">
        <v>68</v>
      </c>
      <c r="V705" s="34" t="s">
        <v>70</v>
      </c>
      <c r="W705" s="27" t="s">
        <v>563</v>
      </c>
      <c r="X705" s="30">
        <v>1</v>
      </c>
      <c r="Y705" s="30">
        <v>1</v>
      </c>
      <c r="Z705" s="30">
        <v>1</v>
      </c>
      <c r="AA705" s="30">
        <v>1</v>
      </c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6"/>
      <c r="AS705" s="36"/>
      <c r="AT705" s="36"/>
      <c r="AU705" s="36"/>
      <c r="AV705" s="36"/>
      <c r="AW705" s="36"/>
      <c r="AX705" s="36"/>
      <c r="AY705" s="36" t="s">
        <v>69</v>
      </c>
      <c r="AZ705" s="30"/>
      <c r="BA705" s="30"/>
      <c r="BB705" s="30" t="s">
        <v>95</v>
      </c>
      <c r="BC705" s="30" t="s">
        <v>41</v>
      </c>
      <c r="BD705" s="30"/>
      <c r="BE705" s="30"/>
      <c r="BF705" s="30"/>
      <c r="BG705" s="30"/>
      <c r="BH705" s="30"/>
      <c r="BI705" s="30"/>
      <c r="BJ705" s="30"/>
      <c r="BK705" s="27"/>
      <c r="BL705" s="27"/>
    </row>
    <row r="706" spans="1:64">
      <c r="A706" s="68" t="s">
        <v>54</v>
      </c>
      <c r="B706" s="26">
        <v>46227</v>
      </c>
      <c r="C706" s="27">
        <v>7446</v>
      </c>
      <c r="D706" s="27"/>
      <c r="E706" s="27" t="s">
        <v>559</v>
      </c>
      <c r="F706" s="27" t="s">
        <v>59</v>
      </c>
      <c r="G706" s="27" t="s">
        <v>28</v>
      </c>
      <c r="H706" s="30" t="s">
        <v>833</v>
      </c>
      <c r="I706" s="31" t="s">
        <v>1765</v>
      </c>
      <c r="J706" s="30" t="s">
        <v>1766</v>
      </c>
      <c r="K706" s="27">
        <v>14</v>
      </c>
      <c r="L706" s="27"/>
      <c r="M706" s="27"/>
      <c r="N706" s="31" t="s">
        <v>95</v>
      </c>
      <c r="O706" s="27"/>
      <c r="P706" s="30"/>
      <c r="Q706" s="30" t="s">
        <v>66</v>
      </c>
      <c r="R706" s="26">
        <v>46231</v>
      </c>
      <c r="S706" s="26">
        <v>46234</v>
      </c>
      <c r="T706" s="31"/>
      <c r="U706" s="30" t="s">
        <v>68</v>
      </c>
      <c r="V706" s="34" t="s">
        <v>70</v>
      </c>
      <c r="W706" s="27" t="s">
        <v>563</v>
      </c>
      <c r="X706" s="30">
        <v>1</v>
      </c>
      <c r="Y706" s="30">
        <v>1</v>
      </c>
      <c r="Z706" s="30">
        <v>1</v>
      </c>
      <c r="AA706" s="30">
        <v>1</v>
      </c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6"/>
      <c r="AS706" s="36"/>
      <c r="AT706" s="36"/>
      <c r="AU706" s="36"/>
      <c r="AV706" s="36"/>
      <c r="AW706" s="36"/>
      <c r="AX706" s="36"/>
      <c r="AY706" s="36" t="s">
        <v>69</v>
      </c>
      <c r="AZ706" s="30"/>
      <c r="BA706" s="30"/>
      <c r="BB706" s="30"/>
      <c r="BC706" s="30" t="s">
        <v>979</v>
      </c>
      <c r="BD706" s="30"/>
      <c r="BE706" s="30"/>
      <c r="BF706" s="30"/>
      <c r="BG706" s="30"/>
      <c r="BH706" s="30"/>
      <c r="BI706" s="30"/>
      <c r="BJ706" s="30"/>
      <c r="BK706" s="27"/>
      <c r="BL706" s="27"/>
    </row>
    <row r="707" spans="1:64">
      <c r="A707" s="68" t="s">
        <v>54</v>
      </c>
      <c r="B707" s="26">
        <v>46227</v>
      </c>
      <c r="C707" s="27">
        <v>7447</v>
      </c>
      <c r="D707" s="27"/>
      <c r="E707" s="27" t="s">
        <v>559</v>
      </c>
      <c r="F707" s="27" t="s">
        <v>59</v>
      </c>
      <c r="G707" s="27" t="s">
        <v>28</v>
      </c>
      <c r="H707" s="30" t="s">
        <v>309</v>
      </c>
      <c r="I707" s="31" t="s">
        <v>1767</v>
      </c>
      <c r="J707" s="30" t="s">
        <v>1768</v>
      </c>
      <c r="K707" s="27">
        <v>7</v>
      </c>
      <c r="L707" s="27"/>
      <c r="M707" s="27"/>
      <c r="N707" s="31" t="s">
        <v>95</v>
      </c>
      <c r="O707" s="27"/>
      <c r="P707" s="30"/>
      <c r="Q707" s="30" t="s">
        <v>66</v>
      </c>
      <c r="R707" s="26">
        <v>46232</v>
      </c>
      <c r="S707" s="26">
        <v>46234</v>
      </c>
      <c r="T707" s="31"/>
      <c r="U707" s="30" t="s">
        <v>68</v>
      </c>
      <c r="V707" s="34" t="s">
        <v>70</v>
      </c>
      <c r="W707" s="27" t="s">
        <v>563</v>
      </c>
      <c r="X707" s="30">
        <v>1</v>
      </c>
      <c r="Y707" s="30">
        <v>1</v>
      </c>
      <c r="Z707" s="30">
        <v>1</v>
      </c>
      <c r="AA707" s="30">
        <v>1</v>
      </c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6"/>
      <c r="AS707" s="36"/>
      <c r="AT707" s="36"/>
      <c r="AU707" s="36"/>
      <c r="AV707" s="36"/>
      <c r="AW707" s="36"/>
      <c r="AX707" s="36"/>
      <c r="AY707" s="36" t="s">
        <v>69</v>
      </c>
      <c r="AZ707" s="30"/>
      <c r="BA707" s="30"/>
      <c r="BB707" s="30"/>
      <c r="BC707" s="30" t="s">
        <v>95</v>
      </c>
      <c r="BD707" s="30" t="s">
        <v>41</v>
      </c>
      <c r="BE707" s="30"/>
      <c r="BF707" s="30"/>
      <c r="BG707" s="30"/>
      <c r="BH707" s="30"/>
      <c r="BI707" s="30"/>
      <c r="BJ707" s="30"/>
      <c r="BK707" s="27"/>
      <c r="BL707" s="27"/>
    </row>
    <row r="708" spans="1:64">
      <c r="A708" s="68" t="s">
        <v>54</v>
      </c>
      <c r="B708" s="26">
        <v>46227</v>
      </c>
      <c r="C708" s="27">
        <v>28792</v>
      </c>
      <c r="D708" s="27"/>
      <c r="E708" s="27" t="s">
        <v>212</v>
      </c>
      <c r="F708" s="27" t="s">
        <v>59</v>
      </c>
      <c r="G708" s="27" t="s">
        <v>104</v>
      </c>
      <c r="H708" s="30" t="s">
        <v>106</v>
      </c>
      <c r="I708" s="31" t="s">
        <v>1727</v>
      </c>
      <c r="J708" s="30" t="s">
        <v>106</v>
      </c>
      <c r="K708" s="27">
        <v>1</v>
      </c>
      <c r="L708" s="27" t="s">
        <v>205</v>
      </c>
      <c r="M708" s="27"/>
      <c r="N708" s="31" t="s">
        <v>455</v>
      </c>
      <c r="O708" s="27"/>
      <c r="P708" s="30"/>
      <c r="Q708" s="30" t="s">
        <v>66</v>
      </c>
      <c r="R708" s="26">
        <v>46232</v>
      </c>
      <c r="S708" s="26">
        <v>46233</v>
      </c>
      <c r="T708" s="31"/>
      <c r="U708" s="30" t="s">
        <v>68</v>
      </c>
      <c r="V708" s="34" t="s">
        <v>70</v>
      </c>
      <c r="W708" s="27" t="s">
        <v>208</v>
      </c>
      <c r="X708" s="30">
        <v>1</v>
      </c>
      <c r="Y708" s="30">
        <v>1</v>
      </c>
      <c r="Z708" s="30">
        <v>1</v>
      </c>
      <c r="AA708" s="30">
        <v>1</v>
      </c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6"/>
      <c r="AS708" s="36"/>
      <c r="AT708" s="36"/>
      <c r="AU708" s="36"/>
      <c r="AV708" s="36"/>
      <c r="AW708" s="36"/>
      <c r="AX708" s="36"/>
      <c r="AY708" s="36" t="s">
        <v>69</v>
      </c>
      <c r="AZ708" s="30"/>
      <c r="BA708" s="30"/>
      <c r="BB708" s="30"/>
      <c r="BC708" s="30" t="s">
        <v>455</v>
      </c>
      <c r="BD708" s="30" t="s">
        <v>41</v>
      </c>
      <c r="BE708" s="30"/>
      <c r="BF708" s="30"/>
      <c r="BG708" s="30"/>
      <c r="BH708" s="30"/>
      <c r="BI708" s="30"/>
      <c r="BJ708" s="30"/>
      <c r="BK708" s="27"/>
      <c r="BL708" s="27"/>
    </row>
    <row r="709" spans="1:64">
      <c r="A709" s="68" t="s">
        <v>54</v>
      </c>
      <c r="B709" s="26">
        <v>46227</v>
      </c>
      <c r="C709" s="27">
        <v>28794</v>
      </c>
      <c r="D709" s="27"/>
      <c r="E709" s="27" t="s">
        <v>212</v>
      </c>
      <c r="F709" s="27" t="s">
        <v>59</v>
      </c>
      <c r="G709" s="27" t="s">
        <v>104</v>
      </c>
      <c r="H709" s="30" t="s">
        <v>28</v>
      </c>
      <c r="I709" s="31" t="s">
        <v>1610</v>
      </c>
      <c r="J709" s="30" t="s">
        <v>28</v>
      </c>
      <c r="K709" s="27">
        <v>1</v>
      </c>
      <c r="L709" s="27" t="s">
        <v>214</v>
      </c>
      <c r="M709" s="27"/>
      <c r="N709" s="31" t="s">
        <v>258</v>
      </c>
      <c r="O709" s="27"/>
      <c r="P709" s="30"/>
      <c r="Q709" s="30" t="s">
        <v>299</v>
      </c>
      <c r="R709" s="26">
        <v>46228</v>
      </c>
      <c r="S709" s="26">
        <v>46228</v>
      </c>
      <c r="T709" s="31"/>
      <c r="U709" s="30" t="s">
        <v>68</v>
      </c>
      <c r="V709" s="34" t="s">
        <v>70</v>
      </c>
      <c r="W709" s="27" t="s">
        <v>208</v>
      </c>
      <c r="X709" s="30">
        <v>1</v>
      </c>
      <c r="Y709" s="30">
        <v>1</v>
      </c>
      <c r="Z709" s="30">
        <v>1</v>
      </c>
      <c r="AA709" s="30">
        <v>1</v>
      </c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6"/>
      <c r="AS709" s="36"/>
      <c r="AT709" s="36"/>
      <c r="AU709" s="36"/>
      <c r="AV709" s="36"/>
      <c r="AW709" s="36"/>
      <c r="AX709" s="36"/>
      <c r="AY709" s="36" t="s">
        <v>69</v>
      </c>
      <c r="AZ709" s="30" t="s">
        <v>260</v>
      </c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27"/>
      <c r="BL709" s="27"/>
    </row>
    <row r="710" spans="1:64">
      <c r="A710" s="68" t="s">
        <v>54</v>
      </c>
      <c r="B710" s="26">
        <v>46227</v>
      </c>
      <c r="C710" s="27">
        <v>28796</v>
      </c>
      <c r="D710" s="27"/>
      <c r="E710" s="27" t="s">
        <v>203</v>
      </c>
      <c r="F710" s="27" t="s">
        <v>59</v>
      </c>
      <c r="G710" s="27" t="s">
        <v>104</v>
      </c>
      <c r="H710" s="30" t="s">
        <v>28</v>
      </c>
      <c r="I710" s="31" t="s">
        <v>1769</v>
      </c>
      <c r="J710" s="30" t="s">
        <v>28</v>
      </c>
      <c r="K710" s="27">
        <v>1</v>
      </c>
      <c r="L710" s="27" t="s">
        <v>214</v>
      </c>
      <c r="M710" s="27"/>
      <c r="N710" s="31" t="s">
        <v>258</v>
      </c>
      <c r="O710" s="27"/>
      <c r="P710" s="30"/>
      <c r="Q710" s="30" t="s">
        <v>648</v>
      </c>
      <c r="R710" s="26">
        <v>46228</v>
      </c>
      <c r="S710" s="26">
        <v>46228</v>
      </c>
      <c r="T710" s="31"/>
      <c r="U710" s="30" t="s">
        <v>68</v>
      </c>
      <c r="V710" s="34" t="s">
        <v>70</v>
      </c>
      <c r="W710" s="27" t="s">
        <v>208</v>
      </c>
      <c r="X710" s="30">
        <v>1</v>
      </c>
      <c r="Y710" s="30">
        <v>1</v>
      </c>
      <c r="Z710" s="30">
        <v>1</v>
      </c>
      <c r="AA710" s="30">
        <v>1</v>
      </c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6"/>
      <c r="AS710" s="36"/>
      <c r="AT710" s="36"/>
      <c r="AU710" s="36"/>
      <c r="AV710" s="36"/>
      <c r="AW710" s="36"/>
      <c r="AX710" s="36"/>
      <c r="AY710" s="36" t="s">
        <v>69</v>
      </c>
      <c r="AZ710" s="30" t="s">
        <v>260</v>
      </c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27"/>
      <c r="BL710" s="27"/>
    </row>
    <row r="711" spans="1:64">
      <c r="A711" s="68" t="s">
        <v>54</v>
      </c>
      <c r="B711" s="26">
        <v>46227</v>
      </c>
      <c r="C711" s="27">
        <v>28791</v>
      </c>
      <c r="D711" s="27"/>
      <c r="E711" s="27" t="s">
        <v>203</v>
      </c>
      <c r="F711" s="27" t="s">
        <v>59</v>
      </c>
      <c r="G711" s="27" t="s">
        <v>104</v>
      </c>
      <c r="H711" s="30" t="s">
        <v>175</v>
      </c>
      <c r="I711" s="31" t="s">
        <v>204</v>
      </c>
      <c r="J711" s="30" t="s">
        <v>175</v>
      </c>
      <c r="K711" s="27">
        <v>1</v>
      </c>
      <c r="L711" s="27" t="s">
        <v>205</v>
      </c>
      <c r="M711" s="27"/>
      <c r="N711" s="31" t="s">
        <v>1222</v>
      </c>
      <c r="O711" s="27"/>
      <c r="P711" s="30"/>
      <c r="Q711" s="30" t="s">
        <v>66</v>
      </c>
      <c r="R711" s="26">
        <v>46234</v>
      </c>
      <c r="S711" s="26">
        <v>46237</v>
      </c>
      <c r="T711" s="31"/>
      <c r="U711" s="30" t="s">
        <v>68</v>
      </c>
      <c r="V711" s="34" t="s">
        <v>70</v>
      </c>
      <c r="W711" s="27" t="s">
        <v>208</v>
      </c>
      <c r="X711" s="30">
        <v>1</v>
      </c>
      <c r="Y711" s="30">
        <v>1</v>
      </c>
      <c r="Z711" s="30">
        <v>1</v>
      </c>
      <c r="AA711" s="30">
        <v>1</v>
      </c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6"/>
      <c r="AS711" s="36"/>
      <c r="AT711" s="36"/>
      <c r="AU711" s="36"/>
      <c r="AV711" s="36"/>
      <c r="AW711" s="36"/>
      <c r="AX711" s="36"/>
      <c r="AY711" s="36" t="s">
        <v>69</v>
      </c>
      <c r="AZ711" s="30"/>
      <c r="BA711" s="30"/>
      <c r="BB711" s="30"/>
      <c r="BC711" s="30"/>
      <c r="BD711" s="30"/>
      <c r="BE711" s="30"/>
      <c r="BF711" s="30" t="s">
        <v>583</v>
      </c>
      <c r="BG711" s="30"/>
      <c r="BH711" s="30"/>
      <c r="BI711" s="30"/>
      <c r="BJ711" s="30"/>
      <c r="BK711" s="27"/>
      <c r="BL711" s="27"/>
    </row>
    <row r="712" spans="1:64">
      <c r="A712" s="68" t="s">
        <v>54</v>
      </c>
      <c r="B712" s="26">
        <v>46227</v>
      </c>
      <c r="C712" s="27">
        <v>28802</v>
      </c>
      <c r="D712" s="27"/>
      <c r="E712" s="27" t="s">
        <v>212</v>
      </c>
      <c r="F712" s="27" t="s">
        <v>59</v>
      </c>
      <c r="G712" s="27" t="s">
        <v>104</v>
      </c>
      <c r="H712" s="30" t="s">
        <v>151</v>
      </c>
      <c r="I712" s="31" t="s">
        <v>277</v>
      </c>
      <c r="J712" s="30" t="s">
        <v>151</v>
      </c>
      <c r="K712" s="27">
        <v>1</v>
      </c>
      <c r="L712" s="27" t="s">
        <v>214</v>
      </c>
      <c r="M712" s="27"/>
      <c r="N712" s="31" t="s">
        <v>154</v>
      </c>
      <c r="O712" s="27"/>
      <c r="P712" s="30"/>
      <c r="Q712" s="30" t="s">
        <v>66</v>
      </c>
      <c r="R712" s="26">
        <v>46232</v>
      </c>
      <c r="S712" s="26">
        <v>46233</v>
      </c>
      <c r="T712" s="31"/>
      <c r="U712" s="30" t="s">
        <v>68</v>
      </c>
      <c r="V712" s="34" t="s">
        <v>70</v>
      </c>
      <c r="W712" s="27" t="s">
        <v>208</v>
      </c>
      <c r="X712" s="30">
        <v>1</v>
      </c>
      <c r="Y712" s="30">
        <v>1</v>
      </c>
      <c r="Z712" s="30">
        <v>1</v>
      </c>
      <c r="AA712" s="30">
        <v>1</v>
      </c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6"/>
      <c r="AS712" s="36"/>
      <c r="AT712" s="36"/>
      <c r="AU712" s="36"/>
      <c r="AV712" s="36"/>
      <c r="AW712" s="36"/>
      <c r="AX712" s="36"/>
      <c r="AY712" s="36" t="s">
        <v>69</v>
      </c>
      <c r="AZ712" s="30"/>
      <c r="BA712" s="30"/>
      <c r="BB712" s="30"/>
      <c r="BC712" s="30"/>
      <c r="BD712" s="30" t="s">
        <v>157</v>
      </c>
      <c r="BE712" s="30"/>
      <c r="BF712" s="30"/>
      <c r="BG712" s="30"/>
      <c r="BH712" s="30"/>
      <c r="BI712" s="30"/>
      <c r="BJ712" s="30"/>
      <c r="BK712" s="27"/>
      <c r="BL712" s="27"/>
    </row>
    <row r="713" spans="1:64">
      <c r="A713" s="68" t="s">
        <v>54</v>
      </c>
      <c r="B713" s="26">
        <v>46227</v>
      </c>
      <c r="C713" s="27">
        <v>28797</v>
      </c>
      <c r="D713" s="27"/>
      <c r="E713" s="27" t="s">
        <v>212</v>
      </c>
      <c r="F713" s="27" t="s">
        <v>59</v>
      </c>
      <c r="G713" s="27" t="s">
        <v>104</v>
      </c>
      <c r="H713" s="30" t="s">
        <v>144</v>
      </c>
      <c r="I713" s="31" t="s">
        <v>829</v>
      </c>
      <c r="J713" s="30" t="s">
        <v>144</v>
      </c>
      <c r="K713" s="27">
        <v>1</v>
      </c>
      <c r="L713" s="27" t="s">
        <v>205</v>
      </c>
      <c r="M713" s="27"/>
      <c r="N713" s="31" t="s">
        <v>455</v>
      </c>
      <c r="O713" s="27"/>
      <c r="P713" s="30"/>
      <c r="Q713" s="30" t="s">
        <v>332</v>
      </c>
      <c r="R713" s="26">
        <v>46231</v>
      </c>
      <c r="S713" s="26">
        <v>46233</v>
      </c>
      <c r="T713" s="31"/>
      <c r="U713" s="30" t="s">
        <v>68</v>
      </c>
      <c r="V713" s="34" t="s">
        <v>70</v>
      </c>
      <c r="W713" s="27" t="s">
        <v>208</v>
      </c>
      <c r="X713" s="30">
        <v>1</v>
      </c>
      <c r="Y713" s="30">
        <v>1</v>
      </c>
      <c r="Z713" s="30">
        <v>1</v>
      </c>
      <c r="AA713" s="30">
        <v>1</v>
      </c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6"/>
      <c r="AS713" s="36"/>
      <c r="AT713" s="36"/>
      <c r="AU713" s="36"/>
      <c r="AV713" s="36"/>
      <c r="AW713" s="36"/>
      <c r="AX713" s="36"/>
      <c r="AY713" s="36" t="s">
        <v>69</v>
      </c>
      <c r="AZ713" s="30"/>
      <c r="BA713" s="30"/>
      <c r="BB713" s="30"/>
      <c r="BC713" s="30" t="s">
        <v>583</v>
      </c>
      <c r="BD713" s="30"/>
      <c r="BE713" s="30"/>
      <c r="BF713" s="30"/>
      <c r="BG713" s="30"/>
      <c r="BH713" s="30"/>
      <c r="BI713" s="30"/>
      <c r="BJ713" s="30"/>
      <c r="BK713" s="27"/>
      <c r="BL713" s="27"/>
    </row>
    <row r="714" spans="1:64">
      <c r="A714" s="68" t="s">
        <v>54</v>
      </c>
      <c r="B714" s="26">
        <v>46227</v>
      </c>
      <c r="C714" s="27">
        <v>28790</v>
      </c>
      <c r="D714" s="27"/>
      <c r="E714" s="27" t="s">
        <v>203</v>
      </c>
      <c r="F714" s="27" t="s">
        <v>59</v>
      </c>
      <c r="G714" s="27" t="s">
        <v>104</v>
      </c>
      <c r="H714" s="30" t="s">
        <v>60</v>
      </c>
      <c r="I714" s="31" t="s">
        <v>927</v>
      </c>
      <c r="J714" s="30" t="s">
        <v>60</v>
      </c>
      <c r="K714" s="27">
        <v>1</v>
      </c>
      <c r="L714" s="27" t="s">
        <v>205</v>
      </c>
      <c r="M714" s="27"/>
      <c r="N714" s="31" t="s">
        <v>81</v>
      </c>
      <c r="O714" s="27"/>
      <c r="P714" s="30"/>
      <c r="Q714" s="30" t="s">
        <v>66</v>
      </c>
      <c r="R714" s="26">
        <v>46230</v>
      </c>
      <c r="S714" s="26">
        <v>46232</v>
      </c>
      <c r="T714" s="31"/>
      <c r="U714" s="30" t="s">
        <v>68</v>
      </c>
      <c r="V714" s="34" t="s">
        <v>70</v>
      </c>
      <c r="W714" s="27" t="s">
        <v>208</v>
      </c>
      <c r="X714" s="30">
        <v>1</v>
      </c>
      <c r="Y714" s="30">
        <v>1</v>
      </c>
      <c r="Z714" s="30">
        <v>1</v>
      </c>
      <c r="AA714" s="30">
        <v>1</v>
      </c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6"/>
      <c r="AS714" s="36"/>
      <c r="AT714" s="36"/>
      <c r="AU714" s="36"/>
      <c r="AV714" s="36"/>
      <c r="AW714" s="36"/>
      <c r="AX714" s="36"/>
      <c r="AY714" s="36" t="s">
        <v>69</v>
      </c>
      <c r="AZ714" s="30"/>
      <c r="BA714" s="30"/>
      <c r="BB714" s="30" t="s">
        <v>88</v>
      </c>
      <c r="BC714" s="30"/>
      <c r="BD714" s="30"/>
      <c r="BE714" s="30"/>
      <c r="BF714" s="30"/>
      <c r="BG714" s="30"/>
      <c r="BH714" s="30"/>
      <c r="BI714" s="30"/>
      <c r="BJ714" s="30"/>
      <c r="BK714" s="27"/>
      <c r="BL714" s="27"/>
    </row>
    <row r="715" spans="1:64">
      <c r="A715" s="68" t="s">
        <v>54</v>
      </c>
      <c r="B715" s="26">
        <v>46227</v>
      </c>
      <c r="C715" s="27">
        <v>28799</v>
      </c>
      <c r="D715" s="27"/>
      <c r="E715" s="27" t="s">
        <v>212</v>
      </c>
      <c r="F715" s="27" t="s">
        <v>59</v>
      </c>
      <c r="G715" s="27" t="s">
        <v>104</v>
      </c>
      <c r="H715" s="30" t="s">
        <v>195</v>
      </c>
      <c r="I715" s="31" t="s">
        <v>1773</v>
      </c>
      <c r="J715" s="30" t="s">
        <v>760</v>
      </c>
      <c r="K715" s="27">
        <v>1</v>
      </c>
      <c r="L715" s="27" t="s">
        <v>205</v>
      </c>
      <c r="M715" s="27"/>
      <c r="N715" s="31" t="s">
        <v>154</v>
      </c>
      <c r="O715" s="27"/>
      <c r="P715" s="30"/>
      <c r="Q715" s="30" t="s">
        <v>66</v>
      </c>
      <c r="R715" s="26">
        <v>46231</v>
      </c>
      <c r="S715" s="26">
        <v>46232</v>
      </c>
      <c r="T715" s="31"/>
      <c r="U715" s="30" t="s">
        <v>68</v>
      </c>
      <c r="V715" s="34" t="s">
        <v>70</v>
      </c>
      <c r="W715" s="27" t="s">
        <v>208</v>
      </c>
      <c r="X715" s="30"/>
      <c r="Y715" s="30"/>
      <c r="Z715" s="30"/>
      <c r="AA715" s="30">
        <v>1</v>
      </c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6"/>
      <c r="AS715" s="36"/>
      <c r="AT715" s="36"/>
      <c r="AU715" s="36"/>
      <c r="AV715" s="36"/>
      <c r="AW715" s="36"/>
      <c r="AX715" s="36"/>
      <c r="AY715" s="36" t="s">
        <v>69</v>
      </c>
      <c r="AZ715" s="30"/>
      <c r="BA715" s="30"/>
      <c r="BB715" s="30"/>
      <c r="BC715" s="30" t="s">
        <v>154</v>
      </c>
      <c r="BD715" s="30" t="s">
        <v>90</v>
      </c>
      <c r="BE715" s="30"/>
      <c r="BF715" s="30"/>
      <c r="BG715" s="30"/>
      <c r="BH715" s="30"/>
      <c r="BI715" s="30"/>
      <c r="BJ715" s="30"/>
      <c r="BK715" s="27"/>
      <c r="BL715" s="27"/>
    </row>
    <row r="716" spans="1:64">
      <c r="A716" s="68" t="s">
        <v>54</v>
      </c>
      <c r="B716" s="26">
        <v>46227</v>
      </c>
      <c r="C716" s="27">
        <v>29593</v>
      </c>
      <c r="D716" s="27"/>
      <c r="E716" s="27" t="s">
        <v>233</v>
      </c>
      <c r="F716" s="27" t="s">
        <v>59</v>
      </c>
      <c r="G716" s="27" t="s">
        <v>104</v>
      </c>
      <c r="H716" s="30" t="s">
        <v>309</v>
      </c>
      <c r="I716" s="31" t="s">
        <v>213</v>
      </c>
      <c r="J716" s="30" t="s">
        <v>170</v>
      </c>
      <c r="K716" s="27">
        <v>1</v>
      </c>
      <c r="L716" s="27" t="s">
        <v>205</v>
      </c>
      <c r="M716" s="27"/>
      <c r="N716" s="31" t="s">
        <v>95</v>
      </c>
      <c r="O716" s="27"/>
      <c r="P716" s="30"/>
      <c r="Q716" s="30" t="s">
        <v>66</v>
      </c>
      <c r="R716" s="26">
        <v>46231</v>
      </c>
      <c r="S716" s="26">
        <v>46234</v>
      </c>
      <c r="T716" s="31"/>
      <c r="U716" s="30" t="s">
        <v>68</v>
      </c>
      <c r="V716" s="34" t="s">
        <v>70</v>
      </c>
      <c r="W716" s="27" t="s">
        <v>208</v>
      </c>
      <c r="X716" s="30">
        <v>1</v>
      </c>
      <c r="Y716" s="30">
        <v>1</v>
      </c>
      <c r="Z716" s="30">
        <v>1</v>
      </c>
      <c r="AA716" s="30">
        <v>1</v>
      </c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6"/>
      <c r="AS716" s="36"/>
      <c r="AT716" s="36"/>
      <c r="AU716" s="36"/>
      <c r="AV716" s="36"/>
      <c r="AW716" s="36"/>
      <c r="AX716" s="36"/>
      <c r="AY716" s="36" t="s">
        <v>69</v>
      </c>
      <c r="AZ716" s="30"/>
      <c r="BA716" s="30"/>
      <c r="BB716" s="30"/>
      <c r="BC716" s="30" t="s">
        <v>979</v>
      </c>
      <c r="BD716" s="30"/>
      <c r="BE716" s="30"/>
      <c r="BF716" s="30"/>
      <c r="BG716" s="30"/>
      <c r="BH716" s="30"/>
      <c r="BI716" s="30"/>
      <c r="BJ716" s="30"/>
      <c r="BK716" s="27"/>
      <c r="BL716" s="27"/>
    </row>
    <row r="717" spans="1:64">
      <c r="A717" s="68" t="s">
        <v>54</v>
      </c>
      <c r="B717" s="26">
        <v>46227</v>
      </c>
      <c r="C717" s="27">
        <v>28795</v>
      </c>
      <c r="D717" s="27"/>
      <c r="E717" s="27" t="s">
        <v>203</v>
      </c>
      <c r="F717" s="27" t="s">
        <v>59</v>
      </c>
      <c r="G717" s="27" t="s">
        <v>104</v>
      </c>
      <c r="H717" s="30" t="s">
        <v>151</v>
      </c>
      <c r="I717" s="31" t="s">
        <v>837</v>
      </c>
      <c r="J717" s="30" t="s">
        <v>151</v>
      </c>
      <c r="K717" s="27">
        <v>1</v>
      </c>
      <c r="L717" s="27" t="s">
        <v>205</v>
      </c>
      <c r="M717" s="27"/>
      <c r="N717" s="31" t="s">
        <v>154</v>
      </c>
      <c r="O717" s="27"/>
      <c r="P717" s="30"/>
      <c r="Q717" s="30" t="s">
        <v>66</v>
      </c>
      <c r="R717" s="26">
        <v>46232</v>
      </c>
      <c r="S717" s="26">
        <v>46233</v>
      </c>
      <c r="T717" s="31"/>
      <c r="U717" s="30" t="s">
        <v>68</v>
      </c>
      <c r="V717" s="34" t="s">
        <v>70</v>
      </c>
      <c r="W717" s="27" t="s">
        <v>208</v>
      </c>
      <c r="X717" s="30">
        <v>1</v>
      </c>
      <c r="Y717" s="30">
        <v>1</v>
      </c>
      <c r="Z717" s="30">
        <v>1</v>
      </c>
      <c r="AA717" s="30">
        <v>1</v>
      </c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6"/>
      <c r="AS717" s="36"/>
      <c r="AT717" s="36"/>
      <c r="AU717" s="36"/>
      <c r="AV717" s="36"/>
      <c r="AW717" s="36"/>
      <c r="AX717" s="36"/>
      <c r="AY717" s="36" t="s">
        <v>69</v>
      </c>
      <c r="AZ717" s="30"/>
      <c r="BA717" s="30"/>
      <c r="BB717" s="30"/>
      <c r="BC717" s="30"/>
      <c r="BD717" s="30" t="s">
        <v>157</v>
      </c>
      <c r="BE717" s="30"/>
      <c r="BF717" s="30"/>
      <c r="BG717" s="30"/>
      <c r="BH717" s="30"/>
      <c r="BI717" s="30"/>
      <c r="BJ717" s="30"/>
      <c r="BK717" s="27"/>
      <c r="BL717" s="27"/>
    </row>
    <row r="718" spans="1:64">
      <c r="A718" s="68" t="s">
        <v>54</v>
      </c>
      <c r="B718" s="26">
        <v>46227</v>
      </c>
      <c r="C718" s="27">
        <v>28793</v>
      </c>
      <c r="D718" s="27"/>
      <c r="E718" s="27" t="s">
        <v>212</v>
      </c>
      <c r="F718" s="27" t="s">
        <v>59</v>
      </c>
      <c r="G718" s="27" t="s">
        <v>104</v>
      </c>
      <c r="H718" s="30" t="s">
        <v>169</v>
      </c>
      <c r="I718" s="31" t="s">
        <v>756</v>
      </c>
      <c r="J718" s="30" t="s">
        <v>656</v>
      </c>
      <c r="K718" s="27">
        <v>1</v>
      </c>
      <c r="L718" s="27" t="s">
        <v>205</v>
      </c>
      <c r="M718" s="27"/>
      <c r="N718" s="31" t="s">
        <v>154</v>
      </c>
      <c r="O718" s="27"/>
      <c r="P718" s="30"/>
      <c r="Q718" s="30" t="s">
        <v>66</v>
      </c>
      <c r="R718" s="26">
        <v>46231</v>
      </c>
      <c r="S718" s="26">
        <v>46232</v>
      </c>
      <c r="T718" s="31"/>
      <c r="U718" s="30" t="s">
        <v>68</v>
      </c>
      <c r="V718" s="34" t="s">
        <v>70</v>
      </c>
      <c r="W718" s="27" t="s">
        <v>208</v>
      </c>
      <c r="X718" s="30">
        <v>1</v>
      </c>
      <c r="Y718" s="30">
        <v>1</v>
      </c>
      <c r="Z718" s="30">
        <v>1</v>
      </c>
      <c r="AA718" s="30">
        <v>1</v>
      </c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6"/>
      <c r="AS718" s="36"/>
      <c r="AT718" s="36"/>
      <c r="AU718" s="36"/>
      <c r="AV718" s="36"/>
      <c r="AW718" s="36"/>
      <c r="AX718" s="36"/>
      <c r="AY718" s="36" t="s">
        <v>69</v>
      </c>
      <c r="AZ718" s="30"/>
      <c r="BA718" s="30"/>
      <c r="BB718" s="30"/>
      <c r="BC718" s="30" t="s">
        <v>157</v>
      </c>
      <c r="BD718" s="30"/>
      <c r="BE718" s="30"/>
      <c r="BF718" s="30"/>
      <c r="BG718" s="30"/>
      <c r="BH718" s="30"/>
      <c r="BI718" s="30"/>
      <c r="BJ718" s="30"/>
      <c r="BK718" s="27"/>
      <c r="BL718" s="27"/>
    </row>
    <row r="719" spans="1:64">
      <c r="A719" s="68" t="s">
        <v>54</v>
      </c>
      <c r="B719" s="26">
        <v>46227</v>
      </c>
      <c r="C719" s="27">
        <v>28801</v>
      </c>
      <c r="D719" s="27"/>
      <c r="E719" s="27" t="s">
        <v>203</v>
      </c>
      <c r="F719" s="27" t="s">
        <v>59</v>
      </c>
      <c r="G719" s="27" t="s">
        <v>104</v>
      </c>
      <c r="H719" s="30" t="s">
        <v>1013</v>
      </c>
      <c r="I719" s="31" t="s">
        <v>1776</v>
      </c>
      <c r="J719" s="30" t="s">
        <v>120</v>
      </c>
      <c r="K719" s="27">
        <v>1</v>
      </c>
      <c r="L719" s="27" t="s">
        <v>205</v>
      </c>
      <c r="M719" s="27"/>
      <c r="N719" s="31" t="s">
        <v>455</v>
      </c>
      <c r="O719" s="27"/>
      <c r="P719" s="30"/>
      <c r="Q719" s="30" t="s">
        <v>66</v>
      </c>
      <c r="R719" s="26">
        <v>46231</v>
      </c>
      <c r="S719" s="26">
        <v>46233</v>
      </c>
      <c r="T719" s="31"/>
      <c r="U719" s="30" t="s">
        <v>68</v>
      </c>
      <c r="V719" s="34" t="s">
        <v>70</v>
      </c>
      <c r="W719" s="27" t="s">
        <v>208</v>
      </c>
      <c r="X719" s="30">
        <v>1</v>
      </c>
      <c r="Y719" s="30">
        <v>1</v>
      </c>
      <c r="Z719" s="30">
        <v>1</v>
      </c>
      <c r="AA719" s="30">
        <v>1</v>
      </c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6"/>
      <c r="AS719" s="36"/>
      <c r="AT719" s="36"/>
      <c r="AU719" s="36"/>
      <c r="AV719" s="36"/>
      <c r="AW719" s="36"/>
      <c r="AX719" s="36"/>
      <c r="AY719" s="36" t="s">
        <v>69</v>
      </c>
      <c r="AZ719" s="30"/>
      <c r="BA719" s="30"/>
      <c r="BB719" s="30"/>
      <c r="BC719" s="30" t="s">
        <v>583</v>
      </c>
      <c r="BD719" s="30"/>
      <c r="BE719" s="30"/>
      <c r="BF719" s="30"/>
      <c r="BG719" s="30"/>
      <c r="BH719" s="30"/>
      <c r="BI719" s="30"/>
      <c r="BJ719" s="30"/>
      <c r="BK719" s="27"/>
      <c r="BL719" s="27"/>
    </row>
    <row r="720" spans="1:64">
      <c r="A720" s="68" t="s">
        <v>54</v>
      </c>
      <c r="B720" s="26">
        <v>46227</v>
      </c>
      <c r="C720" s="27">
        <v>28798</v>
      </c>
      <c r="D720" s="27"/>
      <c r="E720" s="27" t="s">
        <v>203</v>
      </c>
      <c r="F720" s="27" t="s">
        <v>59</v>
      </c>
      <c r="G720" s="27" t="s">
        <v>104</v>
      </c>
      <c r="H720" s="30" t="s">
        <v>60</v>
      </c>
      <c r="I720" s="31" t="s">
        <v>647</v>
      </c>
      <c r="J720" s="30" t="s">
        <v>60</v>
      </c>
      <c r="K720" s="27">
        <v>1</v>
      </c>
      <c r="L720" s="27" t="s">
        <v>205</v>
      </c>
      <c r="M720" s="27"/>
      <c r="N720" s="31" t="s">
        <v>81</v>
      </c>
      <c r="O720" s="27"/>
      <c r="P720" s="30"/>
      <c r="Q720" s="30" t="s">
        <v>66</v>
      </c>
      <c r="R720" s="26">
        <v>46230</v>
      </c>
      <c r="S720" s="26">
        <v>46232</v>
      </c>
      <c r="T720" s="31"/>
      <c r="U720" s="30" t="s">
        <v>68</v>
      </c>
      <c r="V720" s="34" t="s">
        <v>70</v>
      </c>
      <c r="W720" s="27" t="s">
        <v>208</v>
      </c>
      <c r="X720" s="30">
        <v>1</v>
      </c>
      <c r="Y720" s="30">
        <v>1</v>
      </c>
      <c r="Z720" s="30">
        <v>1</v>
      </c>
      <c r="AA720" s="30">
        <v>1</v>
      </c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6"/>
      <c r="AS720" s="36"/>
      <c r="AT720" s="36"/>
      <c r="AU720" s="36"/>
      <c r="AV720" s="36"/>
      <c r="AW720" s="36"/>
      <c r="AX720" s="36"/>
      <c r="AY720" s="36" t="s">
        <v>69</v>
      </c>
      <c r="AZ720" s="30"/>
      <c r="BA720" s="30"/>
      <c r="BB720" s="30" t="s">
        <v>88</v>
      </c>
      <c r="BC720" s="30"/>
      <c r="BD720" s="30"/>
      <c r="BE720" s="30"/>
      <c r="BF720" s="30"/>
      <c r="BG720" s="30"/>
      <c r="BH720" s="30"/>
      <c r="BI720" s="30"/>
      <c r="BJ720" s="30"/>
      <c r="BK720" s="27"/>
      <c r="BL720" s="27"/>
    </row>
    <row r="721" spans="1:64">
      <c r="A721" s="68" t="s">
        <v>54</v>
      </c>
      <c r="B721" s="26">
        <v>46227</v>
      </c>
      <c r="C721" s="27">
        <v>28800</v>
      </c>
      <c r="D721" s="27"/>
      <c r="E721" s="27" t="s">
        <v>203</v>
      </c>
      <c r="F721" s="27" t="s">
        <v>59</v>
      </c>
      <c r="G721" s="27" t="s">
        <v>104</v>
      </c>
      <c r="H721" s="30" t="s">
        <v>151</v>
      </c>
      <c r="I721" s="31" t="s">
        <v>638</v>
      </c>
      <c r="J721" s="30" t="s">
        <v>151</v>
      </c>
      <c r="K721" s="27">
        <v>1</v>
      </c>
      <c r="L721" s="27" t="s">
        <v>205</v>
      </c>
      <c r="M721" s="27"/>
      <c r="N721" s="31" t="s">
        <v>154</v>
      </c>
      <c r="O721" s="27"/>
      <c r="P721" s="30"/>
      <c r="Q721" s="30" t="s">
        <v>66</v>
      </c>
      <c r="R721" s="26">
        <v>46232</v>
      </c>
      <c r="S721" s="26">
        <v>46233</v>
      </c>
      <c r="T721" s="31"/>
      <c r="U721" s="30" t="s">
        <v>68</v>
      </c>
      <c r="V721" s="34" t="s">
        <v>70</v>
      </c>
      <c r="W721" s="27" t="s">
        <v>208</v>
      </c>
      <c r="X721" s="30">
        <v>1</v>
      </c>
      <c r="Y721" s="30">
        <v>1</v>
      </c>
      <c r="Z721" s="30">
        <v>1</v>
      </c>
      <c r="AA721" s="30">
        <v>1</v>
      </c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6"/>
      <c r="AS721" s="36"/>
      <c r="AT721" s="36"/>
      <c r="AU721" s="36"/>
      <c r="AV721" s="36"/>
      <c r="AW721" s="36"/>
      <c r="AX721" s="36"/>
      <c r="AY721" s="36" t="s">
        <v>69</v>
      </c>
      <c r="AZ721" s="30"/>
      <c r="BA721" s="30"/>
      <c r="BB721" s="30"/>
      <c r="BC721" s="30"/>
      <c r="BD721" s="30" t="s">
        <v>157</v>
      </c>
      <c r="BE721" s="30"/>
      <c r="BF721" s="30"/>
      <c r="BG721" s="30"/>
      <c r="BH721" s="30"/>
      <c r="BI721" s="30"/>
      <c r="BJ721" s="30"/>
      <c r="BK721" s="27"/>
      <c r="BL721" s="27"/>
    </row>
    <row r="722" spans="1:64">
      <c r="A722" s="68" t="s">
        <v>54</v>
      </c>
      <c r="B722" s="26">
        <v>46227</v>
      </c>
      <c r="C722" s="27">
        <v>28789</v>
      </c>
      <c r="D722" s="27"/>
      <c r="E722" s="27" t="s">
        <v>212</v>
      </c>
      <c r="F722" s="27" t="s">
        <v>59</v>
      </c>
      <c r="G722" s="27" t="s">
        <v>104</v>
      </c>
      <c r="H722" s="30" t="s">
        <v>757</v>
      </c>
      <c r="I722" s="31" t="s">
        <v>1777</v>
      </c>
      <c r="J722" s="30" t="s">
        <v>538</v>
      </c>
      <c r="K722" s="27">
        <v>1</v>
      </c>
      <c r="L722" s="27" t="s">
        <v>205</v>
      </c>
      <c r="M722" s="27"/>
      <c r="N722" s="31" t="s">
        <v>81</v>
      </c>
      <c r="O722" s="27"/>
      <c r="P722" s="30"/>
      <c r="Q722" s="30" t="s">
        <v>66</v>
      </c>
      <c r="R722" s="26">
        <v>46230</v>
      </c>
      <c r="S722" s="26">
        <v>46232</v>
      </c>
      <c r="T722" s="31"/>
      <c r="U722" s="30" t="s">
        <v>68</v>
      </c>
      <c r="V722" s="34" t="s">
        <v>70</v>
      </c>
      <c r="W722" s="27" t="s">
        <v>208</v>
      </c>
      <c r="X722" s="30">
        <v>1</v>
      </c>
      <c r="Y722" s="30">
        <v>1</v>
      </c>
      <c r="Z722" s="30">
        <v>1</v>
      </c>
      <c r="AA722" s="30">
        <v>1</v>
      </c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6"/>
      <c r="AS722" s="36"/>
      <c r="AT722" s="36"/>
      <c r="AU722" s="36"/>
      <c r="AV722" s="36"/>
      <c r="AW722" s="36"/>
      <c r="AX722" s="36"/>
      <c r="AY722" s="36" t="s">
        <v>69</v>
      </c>
      <c r="AZ722" s="30"/>
      <c r="BA722" s="30"/>
      <c r="BB722" s="30" t="s">
        <v>81</v>
      </c>
      <c r="BC722" s="30" t="s">
        <v>41</v>
      </c>
      <c r="BD722" s="30"/>
      <c r="BE722" s="30"/>
      <c r="BF722" s="30"/>
      <c r="BG722" s="30"/>
      <c r="BH722" s="30"/>
      <c r="BI722" s="30"/>
      <c r="BJ722" s="30"/>
      <c r="BK722" s="27"/>
      <c r="BL722" s="27"/>
    </row>
    <row r="723" spans="1:64">
      <c r="A723" s="68" t="s">
        <v>54</v>
      </c>
      <c r="B723" s="26">
        <v>46227</v>
      </c>
      <c r="C723" s="27"/>
      <c r="D723" s="27">
        <v>44647</v>
      </c>
      <c r="E723" s="27" t="s">
        <v>284</v>
      </c>
      <c r="F723" s="27" t="s">
        <v>48</v>
      </c>
      <c r="G723" s="27" t="s">
        <v>110</v>
      </c>
      <c r="H723" s="30" t="s">
        <v>104</v>
      </c>
      <c r="I723" s="31" t="s">
        <v>1778</v>
      </c>
      <c r="J723" s="30" t="s">
        <v>1779</v>
      </c>
      <c r="K723" s="27">
        <v>14</v>
      </c>
      <c r="L723" s="27">
        <v>107</v>
      </c>
      <c r="M723" s="27"/>
      <c r="N723" s="31" t="s">
        <v>154</v>
      </c>
      <c r="O723" s="27"/>
      <c r="P723" s="30"/>
      <c r="Q723" s="30" t="s">
        <v>66</v>
      </c>
      <c r="R723" s="26">
        <v>46230</v>
      </c>
      <c r="S723" s="26">
        <v>46231</v>
      </c>
      <c r="T723" s="31"/>
      <c r="U723" s="30" t="s">
        <v>68</v>
      </c>
      <c r="V723" s="34" t="s">
        <v>70</v>
      </c>
      <c r="W723" s="27" t="s">
        <v>284</v>
      </c>
      <c r="X723" s="30">
        <v>1</v>
      </c>
      <c r="Y723" s="30">
        <v>1</v>
      </c>
      <c r="Z723" s="30">
        <v>1</v>
      </c>
      <c r="AA723" s="30">
        <v>1</v>
      </c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6"/>
      <c r="AS723" s="36"/>
      <c r="AT723" s="36"/>
      <c r="AU723" s="36"/>
      <c r="AV723" s="36"/>
      <c r="AW723" s="36"/>
      <c r="AX723" s="36"/>
      <c r="AY723" s="31" t="s">
        <v>118</v>
      </c>
      <c r="AZ723" s="30" t="s">
        <v>733</v>
      </c>
      <c r="BA723" s="30"/>
      <c r="BB723" s="30" t="s">
        <v>157</v>
      </c>
      <c r="BC723" s="30"/>
      <c r="BD723" s="30"/>
      <c r="BE723" s="30"/>
      <c r="BF723" s="30"/>
      <c r="BG723" s="30"/>
      <c r="BH723" s="30"/>
      <c r="BI723" s="30"/>
      <c r="BJ723" s="30"/>
      <c r="BK723" s="27"/>
      <c r="BL723" s="27"/>
    </row>
    <row r="724" spans="1:64">
      <c r="A724" s="68" t="s">
        <v>54</v>
      </c>
      <c r="B724" s="26">
        <v>46227</v>
      </c>
      <c r="C724" s="27"/>
      <c r="D724" s="27">
        <v>44645</v>
      </c>
      <c r="E724" s="27" t="s">
        <v>284</v>
      </c>
      <c r="F724" s="27" t="s">
        <v>48</v>
      </c>
      <c r="G724" s="27" t="s">
        <v>110</v>
      </c>
      <c r="H724" s="30" t="s">
        <v>104</v>
      </c>
      <c r="I724" s="31" t="s">
        <v>1780</v>
      </c>
      <c r="J724" s="30" t="s">
        <v>1781</v>
      </c>
      <c r="K724" s="27">
        <v>13</v>
      </c>
      <c r="L724" s="27">
        <v>76</v>
      </c>
      <c r="M724" s="27"/>
      <c r="N724" s="31" t="s">
        <v>595</v>
      </c>
      <c r="O724" s="27"/>
      <c r="P724" s="30"/>
      <c r="Q724" s="30" t="s">
        <v>66</v>
      </c>
      <c r="R724" s="26">
        <v>46231</v>
      </c>
      <c r="S724" s="26">
        <v>46232</v>
      </c>
      <c r="T724" s="31"/>
      <c r="U724" s="30" t="s">
        <v>68</v>
      </c>
      <c r="V724" s="34" t="s">
        <v>70</v>
      </c>
      <c r="W724" s="27" t="s">
        <v>284</v>
      </c>
      <c r="X724" s="30">
        <v>1</v>
      </c>
      <c r="Y724" s="30">
        <v>1</v>
      </c>
      <c r="Z724" s="30">
        <v>1</v>
      </c>
      <c r="AA724" s="30">
        <v>1</v>
      </c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6"/>
      <c r="AS724" s="36"/>
      <c r="AT724" s="36"/>
      <c r="AU724" s="36"/>
      <c r="AV724" s="36"/>
      <c r="AW724" s="36"/>
      <c r="AX724" s="36"/>
      <c r="AY724" s="31" t="s">
        <v>1758</v>
      </c>
      <c r="AZ724" s="30"/>
      <c r="BA724" s="30"/>
      <c r="BB724" s="30" t="s">
        <v>1782</v>
      </c>
      <c r="BC724" s="30" t="s">
        <v>41</v>
      </c>
      <c r="BD724" s="30"/>
      <c r="BE724" s="30"/>
      <c r="BF724" s="30"/>
      <c r="BG724" s="30"/>
      <c r="BH724" s="30"/>
      <c r="BI724" s="30"/>
      <c r="BJ724" s="30"/>
      <c r="BK724" s="27"/>
      <c r="BL724" s="27"/>
    </row>
    <row r="725" spans="1:64">
      <c r="A725" s="68" t="s">
        <v>54</v>
      </c>
      <c r="B725" s="26">
        <v>46227</v>
      </c>
      <c r="C725" s="27"/>
      <c r="D725" s="27">
        <v>44646</v>
      </c>
      <c r="E725" s="27" t="s">
        <v>284</v>
      </c>
      <c r="F725" s="27" t="s">
        <v>48</v>
      </c>
      <c r="G725" s="27" t="s">
        <v>110</v>
      </c>
      <c r="H725" s="30" t="s">
        <v>104</v>
      </c>
      <c r="I725" s="31" t="s">
        <v>1783</v>
      </c>
      <c r="J725" s="30" t="s">
        <v>1784</v>
      </c>
      <c r="K725" s="27">
        <v>10</v>
      </c>
      <c r="L725" s="27">
        <v>54</v>
      </c>
      <c r="M725" s="27"/>
      <c r="N725" s="31" t="s">
        <v>507</v>
      </c>
      <c r="O725" s="27"/>
      <c r="P725" s="30"/>
      <c r="Q725" s="30" t="s">
        <v>66</v>
      </c>
      <c r="R725" s="26">
        <v>46230</v>
      </c>
      <c r="S725" s="26">
        <v>46231</v>
      </c>
      <c r="T725" s="31"/>
      <c r="U725" s="30" t="s">
        <v>68</v>
      </c>
      <c r="V725" s="34" t="s">
        <v>70</v>
      </c>
      <c r="W725" s="27" t="s">
        <v>284</v>
      </c>
      <c r="X725" s="30"/>
      <c r="Y725" s="30"/>
      <c r="Z725" s="30"/>
      <c r="AA725" s="30">
        <v>1</v>
      </c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6"/>
      <c r="AS725" s="36"/>
      <c r="AT725" s="36"/>
      <c r="AU725" s="36"/>
      <c r="AV725" s="36"/>
      <c r="AW725" s="36"/>
      <c r="AX725" s="36"/>
      <c r="AY725" s="31" t="s">
        <v>1758</v>
      </c>
      <c r="AZ725" s="30"/>
      <c r="BA725" s="30"/>
      <c r="BB725" s="30" t="s">
        <v>1785</v>
      </c>
      <c r="BC725" s="30"/>
      <c r="BD725" s="30"/>
      <c r="BE725" s="30"/>
      <c r="BF725" s="30"/>
      <c r="BG725" s="30"/>
      <c r="BH725" s="30"/>
      <c r="BI725" s="30"/>
      <c r="BJ725" s="30"/>
      <c r="BK725" s="27"/>
      <c r="BL725" s="27"/>
    </row>
    <row r="726" spans="1:64">
      <c r="A726" s="68" t="s">
        <v>54</v>
      </c>
      <c r="B726" s="26">
        <v>46227</v>
      </c>
      <c r="C726" s="27"/>
      <c r="D726" s="27">
        <v>140114</v>
      </c>
      <c r="E726" s="27" t="s">
        <v>284</v>
      </c>
      <c r="F726" s="27" t="s">
        <v>48</v>
      </c>
      <c r="G726" s="27" t="s">
        <v>110</v>
      </c>
      <c r="H726" s="30" t="s">
        <v>246</v>
      </c>
      <c r="I726" s="31" t="s">
        <v>1786</v>
      </c>
      <c r="J726" s="30" t="s">
        <v>1787</v>
      </c>
      <c r="K726" s="27">
        <v>2</v>
      </c>
      <c r="L726" s="27" t="s">
        <v>1788</v>
      </c>
      <c r="M726" s="27"/>
      <c r="N726" s="31" t="s">
        <v>318</v>
      </c>
      <c r="O726" s="27"/>
      <c r="P726" s="30"/>
      <c r="Q726" s="30" t="s">
        <v>66</v>
      </c>
      <c r="R726" s="26">
        <v>46233</v>
      </c>
      <c r="S726" s="26">
        <v>46237</v>
      </c>
      <c r="T726" s="31"/>
      <c r="U726" s="30" t="s">
        <v>68</v>
      </c>
      <c r="V726" s="34" t="s">
        <v>70</v>
      </c>
      <c r="W726" s="27" t="s">
        <v>284</v>
      </c>
      <c r="X726" s="30">
        <v>1</v>
      </c>
      <c r="Y726" s="30">
        <v>1</v>
      </c>
      <c r="Z726" s="30">
        <v>1</v>
      </c>
      <c r="AA726" s="30">
        <v>1</v>
      </c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6"/>
      <c r="AS726" s="36"/>
      <c r="AT726" s="36"/>
      <c r="AU726" s="36"/>
      <c r="AV726" s="36"/>
      <c r="AW726" s="36"/>
      <c r="AX726" s="36"/>
      <c r="AY726" s="31" t="s">
        <v>1789</v>
      </c>
      <c r="AZ726" s="30"/>
      <c r="BA726" s="30" t="s">
        <v>321</v>
      </c>
      <c r="BB726" s="30"/>
      <c r="BC726" s="30"/>
      <c r="BD726" s="31" t="s">
        <v>318</v>
      </c>
      <c r="BE726" s="30" t="s">
        <v>41</v>
      </c>
      <c r="BF726" s="30"/>
      <c r="BG726" s="30"/>
      <c r="BH726" s="30"/>
      <c r="BI726" s="30"/>
      <c r="BJ726" s="30"/>
      <c r="BK726" s="27"/>
      <c r="BL726" s="27"/>
    </row>
    <row r="727" spans="1:64">
      <c r="A727" s="68" t="s">
        <v>54</v>
      </c>
      <c r="B727" s="26">
        <v>46227</v>
      </c>
      <c r="C727" s="27"/>
      <c r="D727" s="27">
        <v>140110</v>
      </c>
      <c r="E727" s="27" t="s">
        <v>284</v>
      </c>
      <c r="F727" s="27" t="s">
        <v>48</v>
      </c>
      <c r="G727" s="27" t="s">
        <v>110</v>
      </c>
      <c r="H727" s="30" t="s">
        <v>104</v>
      </c>
      <c r="I727" s="31" t="s">
        <v>1790</v>
      </c>
      <c r="J727" s="30" t="s">
        <v>1791</v>
      </c>
      <c r="K727" s="27">
        <v>1</v>
      </c>
      <c r="L727" s="63">
        <v>991</v>
      </c>
      <c r="M727" s="27"/>
      <c r="N727" s="31" t="s">
        <v>507</v>
      </c>
      <c r="O727" s="27"/>
      <c r="P727" s="30"/>
      <c r="Q727" s="30" t="s">
        <v>66</v>
      </c>
      <c r="R727" s="26">
        <v>46230</v>
      </c>
      <c r="S727" s="26">
        <v>46231</v>
      </c>
      <c r="T727" s="31"/>
      <c r="U727" s="30" t="s">
        <v>68</v>
      </c>
      <c r="V727" s="34" t="s">
        <v>70</v>
      </c>
      <c r="W727" s="27" t="s">
        <v>284</v>
      </c>
      <c r="X727" s="30">
        <v>1</v>
      </c>
      <c r="Y727" s="30">
        <v>1</v>
      </c>
      <c r="Z727" s="30">
        <v>1</v>
      </c>
      <c r="AA727" s="30">
        <v>1</v>
      </c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6"/>
      <c r="AS727" s="36"/>
      <c r="AT727" s="36"/>
      <c r="AU727" s="36"/>
      <c r="AV727" s="36"/>
      <c r="AW727" s="36"/>
      <c r="AX727" s="36"/>
      <c r="AY727" s="31" t="s">
        <v>1758</v>
      </c>
      <c r="AZ727" s="30"/>
      <c r="BA727" s="30"/>
      <c r="BB727" s="30" t="s">
        <v>1438</v>
      </c>
      <c r="BC727" s="30"/>
      <c r="BD727" s="30"/>
      <c r="BE727" s="30"/>
      <c r="BF727" s="30"/>
      <c r="BG727" s="30"/>
      <c r="BH727" s="30"/>
      <c r="BI727" s="30"/>
      <c r="BJ727" s="30"/>
      <c r="BK727" s="27"/>
      <c r="BL727" s="27"/>
    </row>
    <row r="728" spans="1:64">
      <c r="A728" s="68" t="s">
        <v>54</v>
      </c>
      <c r="B728" s="26">
        <v>46227</v>
      </c>
      <c r="C728" s="27"/>
      <c r="D728" s="27">
        <v>140106</v>
      </c>
      <c r="E728" s="27" t="s">
        <v>284</v>
      </c>
      <c r="F728" s="27" t="s">
        <v>48</v>
      </c>
      <c r="G728" s="27" t="s">
        <v>110</v>
      </c>
      <c r="H728" s="30" t="s">
        <v>104</v>
      </c>
      <c r="I728" s="31" t="s">
        <v>1792</v>
      </c>
      <c r="J728" s="30" t="s">
        <v>104</v>
      </c>
      <c r="K728" s="27">
        <v>1</v>
      </c>
      <c r="L728" s="27">
        <v>4.07</v>
      </c>
      <c r="M728" s="27"/>
      <c r="N728" s="31" t="s">
        <v>154</v>
      </c>
      <c r="O728" s="27"/>
      <c r="P728" s="30"/>
      <c r="Q728" s="30" t="s">
        <v>66</v>
      </c>
      <c r="R728" s="26">
        <v>46230</v>
      </c>
      <c r="S728" s="27"/>
      <c r="T728" s="31"/>
      <c r="U728" s="30" t="s">
        <v>1121</v>
      </c>
      <c r="V728" s="34" t="s">
        <v>1122</v>
      </c>
      <c r="W728" s="27" t="s">
        <v>284</v>
      </c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6"/>
      <c r="AS728" s="36"/>
      <c r="AT728" s="36"/>
      <c r="AU728" s="36"/>
      <c r="AV728" s="36"/>
      <c r="AW728" s="36"/>
      <c r="AX728" s="36"/>
      <c r="AY728" s="31" t="s">
        <v>1758</v>
      </c>
      <c r="AZ728" s="30"/>
      <c r="BA728" s="30"/>
      <c r="BB728" s="30" t="s">
        <v>157</v>
      </c>
      <c r="BC728" s="30"/>
      <c r="BD728" s="30"/>
      <c r="BE728" s="30"/>
      <c r="BF728" s="30"/>
      <c r="BG728" s="30"/>
      <c r="BH728" s="30"/>
      <c r="BI728" s="30"/>
      <c r="BJ728" s="30"/>
      <c r="BK728" s="27"/>
      <c r="BL728" s="27"/>
    </row>
    <row r="729" spans="1:64">
      <c r="A729" s="68" t="s">
        <v>54</v>
      </c>
      <c r="B729" s="26">
        <v>46227</v>
      </c>
      <c r="C729" s="27"/>
      <c r="D729" s="27">
        <v>140107</v>
      </c>
      <c r="E729" s="27" t="s">
        <v>284</v>
      </c>
      <c r="F729" s="27" t="s">
        <v>48</v>
      </c>
      <c r="G729" s="27" t="s">
        <v>110</v>
      </c>
      <c r="H729" s="30" t="s">
        <v>104</v>
      </c>
      <c r="I729" s="31" t="s">
        <v>1795</v>
      </c>
      <c r="J729" s="30" t="s">
        <v>104</v>
      </c>
      <c r="K729" s="27">
        <v>2</v>
      </c>
      <c r="L729" s="27">
        <v>2.4</v>
      </c>
      <c r="M729" s="27"/>
      <c r="N729" s="31" t="s">
        <v>507</v>
      </c>
      <c r="O729" s="27"/>
      <c r="P729" s="30"/>
      <c r="Q729" s="30" t="s">
        <v>66</v>
      </c>
      <c r="R729" s="26">
        <v>46230</v>
      </c>
      <c r="S729" s="26">
        <v>46231</v>
      </c>
      <c r="T729" s="31"/>
      <c r="U729" s="30" t="s">
        <v>68</v>
      </c>
      <c r="V729" s="34" t="s">
        <v>70</v>
      </c>
      <c r="W729" s="27" t="s">
        <v>284</v>
      </c>
      <c r="X729" s="30">
        <v>1</v>
      </c>
      <c r="Y729" s="30">
        <v>1</v>
      </c>
      <c r="Z729" s="30">
        <v>1</v>
      </c>
      <c r="AA729" s="30">
        <v>1</v>
      </c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6"/>
      <c r="AS729" s="36"/>
      <c r="AT729" s="36"/>
      <c r="AU729" s="36"/>
      <c r="AV729" s="36"/>
      <c r="AW729" s="36"/>
      <c r="AX729" s="36"/>
      <c r="AY729" s="31" t="s">
        <v>1758</v>
      </c>
      <c r="AZ729" s="30"/>
      <c r="BA729" s="30"/>
      <c r="BB729" s="30" t="s">
        <v>1438</v>
      </c>
      <c r="BC729" s="30"/>
      <c r="BD729" s="30"/>
      <c r="BE729" s="30"/>
      <c r="BF729" s="30"/>
      <c r="BG729" s="30"/>
      <c r="BH729" s="30"/>
      <c r="BI729" s="30"/>
      <c r="BJ729" s="30"/>
      <c r="BK729" s="27"/>
      <c r="BL729" s="27"/>
    </row>
    <row r="730" spans="1:64">
      <c r="A730" s="68" t="s">
        <v>54</v>
      </c>
      <c r="B730" s="26">
        <v>46227</v>
      </c>
      <c r="C730" s="27"/>
      <c r="D730" s="27">
        <v>140105</v>
      </c>
      <c r="E730" s="27" t="s">
        <v>284</v>
      </c>
      <c r="F730" s="27" t="s">
        <v>48</v>
      </c>
      <c r="G730" s="27" t="s">
        <v>110</v>
      </c>
      <c r="H730" s="30" t="s">
        <v>246</v>
      </c>
      <c r="I730" s="31" t="s">
        <v>1786</v>
      </c>
      <c r="J730" s="30" t="s">
        <v>1787</v>
      </c>
      <c r="K730" s="27">
        <v>13</v>
      </c>
      <c r="L730" s="27">
        <v>4.22</v>
      </c>
      <c r="M730" s="27"/>
      <c r="N730" s="31" t="s">
        <v>318</v>
      </c>
      <c r="O730" s="27"/>
      <c r="P730" s="30"/>
      <c r="Q730" s="30" t="s">
        <v>66</v>
      </c>
      <c r="R730" s="26">
        <v>46233</v>
      </c>
      <c r="S730" s="26">
        <v>46237</v>
      </c>
      <c r="T730" s="31"/>
      <c r="U730" s="30" t="s">
        <v>68</v>
      </c>
      <c r="V730" s="34" t="s">
        <v>70</v>
      </c>
      <c r="W730" s="27" t="s">
        <v>284</v>
      </c>
      <c r="X730" s="30">
        <v>1</v>
      </c>
      <c r="Y730" s="30">
        <v>1</v>
      </c>
      <c r="Z730" s="30">
        <v>1</v>
      </c>
      <c r="AA730" s="30">
        <v>1</v>
      </c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6"/>
      <c r="AS730" s="36"/>
      <c r="AT730" s="36"/>
      <c r="AU730" s="36"/>
      <c r="AV730" s="36"/>
      <c r="AW730" s="36"/>
      <c r="AX730" s="36"/>
      <c r="AY730" s="31" t="s">
        <v>1789</v>
      </c>
      <c r="AZ730" s="30"/>
      <c r="BA730" s="30" t="s">
        <v>321</v>
      </c>
      <c r="BB730" s="30"/>
      <c r="BC730" s="30"/>
      <c r="BD730" s="31" t="s">
        <v>318</v>
      </c>
      <c r="BE730" s="30" t="s">
        <v>41</v>
      </c>
      <c r="BF730" s="30"/>
      <c r="BG730" s="30"/>
      <c r="BH730" s="30"/>
      <c r="BI730" s="30"/>
      <c r="BJ730" s="30"/>
      <c r="BK730" s="27"/>
      <c r="BL730" s="27"/>
    </row>
    <row r="731" spans="1:64">
      <c r="A731" s="68" t="s">
        <v>54</v>
      </c>
      <c r="B731" s="26">
        <v>46227</v>
      </c>
      <c r="C731" s="27"/>
      <c r="D731" s="27">
        <v>140119</v>
      </c>
      <c r="E731" s="27" t="s">
        <v>284</v>
      </c>
      <c r="F731" s="27" t="s">
        <v>48</v>
      </c>
      <c r="G731" s="27" t="s">
        <v>110</v>
      </c>
      <c r="H731" s="30" t="s">
        <v>246</v>
      </c>
      <c r="I731" s="31" t="s">
        <v>1796</v>
      </c>
      <c r="J731" s="30" t="s">
        <v>1797</v>
      </c>
      <c r="K731" s="27">
        <v>2</v>
      </c>
      <c r="L731" s="48">
        <v>46178</v>
      </c>
      <c r="M731" s="27"/>
      <c r="N731" s="31" t="s">
        <v>318</v>
      </c>
      <c r="O731" s="27"/>
      <c r="P731" s="30"/>
      <c r="Q731" s="30" t="s">
        <v>66</v>
      </c>
      <c r="R731" s="26">
        <v>46233</v>
      </c>
      <c r="S731" s="27"/>
      <c r="T731" s="31"/>
      <c r="U731" s="30" t="s">
        <v>419</v>
      </c>
      <c r="V731" s="34" t="s">
        <v>90</v>
      </c>
      <c r="W731" s="27" t="s">
        <v>284</v>
      </c>
      <c r="X731" s="30">
        <v>1</v>
      </c>
      <c r="Y731" s="30">
        <v>1</v>
      </c>
      <c r="Z731" s="30">
        <v>1</v>
      </c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6"/>
      <c r="AS731" s="36"/>
      <c r="AT731" s="36"/>
      <c r="AU731" s="36"/>
      <c r="AV731" s="36"/>
      <c r="AW731" s="36"/>
      <c r="AX731" s="36"/>
      <c r="AY731" s="31" t="s">
        <v>1789</v>
      </c>
      <c r="AZ731" s="30"/>
      <c r="BA731" s="30" t="s">
        <v>321</v>
      </c>
      <c r="BB731" s="30"/>
      <c r="BC731" s="30"/>
      <c r="BD731" s="31" t="s">
        <v>318</v>
      </c>
      <c r="BE731" s="30" t="s">
        <v>41</v>
      </c>
      <c r="BF731" s="30"/>
      <c r="BG731" s="30"/>
      <c r="BH731" s="30"/>
      <c r="BI731" s="30"/>
      <c r="BJ731" s="30"/>
      <c r="BK731" s="27"/>
      <c r="BL731" s="27"/>
    </row>
    <row r="732" spans="1:64">
      <c r="A732" s="68" t="s">
        <v>54</v>
      </c>
      <c r="B732" s="26">
        <v>46227</v>
      </c>
      <c r="C732" s="27"/>
      <c r="D732" s="27">
        <v>140113</v>
      </c>
      <c r="E732" s="27" t="s">
        <v>284</v>
      </c>
      <c r="F732" s="27" t="s">
        <v>48</v>
      </c>
      <c r="G732" s="27" t="s">
        <v>110</v>
      </c>
      <c r="H732" s="30" t="s">
        <v>104</v>
      </c>
      <c r="I732" s="31" t="s">
        <v>1798</v>
      </c>
      <c r="J732" s="30" t="s">
        <v>104</v>
      </c>
      <c r="K732" s="27">
        <v>1</v>
      </c>
      <c r="L732" s="27" t="s">
        <v>1799</v>
      </c>
      <c r="M732" s="27"/>
      <c r="N732" s="31" t="s">
        <v>507</v>
      </c>
      <c r="O732" s="27"/>
      <c r="P732" s="30"/>
      <c r="Q732" s="30" t="s">
        <v>66</v>
      </c>
      <c r="R732" s="26">
        <v>46230</v>
      </c>
      <c r="S732" s="26">
        <v>46231</v>
      </c>
      <c r="T732" s="31"/>
      <c r="U732" s="30" t="s">
        <v>68</v>
      </c>
      <c r="V732" s="34" t="s">
        <v>70</v>
      </c>
      <c r="W732" s="27" t="s">
        <v>284</v>
      </c>
      <c r="X732" s="30">
        <v>1</v>
      </c>
      <c r="Y732" s="30">
        <v>1</v>
      </c>
      <c r="Z732" s="30">
        <v>1</v>
      </c>
      <c r="AA732" s="30">
        <v>1</v>
      </c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6"/>
      <c r="AS732" s="36"/>
      <c r="AT732" s="36"/>
      <c r="AU732" s="36"/>
      <c r="AV732" s="36"/>
      <c r="AW732" s="36"/>
      <c r="AX732" s="36"/>
      <c r="AY732" s="31" t="s">
        <v>1758</v>
      </c>
      <c r="AZ732" s="30"/>
      <c r="BA732" s="30"/>
      <c r="BB732" s="30" t="s">
        <v>1438</v>
      </c>
      <c r="BC732" s="30"/>
      <c r="BD732" s="30"/>
      <c r="BE732" s="30"/>
      <c r="BF732" s="30"/>
      <c r="BG732" s="30"/>
      <c r="BH732" s="30"/>
      <c r="BI732" s="30"/>
      <c r="BJ732" s="30"/>
      <c r="BK732" s="27"/>
      <c r="BL732" s="27"/>
    </row>
    <row r="733" spans="1:64">
      <c r="A733" s="68" t="s">
        <v>54</v>
      </c>
      <c r="B733" s="26">
        <v>46227</v>
      </c>
      <c r="C733" s="27"/>
      <c r="D733" s="27">
        <v>140108</v>
      </c>
      <c r="E733" s="27" t="s">
        <v>284</v>
      </c>
      <c r="F733" s="27" t="s">
        <v>48</v>
      </c>
      <c r="G733" s="27" t="s">
        <v>110</v>
      </c>
      <c r="H733" s="30" t="s">
        <v>104</v>
      </c>
      <c r="I733" s="31" t="s">
        <v>1801</v>
      </c>
      <c r="J733" s="30" t="s">
        <v>104</v>
      </c>
      <c r="K733" s="27">
        <v>2</v>
      </c>
      <c r="L733" s="27" t="s">
        <v>1802</v>
      </c>
      <c r="M733" s="27"/>
      <c r="N733" s="31" t="s">
        <v>507</v>
      </c>
      <c r="O733" s="27"/>
      <c r="P733" s="30"/>
      <c r="Q733" s="30" t="s">
        <v>66</v>
      </c>
      <c r="R733" s="26">
        <v>46230</v>
      </c>
      <c r="S733" s="27"/>
      <c r="T733" s="31"/>
      <c r="U733" s="30" t="s">
        <v>419</v>
      </c>
      <c r="V733" s="34" t="s">
        <v>90</v>
      </c>
      <c r="W733" s="27" t="s">
        <v>284</v>
      </c>
      <c r="X733" s="30">
        <v>1</v>
      </c>
      <c r="Y733" s="30">
        <v>1</v>
      </c>
      <c r="Z733" s="30">
        <v>1</v>
      </c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6"/>
      <c r="AS733" s="36"/>
      <c r="AT733" s="36"/>
      <c r="AU733" s="36"/>
      <c r="AV733" s="36"/>
      <c r="AW733" s="36"/>
      <c r="AX733" s="36"/>
      <c r="AY733" s="31" t="s">
        <v>1758</v>
      </c>
      <c r="AZ733" s="30"/>
      <c r="BA733" s="30"/>
      <c r="BB733" s="30" t="s">
        <v>1438</v>
      </c>
      <c r="BC733" s="30"/>
      <c r="BD733" s="30"/>
      <c r="BE733" s="30"/>
      <c r="BF733" s="30"/>
      <c r="BG733" s="30"/>
      <c r="BH733" s="30"/>
      <c r="BI733" s="30"/>
      <c r="BJ733" s="30"/>
      <c r="BK733" s="27"/>
      <c r="BL733" s="27"/>
    </row>
    <row r="734" spans="1:64">
      <c r="A734" s="68" t="s">
        <v>54</v>
      </c>
      <c r="B734" s="26">
        <v>46227</v>
      </c>
      <c r="C734" s="27"/>
      <c r="D734" s="27">
        <v>140117</v>
      </c>
      <c r="E734" s="27" t="s">
        <v>284</v>
      </c>
      <c r="F734" s="27" t="s">
        <v>48</v>
      </c>
      <c r="G734" s="27" t="s">
        <v>110</v>
      </c>
      <c r="H734" s="30" t="s">
        <v>104</v>
      </c>
      <c r="I734" s="31" t="s">
        <v>1803</v>
      </c>
      <c r="J734" s="30" t="s">
        <v>104</v>
      </c>
      <c r="K734" s="27">
        <v>1</v>
      </c>
      <c r="L734" s="63" t="s">
        <v>1804</v>
      </c>
      <c r="M734" s="27"/>
      <c r="N734" s="31" t="s">
        <v>507</v>
      </c>
      <c r="O734" s="27"/>
      <c r="P734" s="30"/>
      <c r="Q734" s="30" t="s">
        <v>1805</v>
      </c>
      <c r="R734" s="26">
        <v>46230</v>
      </c>
      <c r="S734" s="26">
        <v>46231</v>
      </c>
      <c r="T734" s="31"/>
      <c r="U734" s="30" t="s">
        <v>68</v>
      </c>
      <c r="V734" s="34" t="s">
        <v>70</v>
      </c>
      <c r="W734" s="27" t="s">
        <v>284</v>
      </c>
      <c r="X734" s="30"/>
      <c r="Y734" s="30"/>
      <c r="Z734" s="30"/>
      <c r="AA734" s="30">
        <v>1</v>
      </c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6"/>
      <c r="AS734" s="36"/>
      <c r="AT734" s="36"/>
      <c r="AU734" s="36"/>
      <c r="AV734" s="36"/>
      <c r="AW734" s="36"/>
      <c r="AX734" s="36"/>
      <c r="AY734" s="31" t="s">
        <v>1758</v>
      </c>
      <c r="AZ734" s="30"/>
      <c r="BA734" s="30"/>
      <c r="BB734" s="30" t="s">
        <v>1438</v>
      </c>
      <c r="BC734" s="30"/>
      <c r="BD734" s="30"/>
      <c r="BE734" s="30"/>
      <c r="BF734" s="30"/>
      <c r="BG734" s="30"/>
      <c r="BH734" s="30"/>
      <c r="BI734" s="30"/>
      <c r="BJ734" s="30"/>
      <c r="BK734" s="27"/>
      <c r="BL734" s="27"/>
    </row>
    <row r="735" spans="1:64">
      <c r="A735" s="68" t="s">
        <v>54</v>
      </c>
      <c r="B735" s="26">
        <v>46227</v>
      </c>
      <c r="C735" s="27"/>
      <c r="D735" s="27">
        <v>140111</v>
      </c>
      <c r="E735" s="27" t="s">
        <v>284</v>
      </c>
      <c r="F735" s="27" t="s">
        <v>48</v>
      </c>
      <c r="G735" s="27" t="s">
        <v>110</v>
      </c>
      <c r="H735" s="30" t="s">
        <v>104</v>
      </c>
      <c r="I735" s="31" t="s">
        <v>1806</v>
      </c>
      <c r="J735" s="30" t="s">
        <v>104</v>
      </c>
      <c r="K735" s="27">
        <v>1</v>
      </c>
      <c r="L735" s="27" t="s">
        <v>1807</v>
      </c>
      <c r="M735" s="27"/>
      <c r="N735" s="31" t="s">
        <v>507</v>
      </c>
      <c r="O735" s="27"/>
      <c r="P735" s="30"/>
      <c r="Q735" s="30" t="s">
        <v>66</v>
      </c>
      <c r="R735" s="26">
        <v>46230</v>
      </c>
      <c r="S735" s="26">
        <v>46231</v>
      </c>
      <c r="T735" s="31"/>
      <c r="U735" s="30" t="s">
        <v>68</v>
      </c>
      <c r="V735" s="34" t="s">
        <v>70</v>
      </c>
      <c r="W735" s="27" t="s">
        <v>284</v>
      </c>
      <c r="X735" s="30">
        <v>1</v>
      </c>
      <c r="Y735" s="30">
        <v>1</v>
      </c>
      <c r="Z735" s="30">
        <v>1</v>
      </c>
      <c r="AA735" s="30">
        <v>1</v>
      </c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6"/>
      <c r="AS735" s="36"/>
      <c r="AT735" s="36"/>
      <c r="AU735" s="36"/>
      <c r="AV735" s="36"/>
      <c r="AW735" s="36"/>
      <c r="AX735" s="36"/>
      <c r="AY735" s="31" t="s">
        <v>1758</v>
      </c>
      <c r="AZ735" s="30"/>
      <c r="BA735" s="30"/>
      <c r="BB735" s="30" t="s">
        <v>1438</v>
      </c>
      <c r="BC735" s="30"/>
      <c r="BD735" s="30"/>
      <c r="BE735" s="30"/>
      <c r="BF735" s="30"/>
      <c r="BG735" s="30"/>
      <c r="BH735" s="30"/>
      <c r="BI735" s="30"/>
      <c r="BJ735" s="30"/>
      <c r="BK735" s="27"/>
      <c r="BL735" s="27"/>
    </row>
    <row r="736" spans="1:64">
      <c r="A736" s="68" t="s">
        <v>54</v>
      </c>
      <c r="B736" s="26">
        <v>46227</v>
      </c>
      <c r="C736" s="27"/>
      <c r="D736" s="27">
        <v>140112</v>
      </c>
      <c r="E736" s="27" t="s">
        <v>284</v>
      </c>
      <c r="F736" s="27" t="s">
        <v>48</v>
      </c>
      <c r="G736" s="27" t="s">
        <v>110</v>
      </c>
      <c r="H736" s="30" t="s">
        <v>246</v>
      </c>
      <c r="I736" s="31" t="s">
        <v>1808</v>
      </c>
      <c r="J736" s="30" t="s">
        <v>246</v>
      </c>
      <c r="K736" s="27">
        <v>1</v>
      </c>
      <c r="L736" s="27" t="s">
        <v>1809</v>
      </c>
      <c r="M736" s="27"/>
      <c r="N736" s="31" t="s">
        <v>318</v>
      </c>
      <c r="O736" s="27"/>
      <c r="P736" s="30"/>
      <c r="Q736" s="30" t="s">
        <v>66</v>
      </c>
      <c r="R736" s="26">
        <v>46234</v>
      </c>
      <c r="S736" s="27"/>
      <c r="T736" s="31"/>
      <c r="U736" s="30" t="s">
        <v>419</v>
      </c>
      <c r="V736" s="34" t="s">
        <v>90</v>
      </c>
      <c r="W736" s="27" t="s">
        <v>284</v>
      </c>
      <c r="X736" s="30">
        <v>1</v>
      </c>
      <c r="Y736" s="30">
        <v>1</v>
      </c>
      <c r="Z736" s="30">
        <v>1</v>
      </c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6"/>
      <c r="AS736" s="36"/>
      <c r="AT736" s="36"/>
      <c r="AU736" s="36"/>
      <c r="AV736" s="36"/>
      <c r="AW736" s="36"/>
      <c r="AX736" s="36"/>
      <c r="AY736" s="31" t="s">
        <v>1789</v>
      </c>
      <c r="AZ736" s="30"/>
      <c r="BA736" s="30" t="s">
        <v>321</v>
      </c>
      <c r="BB736" s="30"/>
      <c r="BC736" s="30"/>
      <c r="BD736" s="31" t="s">
        <v>318</v>
      </c>
      <c r="BE736" s="30"/>
      <c r="BF736" s="30" t="s">
        <v>41</v>
      </c>
      <c r="BG736" s="30"/>
      <c r="BH736" s="30"/>
      <c r="BI736" s="30"/>
      <c r="BJ736" s="30"/>
      <c r="BK736" s="27"/>
      <c r="BL736" s="27"/>
    </row>
    <row r="737" spans="1:64">
      <c r="A737" s="68" t="s">
        <v>54</v>
      </c>
      <c r="B737" s="26">
        <v>46227</v>
      </c>
      <c r="C737" s="27"/>
      <c r="D737" s="27">
        <v>140115</v>
      </c>
      <c r="E737" s="27" t="s">
        <v>284</v>
      </c>
      <c r="F737" s="27" t="s">
        <v>48</v>
      </c>
      <c r="G737" s="27" t="s">
        <v>110</v>
      </c>
      <c r="H737" s="30" t="s">
        <v>246</v>
      </c>
      <c r="I737" s="31" t="s">
        <v>1810</v>
      </c>
      <c r="J737" s="30" t="s">
        <v>246</v>
      </c>
      <c r="K737" s="27">
        <v>1</v>
      </c>
      <c r="L737" s="27" t="s">
        <v>1811</v>
      </c>
      <c r="M737" s="27"/>
      <c r="N737" s="31" t="s">
        <v>115</v>
      </c>
      <c r="O737" s="27"/>
      <c r="P737" s="30"/>
      <c r="Q737" s="30" t="s">
        <v>66</v>
      </c>
      <c r="R737" s="62">
        <v>46237</v>
      </c>
      <c r="S737" s="27"/>
      <c r="T737" s="31"/>
      <c r="U737" s="30" t="s">
        <v>419</v>
      </c>
      <c r="V737" s="34" t="s">
        <v>90</v>
      </c>
      <c r="W737" s="27" t="s">
        <v>284</v>
      </c>
      <c r="X737" s="30">
        <v>3</v>
      </c>
      <c r="Y737" s="30">
        <v>2</v>
      </c>
      <c r="Z737" s="30">
        <v>1</v>
      </c>
      <c r="AA737" s="30"/>
      <c r="AB737" s="30"/>
      <c r="AC737" s="30"/>
      <c r="AD737" s="30" t="s">
        <v>1812</v>
      </c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6"/>
      <c r="AS737" s="36"/>
      <c r="AT737" s="36"/>
      <c r="AU737" s="36"/>
      <c r="AV737" s="36"/>
      <c r="AW737" s="36"/>
      <c r="AX737" s="36"/>
      <c r="AY737" s="31" t="s">
        <v>1789</v>
      </c>
      <c r="AZ737" s="30"/>
      <c r="BA737" s="30" t="s">
        <v>321</v>
      </c>
      <c r="BB737" s="30"/>
      <c r="BC737" s="30"/>
      <c r="BD737" s="31" t="s">
        <v>318</v>
      </c>
      <c r="BE737" s="30"/>
      <c r="BF737" s="30"/>
      <c r="BG737" s="30"/>
      <c r="BH737" s="30"/>
      <c r="BI737" s="30"/>
      <c r="BJ737" s="30"/>
      <c r="BK737" s="27"/>
      <c r="BL737" s="27"/>
    </row>
    <row r="738" spans="1:64">
      <c r="A738" s="68" t="s">
        <v>54</v>
      </c>
      <c r="B738" s="26">
        <v>46227</v>
      </c>
      <c r="C738" s="27"/>
      <c r="D738" s="27">
        <v>140118</v>
      </c>
      <c r="E738" s="27" t="s">
        <v>284</v>
      </c>
      <c r="F738" s="27" t="s">
        <v>48</v>
      </c>
      <c r="G738" s="27" t="s">
        <v>110</v>
      </c>
      <c r="H738" s="30" t="s">
        <v>104</v>
      </c>
      <c r="I738" s="31" t="s">
        <v>1813</v>
      </c>
      <c r="J738" s="30" t="s">
        <v>104</v>
      </c>
      <c r="K738" s="27">
        <v>1</v>
      </c>
      <c r="L738" s="48">
        <v>46057</v>
      </c>
      <c r="M738" s="27"/>
      <c r="N738" s="31" t="s">
        <v>1711</v>
      </c>
      <c r="O738" s="27"/>
      <c r="P738" s="30"/>
      <c r="Q738" s="30" t="s">
        <v>434</v>
      </c>
      <c r="R738" s="26">
        <v>46231</v>
      </c>
      <c r="S738" s="26">
        <v>46231</v>
      </c>
      <c r="T738" s="31"/>
      <c r="U738" s="30" t="s">
        <v>68</v>
      </c>
      <c r="V738" s="34" t="s">
        <v>70</v>
      </c>
      <c r="W738" s="27" t="s">
        <v>284</v>
      </c>
      <c r="X738" s="30"/>
      <c r="Y738" s="30"/>
      <c r="Z738" s="30"/>
      <c r="AA738" s="30">
        <v>1</v>
      </c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6"/>
      <c r="AS738" s="36"/>
      <c r="AT738" s="36"/>
      <c r="AU738" s="36"/>
      <c r="AV738" s="36"/>
      <c r="AW738" s="36"/>
      <c r="AX738" s="36"/>
      <c r="AY738" s="31" t="s">
        <v>1758</v>
      </c>
      <c r="AZ738" s="30"/>
      <c r="BA738" s="30"/>
      <c r="BB738" s="30" t="s">
        <v>154</v>
      </c>
      <c r="BC738" s="30" t="s">
        <v>1712</v>
      </c>
      <c r="BD738" s="30"/>
      <c r="BE738" s="30"/>
      <c r="BF738" s="30"/>
      <c r="BG738" s="30"/>
      <c r="BH738" s="30"/>
      <c r="BI738" s="30"/>
      <c r="BJ738" s="30"/>
      <c r="BK738" s="27"/>
      <c r="BL738" s="27"/>
    </row>
    <row r="739" spans="1:64">
      <c r="A739" s="68" t="s">
        <v>54</v>
      </c>
      <c r="B739" s="26">
        <v>46227</v>
      </c>
      <c r="C739" s="27"/>
      <c r="D739" s="27">
        <v>44640</v>
      </c>
      <c r="E739" s="27" t="s">
        <v>284</v>
      </c>
      <c r="F739" s="27" t="s">
        <v>48</v>
      </c>
      <c r="G739" s="27" t="s">
        <v>110</v>
      </c>
      <c r="H739" s="30" t="s">
        <v>412</v>
      </c>
      <c r="I739" s="31" t="s">
        <v>1445</v>
      </c>
      <c r="J739" s="30" t="s">
        <v>1814</v>
      </c>
      <c r="K739" s="27">
        <v>25</v>
      </c>
      <c r="L739" s="27">
        <v>212</v>
      </c>
      <c r="M739" s="27">
        <v>207</v>
      </c>
      <c r="N739" s="31" t="s">
        <v>95</v>
      </c>
      <c r="O739" s="27"/>
      <c r="P739" s="30"/>
      <c r="Q739" s="30" t="s">
        <v>434</v>
      </c>
      <c r="R739" s="26">
        <v>46232</v>
      </c>
      <c r="S739" s="26">
        <v>46234</v>
      </c>
      <c r="T739" s="31"/>
      <c r="U739" s="30" t="s">
        <v>68</v>
      </c>
      <c r="V739" s="34" t="s">
        <v>70</v>
      </c>
      <c r="W739" s="27" t="s">
        <v>284</v>
      </c>
      <c r="X739" s="30">
        <v>1</v>
      </c>
      <c r="Y739" s="30">
        <v>1</v>
      </c>
      <c r="Z739" s="30">
        <v>1</v>
      </c>
      <c r="AA739" s="30">
        <v>1</v>
      </c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6"/>
      <c r="AS739" s="36"/>
      <c r="AT739" s="36"/>
      <c r="AU739" s="36"/>
      <c r="AV739" s="36"/>
      <c r="AW739" s="36"/>
      <c r="AX739" s="36"/>
      <c r="AY739" s="31" t="s">
        <v>1758</v>
      </c>
      <c r="AZ739" s="30"/>
      <c r="BA739" s="30"/>
      <c r="BB739" s="30" t="s">
        <v>69</v>
      </c>
      <c r="BC739" s="30" t="s">
        <v>95</v>
      </c>
      <c r="BD739" s="30" t="s">
        <v>41</v>
      </c>
      <c r="BE739" s="30"/>
      <c r="BF739" s="30"/>
      <c r="BG739" s="30"/>
      <c r="BH739" s="30"/>
      <c r="BI739" s="30"/>
      <c r="BJ739" s="30"/>
      <c r="BK739" s="27"/>
      <c r="BL739" s="27"/>
    </row>
    <row r="740" spans="1:64">
      <c r="A740" s="68" t="s">
        <v>54</v>
      </c>
      <c r="B740" s="26">
        <v>46227</v>
      </c>
      <c r="C740" s="27"/>
      <c r="D740" s="27">
        <v>44967</v>
      </c>
      <c r="E740" s="27" t="s">
        <v>284</v>
      </c>
      <c r="F740" s="27" t="s">
        <v>48</v>
      </c>
      <c r="G740" s="27" t="s">
        <v>110</v>
      </c>
      <c r="H740" s="30" t="s">
        <v>843</v>
      </c>
      <c r="I740" s="31" t="s">
        <v>1815</v>
      </c>
      <c r="J740" s="30" t="s">
        <v>1816</v>
      </c>
      <c r="K740" s="27">
        <v>3</v>
      </c>
      <c r="L740" s="27">
        <v>46</v>
      </c>
      <c r="M740" s="27"/>
      <c r="N740" s="31" t="s">
        <v>247</v>
      </c>
      <c r="O740" s="27"/>
      <c r="P740" s="30"/>
      <c r="Q740" s="30" t="s">
        <v>66</v>
      </c>
      <c r="R740" s="26">
        <v>46230</v>
      </c>
      <c r="S740" s="26">
        <v>46234</v>
      </c>
      <c r="T740" s="31"/>
      <c r="U740" s="30" t="s">
        <v>68</v>
      </c>
      <c r="V740" s="34" t="s">
        <v>70</v>
      </c>
      <c r="W740" s="27" t="s">
        <v>284</v>
      </c>
      <c r="X740" s="30">
        <v>1</v>
      </c>
      <c r="Y740" s="30">
        <v>1</v>
      </c>
      <c r="Z740" s="30">
        <v>1</v>
      </c>
      <c r="AA740" s="30">
        <v>1</v>
      </c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6"/>
      <c r="AS740" s="36"/>
      <c r="AT740" s="36"/>
      <c r="AU740" s="36"/>
      <c r="AV740" s="36"/>
      <c r="AW740" s="36"/>
      <c r="AX740" s="36"/>
      <c r="AY740" s="31" t="s">
        <v>1789</v>
      </c>
      <c r="AZ740" s="30"/>
      <c r="BA740" s="30"/>
      <c r="BB740" s="30" t="s">
        <v>251</v>
      </c>
      <c r="BC740" s="30"/>
      <c r="BD740" s="30"/>
      <c r="BE740" s="30"/>
      <c r="BF740" s="30"/>
      <c r="BG740" s="30"/>
      <c r="BH740" s="30"/>
      <c r="BI740" s="30"/>
      <c r="BJ740" s="30"/>
      <c r="BK740" s="27"/>
      <c r="BL740" s="27"/>
    </row>
    <row r="741" spans="1:64">
      <c r="A741" s="68" t="s">
        <v>54</v>
      </c>
      <c r="B741" s="26">
        <v>46227</v>
      </c>
      <c r="C741" s="27"/>
      <c r="D741" s="27">
        <v>45010</v>
      </c>
      <c r="E741" s="27" t="s">
        <v>284</v>
      </c>
      <c r="F741" s="27" t="s">
        <v>48</v>
      </c>
      <c r="G741" s="27" t="s">
        <v>110</v>
      </c>
      <c r="H741" s="30" t="s">
        <v>1818</v>
      </c>
      <c r="I741" s="31" t="s">
        <v>1819</v>
      </c>
      <c r="J741" s="30" t="s">
        <v>1820</v>
      </c>
      <c r="K741" s="27">
        <v>5</v>
      </c>
      <c r="L741" s="27">
        <v>48</v>
      </c>
      <c r="M741" s="27"/>
      <c r="N741" s="31" t="s">
        <v>247</v>
      </c>
      <c r="O741" s="27"/>
      <c r="P741" s="30"/>
      <c r="Q741" s="30" t="s">
        <v>66</v>
      </c>
      <c r="R741" s="26">
        <v>46231</v>
      </c>
      <c r="S741" s="26">
        <v>46234</v>
      </c>
      <c r="T741" s="31"/>
      <c r="U741" s="30" t="s">
        <v>68</v>
      </c>
      <c r="V741" s="34" t="s">
        <v>70</v>
      </c>
      <c r="W741" s="27" t="s">
        <v>284</v>
      </c>
      <c r="X741" s="30">
        <v>1</v>
      </c>
      <c r="Y741" s="30">
        <v>1</v>
      </c>
      <c r="Z741" s="30">
        <v>1</v>
      </c>
      <c r="AA741" s="30">
        <v>1</v>
      </c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6"/>
      <c r="AS741" s="36"/>
      <c r="AT741" s="36"/>
      <c r="AU741" s="36"/>
      <c r="AV741" s="36"/>
      <c r="AW741" s="36"/>
      <c r="AX741" s="36"/>
      <c r="AY741" s="31" t="s">
        <v>1789</v>
      </c>
      <c r="AZ741" s="30"/>
      <c r="BA741" s="30"/>
      <c r="BB741" s="30" t="s">
        <v>247</v>
      </c>
      <c r="BC741" s="30" t="s">
        <v>41</v>
      </c>
      <c r="BD741" s="30"/>
      <c r="BE741" s="30"/>
      <c r="BF741" s="30"/>
      <c r="BG741" s="30"/>
      <c r="BH741" s="30"/>
      <c r="BI741" s="30"/>
      <c r="BJ741" s="30"/>
      <c r="BK741" s="27"/>
      <c r="BL741" s="27"/>
    </row>
    <row r="742" spans="1:64">
      <c r="A742" s="68" t="s">
        <v>54</v>
      </c>
      <c r="B742" s="26">
        <v>46227</v>
      </c>
      <c r="C742" s="27"/>
      <c r="D742" s="27">
        <v>44966</v>
      </c>
      <c r="E742" s="27" t="s">
        <v>284</v>
      </c>
      <c r="F742" s="27" t="s">
        <v>48</v>
      </c>
      <c r="G742" s="27" t="s">
        <v>110</v>
      </c>
      <c r="H742" s="30" t="s">
        <v>843</v>
      </c>
      <c r="I742" s="31" t="s">
        <v>1815</v>
      </c>
      <c r="J742" s="30" t="s">
        <v>1816</v>
      </c>
      <c r="K742" s="27">
        <v>1</v>
      </c>
      <c r="L742" s="27">
        <v>200</v>
      </c>
      <c r="M742" s="27"/>
      <c r="N742" s="73" t="s">
        <v>247</v>
      </c>
      <c r="O742" s="27"/>
      <c r="P742" s="30"/>
      <c r="Q742" s="30" t="s">
        <v>66</v>
      </c>
      <c r="R742" s="26">
        <v>46230</v>
      </c>
      <c r="S742" s="26">
        <v>46234</v>
      </c>
      <c r="T742" s="31"/>
      <c r="U742" s="30" t="s">
        <v>68</v>
      </c>
      <c r="V742" s="34" t="s">
        <v>70</v>
      </c>
      <c r="W742" s="27" t="s">
        <v>284</v>
      </c>
      <c r="X742" s="30">
        <v>1</v>
      </c>
      <c r="Y742" s="30">
        <v>1</v>
      </c>
      <c r="Z742" s="30">
        <v>1</v>
      </c>
      <c r="AA742" s="30">
        <v>1</v>
      </c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6"/>
      <c r="AS742" s="36"/>
      <c r="AT742" s="36"/>
      <c r="AU742" s="36"/>
      <c r="AV742" s="36"/>
      <c r="AW742" s="36"/>
      <c r="AX742" s="36"/>
      <c r="AY742" s="73" t="s">
        <v>325</v>
      </c>
      <c r="AZ742" s="30" t="s">
        <v>504</v>
      </c>
      <c r="BA742" s="30"/>
      <c r="BB742" s="30" t="s">
        <v>251</v>
      </c>
      <c r="BC742" s="30"/>
      <c r="BD742" s="30"/>
      <c r="BE742" s="30"/>
      <c r="BF742" s="30"/>
      <c r="BG742" s="30"/>
      <c r="BH742" s="30"/>
      <c r="BI742" s="30"/>
      <c r="BJ742" s="30"/>
      <c r="BK742" s="27"/>
      <c r="BL742" s="27"/>
    </row>
    <row r="743" spans="1:64">
      <c r="A743" s="68" t="s">
        <v>54</v>
      </c>
      <c r="B743" s="26">
        <v>46227</v>
      </c>
      <c r="C743" s="27"/>
      <c r="D743" s="27">
        <v>44964</v>
      </c>
      <c r="E743" s="27" t="s">
        <v>284</v>
      </c>
      <c r="F743" s="27" t="s">
        <v>48</v>
      </c>
      <c r="G743" s="27" t="s">
        <v>110</v>
      </c>
      <c r="H743" s="30" t="s">
        <v>246</v>
      </c>
      <c r="I743" s="31" t="s">
        <v>1823</v>
      </c>
      <c r="J743" s="30" t="s">
        <v>1824</v>
      </c>
      <c r="K743" s="27">
        <v>3</v>
      </c>
      <c r="L743" s="27">
        <v>41</v>
      </c>
      <c r="M743" s="27"/>
      <c r="N743" s="31" t="s">
        <v>318</v>
      </c>
      <c r="O743" s="27"/>
      <c r="P743" s="30"/>
      <c r="Q743" s="30" t="s">
        <v>66</v>
      </c>
      <c r="R743" s="26">
        <v>46233</v>
      </c>
      <c r="S743" s="26">
        <v>46237</v>
      </c>
      <c r="T743" s="31"/>
      <c r="U743" s="30" t="s">
        <v>68</v>
      </c>
      <c r="V743" s="34" t="s">
        <v>70</v>
      </c>
      <c r="W743" s="27" t="s">
        <v>284</v>
      </c>
      <c r="X743" s="30">
        <v>1</v>
      </c>
      <c r="Y743" s="30">
        <v>1</v>
      </c>
      <c r="Z743" s="30">
        <v>1</v>
      </c>
      <c r="AA743" s="30">
        <v>1</v>
      </c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6"/>
      <c r="AS743" s="36"/>
      <c r="AT743" s="36"/>
      <c r="AU743" s="36"/>
      <c r="AV743" s="36"/>
      <c r="AW743" s="36"/>
      <c r="AX743" s="36"/>
      <c r="AY743" s="31" t="s">
        <v>1789</v>
      </c>
      <c r="AZ743" s="30"/>
      <c r="BA743" s="30" t="s">
        <v>321</v>
      </c>
      <c r="BB743" s="30"/>
      <c r="BC743" s="30"/>
      <c r="BD743" s="31" t="s">
        <v>318</v>
      </c>
      <c r="BE743" s="30" t="s">
        <v>41</v>
      </c>
      <c r="BF743" s="30"/>
      <c r="BG743" s="30"/>
      <c r="BH743" s="30"/>
      <c r="BI743" s="30"/>
      <c r="BJ743" s="30"/>
      <c r="BK743" s="27"/>
      <c r="BL743" s="27"/>
    </row>
    <row r="744" spans="1:64">
      <c r="A744" s="68" t="s">
        <v>54</v>
      </c>
      <c r="B744" s="26">
        <v>46227</v>
      </c>
      <c r="C744" s="27"/>
      <c r="D744" s="27">
        <v>44965</v>
      </c>
      <c r="E744" s="27" t="s">
        <v>284</v>
      </c>
      <c r="F744" s="27" t="s">
        <v>48</v>
      </c>
      <c r="G744" s="27" t="s">
        <v>110</v>
      </c>
      <c r="H744" s="30" t="s">
        <v>246</v>
      </c>
      <c r="I744" s="31" t="s">
        <v>1825</v>
      </c>
      <c r="J744" s="30" t="s">
        <v>1824</v>
      </c>
      <c r="K744" s="27">
        <v>1</v>
      </c>
      <c r="L744" s="27">
        <v>250</v>
      </c>
      <c r="M744" s="27"/>
      <c r="N744" s="31" t="s">
        <v>318</v>
      </c>
      <c r="O744" s="27"/>
      <c r="P744" s="30"/>
      <c r="Q744" s="30" t="s">
        <v>66</v>
      </c>
      <c r="R744" s="26">
        <v>46233</v>
      </c>
      <c r="S744" s="26">
        <v>46237</v>
      </c>
      <c r="T744" s="31"/>
      <c r="U744" s="30" t="s">
        <v>68</v>
      </c>
      <c r="V744" s="34" t="s">
        <v>70</v>
      </c>
      <c r="W744" s="27" t="s">
        <v>284</v>
      </c>
      <c r="X744" s="30">
        <v>1</v>
      </c>
      <c r="Y744" s="30">
        <v>1</v>
      </c>
      <c r="Z744" s="30">
        <v>1</v>
      </c>
      <c r="AA744" s="30">
        <v>1</v>
      </c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6"/>
      <c r="AS744" s="36"/>
      <c r="AT744" s="36"/>
      <c r="AU744" s="36"/>
      <c r="AV744" s="36"/>
      <c r="AW744" s="36"/>
      <c r="AX744" s="36"/>
      <c r="AY744" s="31" t="s">
        <v>1789</v>
      </c>
      <c r="AZ744" s="30"/>
      <c r="BA744" s="30" t="s">
        <v>321</v>
      </c>
      <c r="BB744" s="30"/>
      <c r="BC744" s="30"/>
      <c r="BD744" s="31" t="s">
        <v>318</v>
      </c>
      <c r="BE744" s="30" t="s">
        <v>41</v>
      </c>
      <c r="BF744" s="30"/>
      <c r="BG744" s="30"/>
      <c r="BH744" s="30"/>
      <c r="BI744" s="30"/>
      <c r="BJ744" s="30"/>
      <c r="BK744" s="27"/>
      <c r="BL744" s="27"/>
    </row>
    <row r="745" spans="1:64">
      <c r="A745" s="68" t="s">
        <v>54</v>
      </c>
      <c r="B745" s="26">
        <v>46227</v>
      </c>
      <c r="C745" s="27"/>
      <c r="D745" s="27">
        <v>140264</v>
      </c>
      <c r="E745" s="27" t="s">
        <v>284</v>
      </c>
      <c r="F745" s="27" t="s">
        <v>48</v>
      </c>
      <c r="G745" s="27" t="s">
        <v>110</v>
      </c>
      <c r="H745" s="30" t="s">
        <v>575</v>
      </c>
      <c r="I745" s="31" t="s">
        <v>1827</v>
      </c>
      <c r="J745" s="30" t="s">
        <v>1828</v>
      </c>
      <c r="K745" s="27">
        <v>1</v>
      </c>
      <c r="L745" s="27">
        <v>15</v>
      </c>
      <c r="M745" s="27"/>
      <c r="N745" s="31" t="s">
        <v>247</v>
      </c>
      <c r="O745" s="27"/>
      <c r="P745" s="30"/>
      <c r="Q745" s="30" t="s">
        <v>66</v>
      </c>
      <c r="R745" s="26">
        <v>46231</v>
      </c>
      <c r="S745" s="26">
        <v>46234</v>
      </c>
      <c r="T745" s="31"/>
      <c r="U745" s="30" t="s">
        <v>68</v>
      </c>
      <c r="V745" s="34" t="s">
        <v>70</v>
      </c>
      <c r="W745" s="27" t="s">
        <v>284</v>
      </c>
      <c r="X745" s="30">
        <v>1</v>
      </c>
      <c r="Y745" s="30">
        <v>1</v>
      </c>
      <c r="Z745" s="30">
        <v>1</v>
      </c>
      <c r="AA745" s="30">
        <v>1</v>
      </c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6"/>
      <c r="AS745" s="36"/>
      <c r="AT745" s="36"/>
      <c r="AU745" s="36"/>
      <c r="AV745" s="36"/>
      <c r="AW745" s="36"/>
      <c r="AX745" s="36"/>
      <c r="AY745" s="31" t="s">
        <v>1789</v>
      </c>
      <c r="AZ745" s="30"/>
      <c r="BA745" s="30"/>
      <c r="BB745" s="30" t="s">
        <v>247</v>
      </c>
      <c r="BC745" s="30" t="s">
        <v>41</v>
      </c>
      <c r="BD745" s="30"/>
      <c r="BE745" s="30"/>
      <c r="BF745" s="30"/>
      <c r="BG745" s="30"/>
      <c r="BH745" s="30"/>
      <c r="BI745" s="30"/>
      <c r="BJ745" s="30"/>
      <c r="BK745" s="27"/>
      <c r="BL745" s="27"/>
    </row>
    <row r="746" spans="1:64">
      <c r="A746" s="68" t="s">
        <v>54</v>
      </c>
      <c r="B746" s="26">
        <v>46227</v>
      </c>
      <c r="C746" s="27"/>
      <c r="D746" s="27">
        <v>138306</v>
      </c>
      <c r="E746" s="27" t="s">
        <v>284</v>
      </c>
      <c r="F746" s="27" t="s">
        <v>48</v>
      </c>
      <c r="G746" s="27" t="s">
        <v>110</v>
      </c>
      <c r="H746" s="30" t="s">
        <v>104</v>
      </c>
      <c r="I746" s="31" t="s">
        <v>1829</v>
      </c>
      <c r="J746" s="30" t="s">
        <v>1830</v>
      </c>
      <c r="K746" s="27">
        <v>11</v>
      </c>
      <c r="L746" s="27">
        <v>335</v>
      </c>
      <c r="M746" s="27"/>
      <c r="N746" s="73" t="s">
        <v>154</v>
      </c>
      <c r="O746" s="27"/>
      <c r="P746" s="30"/>
      <c r="Q746" s="30" t="s">
        <v>66</v>
      </c>
      <c r="R746" s="26">
        <v>46231</v>
      </c>
      <c r="S746" s="26">
        <v>46232</v>
      </c>
      <c r="T746" s="31"/>
      <c r="U746" s="30" t="s">
        <v>68</v>
      </c>
      <c r="V746" s="34" t="s">
        <v>70</v>
      </c>
      <c r="W746" s="27" t="s">
        <v>284</v>
      </c>
      <c r="X746" s="30">
        <v>1</v>
      </c>
      <c r="Y746" s="30">
        <v>1</v>
      </c>
      <c r="Z746" s="30">
        <v>1</v>
      </c>
      <c r="AA746" s="30">
        <v>1</v>
      </c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6"/>
      <c r="AS746" s="36"/>
      <c r="AT746" s="36"/>
      <c r="AU746" s="36"/>
      <c r="AV746" s="36"/>
      <c r="AW746" s="36"/>
      <c r="AX746" s="36"/>
      <c r="AY746" s="73" t="s">
        <v>325</v>
      </c>
      <c r="AZ746" s="30" t="s">
        <v>504</v>
      </c>
      <c r="BA746" s="30"/>
      <c r="BB746" s="30" t="s">
        <v>69</v>
      </c>
      <c r="BC746" s="30" t="s">
        <v>157</v>
      </c>
      <c r="BD746" s="30"/>
      <c r="BE746" s="30"/>
      <c r="BF746" s="30"/>
      <c r="BG746" s="30"/>
      <c r="BH746" s="30"/>
      <c r="BI746" s="30"/>
      <c r="BJ746" s="30"/>
      <c r="BK746" s="27"/>
      <c r="BL746" s="27"/>
    </row>
    <row r="747" spans="1:64">
      <c r="A747" s="68" t="s">
        <v>54</v>
      </c>
      <c r="B747" s="26">
        <v>46227</v>
      </c>
      <c r="C747" s="27"/>
      <c r="D747" s="27">
        <v>140265</v>
      </c>
      <c r="E747" s="27" t="s">
        <v>284</v>
      </c>
      <c r="F747" s="27" t="s">
        <v>48</v>
      </c>
      <c r="G747" s="27" t="s">
        <v>110</v>
      </c>
      <c r="H747" s="30" t="s">
        <v>1013</v>
      </c>
      <c r="I747" s="31" t="s">
        <v>1831</v>
      </c>
      <c r="J747" s="30" t="s">
        <v>1832</v>
      </c>
      <c r="K747" s="27">
        <v>2</v>
      </c>
      <c r="L747" s="27">
        <v>110</v>
      </c>
      <c r="M747" s="27"/>
      <c r="N747" s="31" t="s">
        <v>455</v>
      </c>
      <c r="O747" s="27"/>
      <c r="P747" s="30"/>
      <c r="Q747" s="30" t="s">
        <v>66</v>
      </c>
      <c r="R747" s="26">
        <v>46231</v>
      </c>
      <c r="S747" s="26">
        <v>46233</v>
      </c>
      <c r="T747" s="31"/>
      <c r="U747" s="30" t="s">
        <v>68</v>
      </c>
      <c r="V747" s="34" t="s">
        <v>70</v>
      </c>
      <c r="W747" s="27" t="s">
        <v>284</v>
      </c>
      <c r="X747" s="30">
        <v>1</v>
      </c>
      <c r="Y747" s="30">
        <v>1</v>
      </c>
      <c r="Z747" s="30">
        <v>1</v>
      </c>
      <c r="AA747" s="30">
        <v>1</v>
      </c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6"/>
      <c r="AS747" s="36"/>
      <c r="AT747" s="36"/>
      <c r="AU747" s="36"/>
      <c r="AV747" s="36"/>
      <c r="AW747" s="36"/>
      <c r="AX747" s="36"/>
      <c r="AY747" s="31" t="s">
        <v>325</v>
      </c>
      <c r="AZ747" s="31" t="s">
        <v>733</v>
      </c>
      <c r="BA747" s="30"/>
      <c r="BB747" s="30" t="s">
        <v>69</v>
      </c>
      <c r="BC747" s="30" t="s">
        <v>583</v>
      </c>
      <c r="BD747" s="30"/>
      <c r="BE747" s="30"/>
      <c r="BF747" s="30"/>
      <c r="BG747" s="30"/>
      <c r="BH747" s="30"/>
      <c r="BI747" s="30"/>
      <c r="BJ747" s="30"/>
      <c r="BK747" s="27"/>
      <c r="BL747" s="27"/>
    </row>
    <row r="748" spans="1:64">
      <c r="A748" s="68" t="s">
        <v>54</v>
      </c>
      <c r="B748" s="26">
        <v>46227</v>
      </c>
      <c r="C748" s="27"/>
      <c r="D748" s="27">
        <v>140312</v>
      </c>
      <c r="E748" s="27" t="s">
        <v>284</v>
      </c>
      <c r="F748" s="27" t="s">
        <v>48</v>
      </c>
      <c r="G748" s="27" t="s">
        <v>110</v>
      </c>
      <c r="H748" s="30" t="s">
        <v>29</v>
      </c>
      <c r="I748" s="31" t="s">
        <v>1833</v>
      </c>
      <c r="J748" s="30" t="s">
        <v>29</v>
      </c>
      <c r="K748" s="27">
        <v>13</v>
      </c>
      <c r="L748" s="27">
        <v>156</v>
      </c>
      <c r="M748" s="27" t="s">
        <v>1834</v>
      </c>
      <c r="N748" s="31" t="s">
        <v>247</v>
      </c>
      <c r="O748" s="27"/>
      <c r="P748" s="30"/>
      <c r="Q748" s="30" t="s">
        <v>66</v>
      </c>
      <c r="R748" s="26">
        <v>46230</v>
      </c>
      <c r="S748" s="27"/>
      <c r="T748" s="31"/>
      <c r="U748" s="30" t="s">
        <v>1121</v>
      </c>
      <c r="V748" s="34" t="s">
        <v>1122</v>
      </c>
      <c r="W748" s="27" t="s">
        <v>284</v>
      </c>
      <c r="X748" s="30">
        <v>1</v>
      </c>
      <c r="Y748" s="30">
        <v>1</v>
      </c>
      <c r="Z748" s="30">
        <v>1</v>
      </c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6"/>
      <c r="AS748" s="36"/>
      <c r="AT748" s="36"/>
      <c r="AU748" s="36"/>
      <c r="AV748" s="36"/>
      <c r="AW748" s="36"/>
      <c r="AX748" s="36"/>
      <c r="AY748" s="31" t="s">
        <v>1789</v>
      </c>
      <c r="AZ748" s="30"/>
      <c r="BA748" s="30"/>
      <c r="BB748" s="30" t="s">
        <v>251</v>
      </c>
      <c r="BC748" s="30"/>
      <c r="BD748" s="30"/>
      <c r="BE748" s="30"/>
      <c r="BF748" s="30"/>
      <c r="BG748" s="30"/>
      <c r="BH748" s="30"/>
      <c r="BI748" s="30"/>
      <c r="BJ748" s="30"/>
      <c r="BK748" s="27"/>
      <c r="BL748" s="27"/>
    </row>
    <row r="749" spans="1:64">
      <c r="A749" s="68" t="s">
        <v>54</v>
      </c>
      <c r="B749" s="26">
        <v>46227</v>
      </c>
      <c r="C749" s="27"/>
      <c r="D749" s="27">
        <v>140313</v>
      </c>
      <c r="E749" s="27" t="s">
        <v>284</v>
      </c>
      <c r="F749" s="27" t="s">
        <v>48</v>
      </c>
      <c r="G749" s="27" t="s">
        <v>110</v>
      </c>
      <c r="H749" s="30" t="s">
        <v>104</v>
      </c>
      <c r="I749" s="30" t="s">
        <v>1835</v>
      </c>
      <c r="J749" s="30" t="s">
        <v>104</v>
      </c>
      <c r="K749" s="27">
        <v>214</v>
      </c>
      <c r="L749" s="27" t="s">
        <v>1836</v>
      </c>
      <c r="M749" s="27"/>
      <c r="N749" s="31" t="s">
        <v>81</v>
      </c>
      <c r="O749" s="27"/>
      <c r="P749" s="30"/>
      <c r="Q749" s="30" t="s">
        <v>66</v>
      </c>
      <c r="R749" s="26">
        <v>46230</v>
      </c>
      <c r="S749" s="26">
        <v>46232</v>
      </c>
      <c r="T749" s="31"/>
      <c r="U749" s="30" t="s">
        <v>68</v>
      </c>
      <c r="V749" s="34" t="s">
        <v>70</v>
      </c>
      <c r="W749" s="27" t="s">
        <v>284</v>
      </c>
      <c r="X749" s="30">
        <v>1</v>
      </c>
      <c r="Y749" s="30">
        <v>1</v>
      </c>
      <c r="Z749" s="30">
        <v>1</v>
      </c>
      <c r="AA749" s="30">
        <v>1</v>
      </c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6"/>
      <c r="AS749" s="36"/>
      <c r="AT749" s="36"/>
      <c r="AU749" s="36"/>
      <c r="AV749" s="36"/>
      <c r="AW749" s="36"/>
      <c r="AX749" s="36"/>
      <c r="AY749" s="31" t="s">
        <v>1758</v>
      </c>
      <c r="AZ749" s="30"/>
      <c r="BA749" s="30"/>
      <c r="BB749" s="30" t="s">
        <v>1837</v>
      </c>
      <c r="BC749" s="30"/>
      <c r="BD749" s="30"/>
      <c r="BE749" s="30"/>
      <c r="BF749" s="30"/>
      <c r="BG749" s="30"/>
      <c r="BH749" s="30"/>
      <c r="BI749" s="30"/>
      <c r="BJ749" s="30"/>
      <c r="BK749" s="27"/>
      <c r="BL749" s="27"/>
    </row>
    <row r="750" spans="1:64">
      <c r="A750" s="68" t="s">
        <v>54</v>
      </c>
      <c r="B750" s="26">
        <v>46227</v>
      </c>
      <c r="C750" s="27"/>
      <c r="D750" s="27">
        <v>140311</v>
      </c>
      <c r="E750" s="27" t="s">
        <v>284</v>
      </c>
      <c r="F750" s="27" t="s">
        <v>48</v>
      </c>
      <c r="G750" s="27" t="s">
        <v>110</v>
      </c>
      <c r="H750" s="30" t="s">
        <v>246</v>
      </c>
      <c r="I750" s="31" t="s">
        <v>1838</v>
      </c>
      <c r="J750" s="30" t="s">
        <v>246</v>
      </c>
      <c r="K750" s="27">
        <v>190</v>
      </c>
      <c r="L750" s="27">
        <v>2.2799999999999998</v>
      </c>
      <c r="M750" s="63">
        <v>1455</v>
      </c>
      <c r="N750" s="31" t="s">
        <v>247</v>
      </c>
      <c r="O750" s="27"/>
      <c r="P750" s="30"/>
      <c r="Q750" s="30" t="s">
        <v>66</v>
      </c>
      <c r="R750" s="26">
        <v>46233</v>
      </c>
      <c r="S750" s="26">
        <v>46241</v>
      </c>
      <c r="T750" s="31"/>
      <c r="U750" s="30" t="s">
        <v>68</v>
      </c>
      <c r="V750" s="34" t="s">
        <v>70</v>
      </c>
      <c r="W750" s="27" t="s">
        <v>284</v>
      </c>
      <c r="X750" s="30">
        <v>1</v>
      </c>
      <c r="Y750" s="30">
        <v>1</v>
      </c>
      <c r="Z750" s="30">
        <v>1</v>
      </c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6"/>
      <c r="AS750" s="36"/>
      <c r="AT750" s="36"/>
      <c r="AU750" s="36"/>
      <c r="AV750" s="36"/>
      <c r="AW750" s="36"/>
      <c r="AX750" s="36"/>
      <c r="AY750" s="31" t="s">
        <v>1789</v>
      </c>
      <c r="AZ750" s="30"/>
      <c r="BA750" s="30" t="s">
        <v>576</v>
      </c>
      <c r="BB750" s="30"/>
      <c r="BC750" s="30"/>
      <c r="BD750" s="30" t="s">
        <v>247</v>
      </c>
      <c r="BE750" s="30" t="s">
        <v>41</v>
      </c>
      <c r="BF750" s="30"/>
      <c r="BG750" s="30"/>
      <c r="BH750" s="30"/>
      <c r="BI750" s="30"/>
      <c r="BJ750" s="30"/>
      <c r="BK750" s="27"/>
      <c r="BL750" s="27"/>
    </row>
    <row r="751" spans="1:64">
      <c r="A751" s="68" t="s">
        <v>54</v>
      </c>
      <c r="B751" s="26">
        <v>46227</v>
      </c>
      <c r="C751" s="27"/>
      <c r="D751" s="27">
        <v>140116</v>
      </c>
      <c r="E751" s="27" t="s">
        <v>284</v>
      </c>
      <c r="F751" s="27" t="s">
        <v>48</v>
      </c>
      <c r="G751" s="27" t="s">
        <v>110</v>
      </c>
      <c r="H751" s="30" t="s">
        <v>104</v>
      </c>
      <c r="I751" s="31" t="s">
        <v>1839</v>
      </c>
      <c r="J751" s="30" t="s">
        <v>104</v>
      </c>
      <c r="K751" s="27">
        <v>1</v>
      </c>
      <c r="L751" s="27">
        <v>0.4</v>
      </c>
      <c r="M751" s="27" t="s">
        <v>1840</v>
      </c>
      <c r="N751" s="31" t="s">
        <v>507</v>
      </c>
      <c r="O751" s="27"/>
      <c r="P751" s="30"/>
      <c r="Q751" s="30" t="s">
        <v>66</v>
      </c>
      <c r="R751" s="26">
        <v>46230</v>
      </c>
      <c r="S751" s="26">
        <v>46231</v>
      </c>
      <c r="T751" s="31"/>
      <c r="U751" s="30" t="s">
        <v>68</v>
      </c>
      <c r="V751" s="34" t="s">
        <v>70</v>
      </c>
      <c r="W751" s="27" t="s">
        <v>284</v>
      </c>
      <c r="X751" s="30">
        <v>1</v>
      </c>
      <c r="Y751" s="30">
        <v>1</v>
      </c>
      <c r="Z751" s="30">
        <v>1</v>
      </c>
      <c r="AA751" s="30">
        <v>1</v>
      </c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6"/>
      <c r="AS751" s="36"/>
      <c r="AT751" s="36"/>
      <c r="AU751" s="36"/>
      <c r="AV751" s="36"/>
      <c r="AW751" s="36"/>
      <c r="AX751" s="36"/>
      <c r="AY751" s="31" t="s">
        <v>1758</v>
      </c>
      <c r="AZ751" s="30"/>
      <c r="BA751" s="30"/>
      <c r="BB751" s="30" t="s">
        <v>1438</v>
      </c>
      <c r="BC751" s="30"/>
      <c r="BD751" s="30"/>
      <c r="BE751" s="30"/>
      <c r="BF751" s="30"/>
      <c r="BG751" s="30"/>
      <c r="BH751" s="30"/>
      <c r="BI751" s="30"/>
      <c r="BJ751" s="30"/>
      <c r="BK751" s="27"/>
      <c r="BL751" s="27"/>
    </row>
    <row r="752" spans="1:64">
      <c r="A752" s="68" t="s">
        <v>54</v>
      </c>
      <c r="B752" s="26">
        <v>46227</v>
      </c>
      <c r="C752" s="27"/>
      <c r="D752" s="27">
        <v>44354</v>
      </c>
      <c r="E752" s="27" t="s">
        <v>284</v>
      </c>
      <c r="F752" s="27" t="s">
        <v>59</v>
      </c>
      <c r="G752" s="27" t="s">
        <v>104</v>
      </c>
      <c r="H752" s="30" t="s">
        <v>447</v>
      </c>
      <c r="I752" s="31" t="s">
        <v>1841</v>
      </c>
      <c r="J752" s="30" t="s">
        <v>1842</v>
      </c>
      <c r="K752" s="27">
        <v>1</v>
      </c>
      <c r="L752" s="27">
        <v>2</v>
      </c>
      <c r="M752" s="27"/>
      <c r="N752" s="31" t="s">
        <v>95</v>
      </c>
      <c r="O752" s="27"/>
      <c r="P752" s="30"/>
      <c r="Q752" s="30" t="s">
        <v>66</v>
      </c>
      <c r="R752" s="26">
        <v>46232</v>
      </c>
      <c r="S752" s="26">
        <v>46234</v>
      </c>
      <c r="T752" s="31"/>
      <c r="U752" s="30" t="s">
        <v>68</v>
      </c>
      <c r="V752" s="34" t="s">
        <v>70</v>
      </c>
      <c r="W752" s="27" t="s">
        <v>284</v>
      </c>
      <c r="X752" s="30">
        <v>1</v>
      </c>
      <c r="Y752" s="30">
        <v>1</v>
      </c>
      <c r="Z752" s="30">
        <v>1</v>
      </c>
      <c r="AA752" s="30">
        <v>1</v>
      </c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6"/>
      <c r="AS752" s="36"/>
      <c r="AT752" s="36"/>
      <c r="AU752" s="36"/>
      <c r="AV752" s="36"/>
      <c r="AW752" s="36"/>
      <c r="AX752" s="36"/>
      <c r="AY752" s="36" t="s">
        <v>69</v>
      </c>
      <c r="AZ752" s="30"/>
      <c r="BA752" s="30"/>
      <c r="BB752" s="30"/>
      <c r="BC752" s="30" t="s">
        <v>95</v>
      </c>
      <c r="BD752" s="30" t="s">
        <v>41</v>
      </c>
      <c r="BE752" s="30"/>
      <c r="BF752" s="30"/>
      <c r="BG752" s="30"/>
      <c r="BH752" s="30"/>
      <c r="BI752" s="30"/>
      <c r="BJ752" s="30"/>
      <c r="BK752" s="27"/>
      <c r="BL752" s="27"/>
    </row>
    <row r="753" spans="1:64">
      <c r="A753" s="68" t="s">
        <v>187</v>
      </c>
      <c r="B753" s="26">
        <v>46227</v>
      </c>
      <c r="C753" s="27"/>
      <c r="D753" s="27">
        <v>13596</v>
      </c>
      <c r="E753" s="27" t="s">
        <v>548</v>
      </c>
      <c r="F753" s="27" t="s">
        <v>48</v>
      </c>
      <c r="G753" s="27" t="s">
        <v>110</v>
      </c>
      <c r="H753" s="30" t="s">
        <v>907</v>
      </c>
      <c r="I753" s="31" t="s">
        <v>1843</v>
      </c>
      <c r="J753" s="30" t="s">
        <v>1844</v>
      </c>
      <c r="K753" s="27">
        <v>11</v>
      </c>
      <c r="L753" s="27"/>
      <c r="M753" s="27"/>
      <c r="N753" s="31"/>
      <c r="O753" s="27" t="s">
        <v>1845</v>
      </c>
      <c r="P753" s="30"/>
      <c r="Q753" s="30" t="s">
        <v>1846</v>
      </c>
      <c r="R753" s="26">
        <v>46232</v>
      </c>
      <c r="S753" s="26">
        <v>46238</v>
      </c>
      <c r="T753" s="31"/>
      <c r="U753" s="30" t="s">
        <v>68</v>
      </c>
      <c r="V753" s="34" t="s">
        <v>70</v>
      </c>
      <c r="W753" s="27" t="s">
        <v>548</v>
      </c>
      <c r="X753" s="30">
        <v>1</v>
      </c>
      <c r="Y753" s="30">
        <v>1</v>
      </c>
      <c r="Z753" s="30">
        <v>1</v>
      </c>
      <c r="AA753" s="30">
        <v>1</v>
      </c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6"/>
      <c r="AS753" s="36"/>
      <c r="AT753" s="36"/>
      <c r="AU753" s="36"/>
      <c r="AV753" s="36"/>
      <c r="AW753" s="36"/>
      <c r="AX753" s="36"/>
      <c r="AY753" s="36"/>
      <c r="AZ753" s="30" t="s">
        <v>1847</v>
      </c>
      <c r="BA753" s="30"/>
      <c r="BB753" s="30" t="s">
        <v>1848</v>
      </c>
      <c r="BC753" s="30"/>
      <c r="BD753" s="30" t="s">
        <v>90</v>
      </c>
      <c r="BE753" s="30"/>
      <c r="BF753" s="30"/>
      <c r="BG753" s="30"/>
      <c r="BH753" s="30"/>
      <c r="BI753" s="30"/>
      <c r="BJ753" s="30"/>
      <c r="BK753" s="27"/>
      <c r="BL753" s="27"/>
    </row>
    <row r="754" spans="1:64">
      <c r="A754" s="68" t="s">
        <v>187</v>
      </c>
      <c r="B754" s="26">
        <v>46227</v>
      </c>
      <c r="C754" s="27"/>
      <c r="D754" s="27">
        <v>13675</v>
      </c>
      <c r="E754" s="27" t="s">
        <v>548</v>
      </c>
      <c r="F754" s="27" t="s">
        <v>48</v>
      </c>
      <c r="G754" s="27" t="s">
        <v>110</v>
      </c>
      <c r="H754" s="30" t="s">
        <v>907</v>
      </c>
      <c r="I754" s="31" t="s">
        <v>1843</v>
      </c>
      <c r="J754" s="30" t="s">
        <v>1844</v>
      </c>
      <c r="K754" s="27">
        <v>49</v>
      </c>
      <c r="L754" s="27"/>
      <c r="M754" s="27"/>
      <c r="N754" s="31"/>
      <c r="O754" s="27" t="s">
        <v>1845</v>
      </c>
      <c r="P754" s="30"/>
      <c r="Q754" s="30" t="s">
        <v>1846</v>
      </c>
      <c r="R754" s="26">
        <v>46232</v>
      </c>
      <c r="S754" s="26">
        <v>46238</v>
      </c>
      <c r="T754" s="31"/>
      <c r="U754" s="30" t="s">
        <v>68</v>
      </c>
      <c r="V754" s="34" t="s">
        <v>70</v>
      </c>
      <c r="W754" s="27" t="s">
        <v>548</v>
      </c>
      <c r="X754" s="30">
        <v>1</v>
      </c>
      <c r="Y754" s="30">
        <v>1</v>
      </c>
      <c r="Z754" s="30">
        <v>1</v>
      </c>
      <c r="AA754" s="30">
        <v>1</v>
      </c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6"/>
      <c r="AS754" s="36"/>
      <c r="AT754" s="36"/>
      <c r="AU754" s="36"/>
      <c r="AV754" s="36"/>
      <c r="AW754" s="36"/>
      <c r="AX754" s="36"/>
      <c r="AY754" s="36"/>
      <c r="AZ754" s="30" t="s">
        <v>1847</v>
      </c>
      <c r="BA754" s="30"/>
      <c r="BB754" s="30" t="s">
        <v>1848</v>
      </c>
      <c r="BC754" s="30"/>
      <c r="BD754" s="30" t="s">
        <v>90</v>
      </c>
      <c r="BE754" s="30"/>
      <c r="BF754" s="30"/>
      <c r="BG754" s="30"/>
      <c r="BH754" s="30"/>
      <c r="BI754" s="30"/>
      <c r="BJ754" s="30"/>
      <c r="BK754" s="27"/>
      <c r="BL754" s="27"/>
    </row>
    <row r="755" spans="1:64">
      <c r="A755" s="68" t="s">
        <v>187</v>
      </c>
      <c r="B755" s="26">
        <v>46227</v>
      </c>
      <c r="C755" s="27"/>
      <c r="D755" s="27">
        <v>13595</v>
      </c>
      <c r="E755" s="27" t="s">
        <v>548</v>
      </c>
      <c r="F755" s="27" t="s">
        <v>48</v>
      </c>
      <c r="G755" s="27" t="s">
        <v>110</v>
      </c>
      <c r="H755" s="30" t="s">
        <v>907</v>
      </c>
      <c r="I755" s="31" t="s">
        <v>1843</v>
      </c>
      <c r="J755" s="30" t="s">
        <v>1844</v>
      </c>
      <c r="K755" s="27">
        <v>8</v>
      </c>
      <c r="L755" s="27"/>
      <c r="M755" s="27"/>
      <c r="N755" s="31"/>
      <c r="O755" s="27" t="s">
        <v>1845</v>
      </c>
      <c r="P755" s="30"/>
      <c r="Q755" s="30" t="s">
        <v>1846</v>
      </c>
      <c r="R755" s="26">
        <v>46232</v>
      </c>
      <c r="S755" s="26">
        <v>46238</v>
      </c>
      <c r="T755" s="31"/>
      <c r="U755" s="30" t="s">
        <v>68</v>
      </c>
      <c r="V755" s="34" t="s">
        <v>70</v>
      </c>
      <c r="W755" s="27" t="s">
        <v>548</v>
      </c>
      <c r="X755" s="30">
        <v>1</v>
      </c>
      <c r="Y755" s="30">
        <v>1</v>
      </c>
      <c r="Z755" s="30">
        <v>1</v>
      </c>
      <c r="AA755" s="30">
        <v>1</v>
      </c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6"/>
      <c r="AS755" s="36"/>
      <c r="AT755" s="36"/>
      <c r="AU755" s="36"/>
      <c r="AV755" s="36"/>
      <c r="AW755" s="36"/>
      <c r="AX755" s="36"/>
      <c r="AY755" s="36"/>
      <c r="AZ755" s="30" t="s">
        <v>1847</v>
      </c>
      <c r="BA755" s="30"/>
      <c r="BB755" s="30" t="s">
        <v>1848</v>
      </c>
      <c r="BC755" s="30"/>
      <c r="BD755" s="30" t="s">
        <v>90</v>
      </c>
      <c r="BE755" s="30"/>
      <c r="BF755" s="30"/>
      <c r="BG755" s="30"/>
      <c r="BH755" s="30"/>
      <c r="BI755" s="30"/>
      <c r="BJ755" s="30"/>
      <c r="BK755" s="27"/>
      <c r="BL755" s="27"/>
    </row>
    <row r="756" spans="1:64">
      <c r="A756" s="68" t="s">
        <v>54</v>
      </c>
      <c r="B756" s="26">
        <v>46228</v>
      </c>
      <c r="C756" s="27"/>
      <c r="D756" s="27">
        <v>60205457</v>
      </c>
      <c r="E756" s="27" t="s">
        <v>333</v>
      </c>
      <c r="F756" s="27" t="s">
        <v>334</v>
      </c>
      <c r="G756" s="27" t="s">
        <v>28</v>
      </c>
      <c r="H756" s="30" t="s">
        <v>804</v>
      </c>
      <c r="I756" s="31" t="s">
        <v>1849</v>
      </c>
      <c r="J756" s="30" t="s">
        <v>1850</v>
      </c>
      <c r="K756" s="27">
        <v>2</v>
      </c>
      <c r="L756" s="27">
        <v>58</v>
      </c>
      <c r="M756" s="27"/>
      <c r="N756" s="31" t="s">
        <v>455</v>
      </c>
      <c r="O756" s="27"/>
      <c r="P756" s="30"/>
      <c r="Q756" s="30" t="s">
        <v>66</v>
      </c>
      <c r="R756" s="26">
        <v>46231</v>
      </c>
      <c r="S756" s="26">
        <v>46233</v>
      </c>
      <c r="T756" s="31"/>
      <c r="U756" s="30" t="s">
        <v>68</v>
      </c>
      <c r="V756" s="34" t="s">
        <v>70</v>
      </c>
      <c r="W756" s="27" t="s">
        <v>336</v>
      </c>
      <c r="X756" s="30">
        <v>1</v>
      </c>
      <c r="Y756" s="30">
        <v>1</v>
      </c>
      <c r="Z756" s="30">
        <v>1</v>
      </c>
      <c r="AA756" s="30">
        <v>1</v>
      </c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6"/>
      <c r="AS756" s="36"/>
      <c r="AT756" s="36"/>
      <c r="AU756" s="36"/>
      <c r="AV756" s="36"/>
      <c r="AW756" s="36"/>
      <c r="AX756" s="36"/>
      <c r="AY756" s="36"/>
      <c r="AZ756" s="30" t="s">
        <v>69</v>
      </c>
      <c r="BA756" s="30"/>
      <c r="BB756" s="30"/>
      <c r="BC756" s="30" t="s">
        <v>583</v>
      </c>
      <c r="BD756" s="30"/>
      <c r="BE756" s="30"/>
      <c r="BF756" s="30"/>
      <c r="BG756" s="30"/>
      <c r="BH756" s="30"/>
      <c r="BI756" s="30"/>
      <c r="BJ756" s="30"/>
      <c r="BK756" s="27"/>
      <c r="BL756" s="27"/>
    </row>
    <row r="757" spans="1:64">
      <c r="A757" s="68" t="s">
        <v>54</v>
      </c>
      <c r="B757" s="26">
        <v>46228</v>
      </c>
      <c r="C757" s="27"/>
      <c r="D757" s="27">
        <v>10221256432</v>
      </c>
      <c r="E757" s="27" t="s">
        <v>333</v>
      </c>
      <c r="F757" s="27" t="s">
        <v>334</v>
      </c>
      <c r="G757" s="27" t="s">
        <v>28</v>
      </c>
      <c r="H757" s="30" t="s">
        <v>412</v>
      </c>
      <c r="I757" s="31" t="s">
        <v>1851</v>
      </c>
      <c r="J757" s="30" t="s">
        <v>1852</v>
      </c>
      <c r="K757" s="27">
        <v>2</v>
      </c>
      <c r="L757" s="27">
        <v>40</v>
      </c>
      <c r="M757" s="27"/>
      <c r="N757" s="31" t="s">
        <v>95</v>
      </c>
      <c r="O757" s="27"/>
      <c r="P757" s="30"/>
      <c r="Q757" s="30" t="s">
        <v>66</v>
      </c>
      <c r="R757" s="26">
        <v>46232</v>
      </c>
      <c r="S757" s="26">
        <v>46234</v>
      </c>
      <c r="T757" s="31"/>
      <c r="U757" s="30" t="s">
        <v>68</v>
      </c>
      <c r="V757" s="34" t="s">
        <v>70</v>
      </c>
      <c r="W757" s="27" t="s">
        <v>336</v>
      </c>
      <c r="X757" s="30">
        <v>1</v>
      </c>
      <c r="Y757" s="30">
        <v>1</v>
      </c>
      <c r="Z757" s="30">
        <v>1</v>
      </c>
      <c r="AA757" s="30">
        <v>1</v>
      </c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6"/>
      <c r="AS757" s="36"/>
      <c r="AT757" s="36"/>
      <c r="AU757" s="36"/>
      <c r="AV757" s="36"/>
      <c r="AW757" s="36"/>
      <c r="AX757" s="36"/>
      <c r="AY757" s="36"/>
      <c r="AZ757" s="30" t="s">
        <v>69</v>
      </c>
      <c r="BA757" s="30"/>
      <c r="BB757" s="30"/>
      <c r="BC757" s="30" t="s">
        <v>95</v>
      </c>
      <c r="BD757" s="30" t="s">
        <v>41</v>
      </c>
      <c r="BE757" s="30"/>
      <c r="BF757" s="30"/>
      <c r="BG757" s="30"/>
      <c r="BH757" s="30"/>
      <c r="BI757" s="30"/>
      <c r="BJ757" s="30"/>
      <c r="BK757" s="27"/>
      <c r="BL757" s="27"/>
    </row>
    <row r="758" spans="1:64">
      <c r="A758" s="68" t="s">
        <v>54</v>
      </c>
      <c r="B758" s="26">
        <v>46228</v>
      </c>
      <c r="C758" s="27">
        <v>28804</v>
      </c>
      <c r="D758" s="27"/>
      <c r="E758" s="27" t="s">
        <v>203</v>
      </c>
      <c r="F758" s="27" t="s">
        <v>59</v>
      </c>
      <c r="G758" s="27" t="s">
        <v>104</v>
      </c>
      <c r="H758" s="30" t="s">
        <v>106</v>
      </c>
      <c r="I758" s="31" t="s">
        <v>1353</v>
      </c>
      <c r="J758" s="30" t="s">
        <v>409</v>
      </c>
      <c r="K758" s="27">
        <v>1</v>
      </c>
      <c r="L758" s="27" t="s">
        <v>214</v>
      </c>
      <c r="M758" s="27"/>
      <c r="N758" s="31" t="s">
        <v>455</v>
      </c>
      <c r="O758" s="27"/>
      <c r="P758" s="30"/>
      <c r="Q758" s="30" t="s">
        <v>66</v>
      </c>
      <c r="R758" s="26">
        <v>46232</v>
      </c>
      <c r="S758" s="26">
        <v>46233</v>
      </c>
      <c r="T758" s="31"/>
      <c r="U758" s="30" t="s">
        <v>68</v>
      </c>
      <c r="V758" s="34" t="s">
        <v>70</v>
      </c>
      <c r="W758" s="27" t="s">
        <v>208</v>
      </c>
      <c r="X758" s="30">
        <v>1</v>
      </c>
      <c r="Y758" s="30">
        <v>1</v>
      </c>
      <c r="Z758" s="30">
        <v>1</v>
      </c>
      <c r="AA758" s="30">
        <v>1</v>
      </c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6"/>
      <c r="AS758" s="36"/>
      <c r="AT758" s="36"/>
      <c r="AU758" s="36"/>
      <c r="AV758" s="36"/>
      <c r="AW758" s="36"/>
      <c r="AX758" s="36"/>
      <c r="AY758" s="36"/>
      <c r="AZ758" s="30" t="s">
        <v>69</v>
      </c>
      <c r="BA758" s="30"/>
      <c r="BB758" s="30"/>
      <c r="BC758" s="30" t="s">
        <v>455</v>
      </c>
      <c r="BD758" s="30" t="s">
        <v>41</v>
      </c>
      <c r="BE758" s="30"/>
      <c r="BF758" s="30"/>
      <c r="BG758" s="30"/>
      <c r="BH758" s="30"/>
      <c r="BI758" s="30"/>
      <c r="BJ758" s="30"/>
      <c r="BK758" s="27"/>
      <c r="BL758" s="27"/>
    </row>
    <row r="759" spans="1:64">
      <c r="A759" s="68" t="s">
        <v>54</v>
      </c>
      <c r="B759" s="26">
        <v>46228</v>
      </c>
      <c r="C759" s="27">
        <v>28806</v>
      </c>
      <c r="D759" s="27"/>
      <c r="E759" s="27" t="s">
        <v>233</v>
      </c>
      <c r="F759" s="27" t="s">
        <v>59</v>
      </c>
      <c r="G759" s="27" t="s">
        <v>104</v>
      </c>
      <c r="H759" s="30" t="s">
        <v>60</v>
      </c>
      <c r="I759" s="31" t="s">
        <v>1853</v>
      </c>
      <c r="J759" s="30" t="s">
        <v>60</v>
      </c>
      <c r="K759" s="27">
        <v>1</v>
      </c>
      <c r="L759" s="27" t="s">
        <v>205</v>
      </c>
      <c r="M759" s="27"/>
      <c r="N759" s="31" t="s">
        <v>81</v>
      </c>
      <c r="O759" s="27"/>
      <c r="P759" s="30"/>
      <c r="Q759" s="30" t="s">
        <v>66</v>
      </c>
      <c r="R759" s="26">
        <v>46230</v>
      </c>
      <c r="S759" s="26">
        <v>46232</v>
      </c>
      <c r="T759" s="31"/>
      <c r="U759" s="30" t="s">
        <v>68</v>
      </c>
      <c r="V759" s="34" t="s">
        <v>70</v>
      </c>
      <c r="W759" s="27" t="s">
        <v>208</v>
      </c>
      <c r="X759" s="30">
        <v>1</v>
      </c>
      <c r="Y759" s="30">
        <v>1</v>
      </c>
      <c r="Z759" s="30">
        <v>1</v>
      </c>
      <c r="AA759" s="30">
        <v>1</v>
      </c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6"/>
      <c r="AS759" s="36"/>
      <c r="AT759" s="36"/>
      <c r="AU759" s="36"/>
      <c r="AV759" s="36"/>
      <c r="AW759" s="36"/>
      <c r="AX759" s="36"/>
      <c r="AY759" s="36"/>
      <c r="AZ759" s="30" t="s">
        <v>69</v>
      </c>
      <c r="BA759" s="30"/>
      <c r="BB759" s="30" t="s">
        <v>88</v>
      </c>
      <c r="BC759" s="30"/>
      <c r="BD759" s="30"/>
      <c r="BE759" s="30"/>
      <c r="BF759" s="30"/>
      <c r="BG759" s="30"/>
      <c r="BH759" s="30"/>
      <c r="BI759" s="30"/>
      <c r="BJ759" s="30"/>
      <c r="BK759" s="27"/>
      <c r="BL759" s="27"/>
    </row>
    <row r="760" spans="1:64">
      <c r="A760" s="68" t="s">
        <v>54</v>
      </c>
      <c r="B760" s="26">
        <v>46228</v>
      </c>
      <c r="C760" s="27">
        <v>28810</v>
      </c>
      <c r="D760" s="27"/>
      <c r="E760" s="27" t="s">
        <v>233</v>
      </c>
      <c r="F760" s="27" t="s">
        <v>59</v>
      </c>
      <c r="G760" s="27" t="s">
        <v>104</v>
      </c>
      <c r="H760" s="30" t="s">
        <v>383</v>
      </c>
      <c r="I760" s="31" t="s">
        <v>1725</v>
      </c>
      <c r="J760" s="30" t="s">
        <v>383</v>
      </c>
      <c r="K760" s="27">
        <v>1</v>
      </c>
      <c r="L760" s="27" t="s">
        <v>205</v>
      </c>
      <c r="M760" s="27"/>
      <c r="N760" s="31" t="s">
        <v>384</v>
      </c>
      <c r="O760" s="27"/>
      <c r="P760" s="30"/>
      <c r="Q760" s="30" t="s">
        <v>1854</v>
      </c>
      <c r="R760" s="26">
        <v>46231</v>
      </c>
      <c r="S760" s="26">
        <v>46231</v>
      </c>
      <c r="T760" s="31"/>
      <c r="U760" s="30" t="s">
        <v>68</v>
      </c>
      <c r="V760" s="34" t="s">
        <v>70</v>
      </c>
      <c r="W760" s="27" t="s">
        <v>208</v>
      </c>
      <c r="X760" s="30">
        <v>1</v>
      </c>
      <c r="Y760" s="30">
        <v>1</v>
      </c>
      <c r="Z760" s="30">
        <v>1</v>
      </c>
      <c r="AA760" s="30">
        <v>1</v>
      </c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6"/>
      <c r="AS760" s="36"/>
      <c r="AT760" s="36"/>
      <c r="AU760" s="36"/>
      <c r="AV760" s="36"/>
      <c r="AW760" s="36"/>
      <c r="AX760" s="36"/>
      <c r="AY760" s="36"/>
      <c r="AZ760" s="30" t="s">
        <v>69</v>
      </c>
      <c r="BA760" s="30"/>
      <c r="BB760" s="30"/>
      <c r="BC760" s="30" t="s">
        <v>1855</v>
      </c>
      <c r="BD760" s="30"/>
      <c r="BE760" s="30"/>
      <c r="BF760" s="30"/>
      <c r="BG760" s="30"/>
      <c r="BH760" s="30"/>
      <c r="BI760" s="30"/>
      <c r="BJ760" s="30"/>
      <c r="BK760" s="27"/>
      <c r="BL760" s="27"/>
    </row>
    <row r="761" spans="1:64">
      <c r="A761" s="68" t="s">
        <v>54</v>
      </c>
      <c r="B761" s="26">
        <v>46228</v>
      </c>
      <c r="C761" s="27">
        <v>28807</v>
      </c>
      <c r="D761" s="27"/>
      <c r="E761" s="27" t="s">
        <v>212</v>
      </c>
      <c r="F761" s="27" t="s">
        <v>59</v>
      </c>
      <c r="G761" s="27" t="s">
        <v>104</v>
      </c>
      <c r="H761" s="30" t="s">
        <v>409</v>
      </c>
      <c r="I761" s="31" t="s">
        <v>463</v>
      </c>
      <c r="J761" s="30" t="s">
        <v>409</v>
      </c>
      <c r="K761" s="27">
        <v>1</v>
      </c>
      <c r="L761" s="27" t="s">
        <v>205</v>
      </c>
      <c r="M761" s="27"/>
      <c r="N761" s="31" t="s">
        <v>455</v>
      </c>
      <c r="O761" s="27"/>
      <c r="P761" s="30"/>
      <c r="Q761" s="30" t="s">
        <v>66</v>
      </c>
      <c r="R761" s="26">
        <v>46232</v>
      </c>
      <c r="S761" s="26">
        <v>46233</v>
      </c>
      <c r="T761" s="31"/>
      <c r="U761" s="30" t="s">
        <v>68</v>
      </c>
      <c r="V761" s="34" t="s">
        <v>70</v>
      </c>
      <c r="W761" s="27" t="s">
        <v>208</v>
      </c>
      <c r="X761" s="30">
        <v>1</v>
      </c>
      <c r="Y761" s="30">
        <v>1</v>
      </c>
      <c r="Z761" s="30">
        <v>1</v>
      </c>
      <c r="AA761" s="30">
        <v>1</v>
      </c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6"/>
      <c r="AS761" s="36"/>
      <c r="AT761" s="36"/>
      <c r="AU761" s="36"/>
      <c r="AV761" s="36"/>
      <c r="AW761" s="36"/>
      <c r="AX761" s="36"/>
      <c r="AY761" s="36"/>
      <c r="AZ761" s="30" t="s">
        <v>69</v>
      </c>
      <c r="BA761" s="30"/>
      <c r="BB761" s="30"/>
      <c r="BC761" s="30" t="s">
        <v>455</v>
      </c>
      <c r="BD761" s="30" t="s">
        <v>41</v>
      </c>
      <c r="BE761" s="30"/>
      <c r="BF761" s="30"/>
      <c r="BG761" s="30"/>
      <c r="BH761" s="30"/>
      <c r="BI761" s="30"/>
      <c r="BJ761" s="30"/>
      <c r="BK761" s="27"/>
      <c r="BL761" s="27"/>
    </row>
    <row r="762" spans="1:64">
      <c r="A762" s="68" t="s">
        <v>54</v>
      </c>
      <c r="B762" s="26">
        <v>46228</v>
      </c>
      <c r="C762" s="27">
        <v>28812</v>
      </c>
      <c r="D762" s="27"/>
      <c r="E762" s="27" t="s">
        <v>233</v>
      </c>
      <c r="F762" s="27" t="s">
        <v>59</v>
      </c>
      <c r="G762" s="27" t="s">
        <v>104</v>
      </c>
      <c r="H762" s="30" t="s">
        <v>309</v>
      </c>
      <c r="I762" s="31" t="s">
        <v>632</v>
      </c>
      <c r="J762" s="30" t="s">
        <v>309</v>
      </c>
      <c r="K762" s="27">
        <v>1</v>
      </c>
      <c r="L762" s="27" t="s">
        <v>205</v>
      </c>
      <c r="M762" s="27"/>
      <c r="N762" s="31" t="s">
        <v>95</v>
      </c>
      <c r="O762" s="27"/>
      <c r="P762" s="30"/>
      <c r="Q762" s="30" t="s">
        <v>66</v>
      </c>
      <c r="R762" s="26">
        <v>46231</v>
      </c>
      <c r="S762" s="26">
        <v>46234</v>
      </c>
      <c r="T762" s="31"/>
      <c r="U762" s="30" t="s">
        <v>68</v>
      </c>
      <c r="V762" s="34" t="s">
        <v>70</v>
      </c>
      <c r="W762" s="27" t="s">
        <v>208</v>
      </c>
      <c r="X762" s="30">
        <v>1</v>
      </c>
      <c r="Y762" s="30">
        <v>1</v>
      </c>
      <c r="Z762" s="30">
        <v>1</v>
      </c>
      <c r="AA762" s="30">
        <v>1</v>
      </c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6"/>
      <c r="AS762" s="36"/>
      <c r="AT762" s="36"/>
      <c r="AU762" s="36"/>
      <c r="AV762" s="36"/>
      <c r="AW762" s="36"/>
      <c r="AX762" s="36"/>
      <c r="AY762" s="36"/>
      <c r="AZ762" s="30" t="s">
        <v>69</v>
      </c>
      <c r="BA762" s="30"/>
      <c r="BB762" s="30"/>
      <c r="BC762" s="30" t="s">
        <v>979</v>
      </c>
      <c r="BD762" s="30"/>
      <c r="BE762" s="30"/>
      <c r="BF762" s="30"/>
      <c r="BG762" s="30"/>
      <c r="BH762" s="30"/>
      <c r="BI762" s="30"/>
      <c r="BJ762" s="30"/>
      <c r="BK762" s="27"/>
      <c r="BL762" s="27"/>
    </row>
    <row r="763" spans="1:64">
      <c r="A763" s="68" t="s">
        <v>54</v>
      </c>
      <c r="B763" s="26">
        <v>46228</v>
      </c>
      <c r="C763" s="27">
        <v>28805</v>
      </c>
      <c r="D763" s="27"/>
      <c r="E763" s="27" t="s">
        <v>212</v>
      </c>
      <c r="F763" s="27" t="s">
        <v>59</v>
      </c>
      <c r="G763" s="27" t="s">
        <v>104</v>
      </c>
      <c r="H763" s="30" t="s">
        <v>538</v>
      </c>
      <c r="I763" s="31" t="s">
        <v>1606</v>
      </c>
      <c r="J763" s="30" t="s">
        <v>538</v>
      </c>
      <c r="K763" s="27">
        <v>1</v>
      </c>
      <c r="L763" s="27" t="s">
        <v>205</v>
      </c>
      <c r="M763" s="27"/>
      <c r="N763" s="31" t="s">
        <v>81</v>
      </c>
      <c r="O763" s="27"/>
      <c r="P763" s="30"/>
      <c r="Q763" s="30" t="s">
        <v>66</v>
      </c>
      <c r="R763" s="26">
        <v>46230</v>
      </c>
      <c r="S763" s="26">
        <v>46232</v>
      </c>
      <c r="T763" s="31"/>
      <c r="U763" s="30" t="s">
        <v>68</v>
      </c>
      <c r="V763" s="34" t="s">
        <v>70</v>
      </c>
      <c r="W763" s="27" t="s">
        <v>208</v>
      </c>
      <c r="X763" s="30">
        <v>1</v>
      </c>
      <c r="Y763" s="30">
        <v>1</v>
      </c>
      <c r="Z763" s="30">
        <v>1</v>
      </c>
      <c r="AA763" s="30">
        <v>1</v>
      </c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6"/>
      <c r="AS763" s="36"/>
      <c r="AT763" s="36"/>
      <c r="AU763" s="36"/>
      <c r="AV763" s="36"/>
      <c r="AW763" s="36"/>
      <c r="AX763" s="36"/>
      <c r="AY763" s="36"/>
      <c r="AZ763" s="30" t="s">
        <v>69</v>
      </c>
      <c r="BA763" s="30"/>
      <c r="BB763" s="30" t="s">
        <v>81</v>
      </c>
      <c r="BC763" s="30" t="s">
        <v>41</v>
      </c>
      <c r="BD763" s="30"/>
      <c r="BE763" s="30"/>
      <c r="BF763" s="30"/>
      <c r="BG763" s="30"/>
      <c r="BH763" s="30"/>
      <c r="BI763" s="30"/>
      <c r="BJ763" s="30"/>
      <c r="BK763" s="27"/>
      <c r="BL763" s="27"/>
    </row>
    <row r="764" spans="1:64">
      <c r="A764" s="68" t="s">
        <v>54</v>
      </c>
      <c r="B764" s="26">
        <v>46228</v>
      </c>
      <c r="C764" s="27">
        <v>28803</v>
      </c>
      <c r="D764" s="27"/>
      <c r="E764" s="27" t="s">
        <v>203</v>
      </c>
      <c r="F764" s="27" t="s">
        <v>59</v>
      </c>
      <c r="G764" s="27" t="s">
        <v>104</v>
      </c>
      <c r="H764" s="30" t="s">
        <v>383</v>
      </c>
      <c r="I764" s="31" t="s">
        <v>1857</v>
      </c>
      <c r="J764" s="30" t="s">
        <v>383</v>
      </c>
      <c r="K764" s="27">
        <v>1</v>
      </c>
      <c r="L764" s="27" t="s">
        <v>214</v>
      </c>
      <c r="M764" s="27"/>
      <c r="N764" s="31" t="s">
        <v>384</v>
      </c>
      <c r="O764" s="27"/>
      <c r="P764" s="30"/>
      <c r="Q764" s="30" t="s">
        <v>1858</v>
      </c>
      <c r="R764" s="26">
        <v>46231</v>
      </c>
      <c r="S764" s="26">
        <v>46231</v>
      </c>
      <c r="T764" s="31"/>
      <c r="U764" s="30" t="s">
        <v>68</v>
      </c>
      <c r="V764" s="34" t="s">
        <v>70</v>
      </c>
      <c r="W764" s="27" t="s">
        <v>208</v>
      </c>
      <c r="X764" s="30">
        <v>1</v>
      </c>
      <c r="Y764" s="30">
        <v>1</v>
      </c>
      <c r="Z764" s="30">
        <v>1</v>
      </c>
      <c r="AA764" s="30">
        <v>1</v>
      </c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6"/>
      <c r="AS764" s="36"/>
      <c r="AT764" s="36"/>
      <c r="AU764" s="36"/>
      <c r="AV764" s="36"/>
      <c r="AW764" s="36"/>
      <c r="AX764" s="36"/>
      <c r="AY764" s="36"/>
      <c r="AZ764" s="30" t="s">
        <v>69</v>
      </c>
      <c r="BA764" s="30"/>
      <c r="BB764" s="30"/>
      <c r="BC764" s="30" t="s">
        <v>1855</v>
      </c>
      <c r="BD764" s="30"/>
      <c r="BE764" s="30"/>
      <c r="BF764" s="30"/>
      <c r="BG764" s="30"/>
      <c r="BH764" s="30"/>
      <c r="BI764" s="30"/>
      <c r="BJ764" s="30"/>
      <c r="BK764" s="27"/>
      <c r="BL764" s="27"/>
    </row>
    <row r="765" spans="1:64">
      <c r="A765" s="68" t="s">
        <v>54</v>
      </c>
      <c r="B765" s="26">
        <v>46228</v>
      </c>
      <c r="C765" s="27">
        <v>28808</v>
      </c>
      <c r="D765" s="27"/>
      <c r="E765" s="27" t="s">
        <v>233</v>
      </c>
      <c r="F765" s="27" t="s">
        <v>59</v>
      </c>
      <c r="G765" s="27" t="s">
        <v>104</v>
      </c>
      <c r="H765" s="30" t="s">
        <v>60</v>
      </c>
      <c r="I765" s="31" t="s">
        <v>1859</v>
      </c>
      <c r="J765" s="30" t="s">
        <v>60</v>
      </c>
      <c r="K765" s="27">
        <v>1</v>
      </c>
      <c r="L765" s="27" t="s">
        <v>205</v>
      </c>
      <c r="M765" s="27"/>
      <c r="N765" s="31" t="s">
        <v>81</v>
      </c>
      <c r="O765" s="27"/>
      <c r="P765" s="30"/>
      <c r="Q765" s="30" t="s">
        <v>66</v>
      </c>
      <c r="R765" s="26">
        <v>46230</v>
      </c>
      <c r="S765" s="26">
        <v>46232</v>
      </c>
      <c r="T765" s="31"/>
      <c r="U765" s="30" t="s">
        <v>68</v>
      </c>
      <c r="V765" s="34" t="s">
        <v>70</v>
      </c>
      <c r="W765" s="27" t="s">
        <v>208</v>
      </c>
      <c r="X765" s="30">
        <v>1</v>
      </c>
      <c r="Y765" s="30">
        <v>1</v>
      </c>
      <c r="Z765" s="30">
        <v>1</v>
      </c>
      <c r="AA765" s="30">
        <v>1</v>
      </c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6"/>
      <c r="AS765" s="36"/>
      <c r="AT765" s="36"/>
      <c r="AU765" s="36"/>
      <c r="AV765" s="36"/>
      <c r="AW765" s="36"/>
      <c r="AX765" s="36"/>
      <c r="AY765" s="36"/>
      <c r="AZ765" s="30" t="s">
        <v>69</v>
      </c>
      <c r="BA765" s="30"/>
      <c r="BB765" s="30" t="s">
        <v>88</v>
      </c>
      <c r="BC765" s="30"/>
      <c r="BD765" s="30"/>
      <c r="BE765" s="30"/>
      <c r="BF765" s="30"/>
      <c r="BG765" s="30"/>
      <c r="BH765" s="30"/>
      <c r="BI765" s="30"/>
      <c r="BJ765" s="30"/>
      <c r="BK765" s="27"/>
      <c r="BL765" s="27"/>
    </row>
    <row r="766" spans="1:64">
      <c r="A766" s="68" t="s">
        <v>54</v>
      </c>
      <c r="B766" s="26">
        <v>46228</v>
      </c>
      <c r="C766" s="27">
        <v>28811</v>
      </c>
      <c r="D766" s="27"/>
      <c r="E766" s="27" t="s">
        <v>233</v>
      </c>
      <c r="F766" s="27" t="s">
        <v>59</v>
      </c>
      <c r="G766" s="27" t="s">
        <v>104</v>
      </c>
      <c r="H766" s="30" t="s">
        <v>378</v>
      </c>
      <c r="I766" s="31" t="s">
        <v>837</v>
      </c>
      <c r="J766" s="30" t="s">
        <v>378</v>
      </c>
      <c r="K766" s="27">
        <v>1</v>
      </c>
      <c r="L766" s="27" t="s">
        <v>205</v>
      </c>
      <c r="M766" s="27"/>
      <c r="N766" s="31" t="s">
        <v>154</v>
      </c>
      <c r="O766" s="27"/>
      <c r="P766" s="30"/>
      <c r="Q766" s="30" t="s">
        <v>66</v>
      </c>
      <c r="R766" s="26">
        <v>46232</v>
      </c>
      <c r="S766" s="26">
        <v>46233</v>
      </c>
      <c r="T766" s="31"/>
      <c r="U766" s="30" t="s">
        <v>68</v>
      </c>
      <c r="V766" s="34" t="s">
        <v>70</v>
      </c>
      <c r="W766" s="27" t="s">
        <v>208</v>
      </c>
      <c r="X766" s="30">
        <v>1</v>
      </c>
      <c r="Y766" s="30">
        <v>1</v>
      </c>
      <c r="Z766" s="30">
        <v>1</v>
      </c>
      <c r="AA766" s="30">
        <v>1</v>
      </c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6"/>
      <c r="AS766" s="36"/>
      <c r="AT766" s="36"/>
      <c r="AU766" s="36"/>
      <c r="AV766" s="36"/>
      <c r="AW766" s="36"/>
      <c r="AX766" s="36"/>
      <c r="AY766" s="36"/>
      <c r="AZ766" s="30" t="s">
        <v>69</v>
      </c>
      <c r="BA766" s="30"/>
      <c r="BB766" s="30"/>
      <c r="BC766" s="30"/>
      <c r="BD766" s="30" t="s">
        <v>157</v>
      </c>
      <c r="BE766" s="30"/>
      <c r="BF766" s="30"/>
      <c r="BG766" s="30"/>
      <c r="BH766" s="30"/>
      <c r="BI766" s="30"/>
      <c r="BJ766" s="30"/>
      <c r="BK766" s="27"/>
      <c r="BL766" s="27"/>
    </row>
    <row r="767" spans="1:64">
      <c r="A767" s="68" t="s">
        <v>54</v>
      </c>
      <c r="B767" s="26">
        <v>46228</v>
      </c>
      <c r="C767" s="27">
        <v>28809</v>
      </c>
      <c r="D767" s="27"/>
      <c r="E767" s="27" t="s">
        <v>233</v>
      </c>
      <c r="F767" s="27" t="s">
        <v>59</v>
      </c>
      <c r="G767" s="27" t="s">
        <v>104</v>
      </c>
      <c r="H767" s="30" t="s">
        <v>365</v>
      </c>
      <c r="I767" s="31" t="s">
        <v>1860</v>
      </c>
      <c r="J767" s="30" t="s">
        <v>60</v>
      </c>
      <c r="K767" s="27">
        <v>1</v>
      </c>
      <c r="L767" s="27" t="s">
        <v>205</v>
      </c>
      <c r="M767" s="27"/>
      <c r="N767" s="31" t="s">
        <v>81</v>
      </c>
      <c r="O767" s="27"/>
      <c r="P767" s="30"/>
      <c r="Q767" s="30" t="s">
        <v>66</v>
      </c>
      <c r="R767" s="26">
        <v>46230</v>
      </c>
      <c r="S767" s="26">
        <v>46232</v>
      </c>
      <c r="T767" s="31"/>
      <c r="U767" s="30" t="s">
        <v>68</v>
      </c>
      <c r="V767" s="34" t="s">
        <v>70</v>
      </c>
      <c r="W767" s="27" t="s">
        <v>208</v>
      </c>
      <c r="X767" s="30">
        <v>1</v>
      </c>
      <c r="Y767" s="30">
        <v>1</v>
      </c>
      <c r="Z767" s="30">
        <v>1</v>
      </c>
      <c r="AA767" s="30">
        <v>1</v>
      </c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6"/>
      <c r="AS767" s="36"/>
      <c r="AT767" s="36"/>
      <c r="AU767" s="36"/>
      <c r="AV767" s="36"/>
      <c r="AW767" s="36"/>
      <c r="AX767" s="36"/>
      <c r="AY767" s="36"/>
      <c r="AZ767" s="30" t="s">
        <v>69</v>
      </c>
      <c r="BA767" s="30"/>
      <c r="BB767" s="30" t="s">
        <v>88</v>
      </c>
      <c r="BC767" s="30"/>
      <c r="BD767" s="30"/>
      <c r="BE767" s="30"/>
      <c r="BF767" s="30"/>
      <c r="BG767" s="30"/>
      <c r="BH767" s="30"/>
      <c r="BI767" s="30"/>
      <c r="BJ767" s="30"/>
      <c r="BK767" s="27"/>
      <c r="BL767" s="27"/>
    </row>
    <row r="768" spans="1:64">
      <c r="A768" s="68" t="s">
        <v>54</v>
      </c>
      <c r="B768" s="26">
        <v>46228</v>
      </c>
      <c r="C768" s="27">
        <v>28813</v>
      </c>
      <c r="D768" s="27"/>
      <c r="E768" s="27" t="s">
        <v>233</v>
      </c>
      <c r="F768" s="27" t="s">
        <v>59</v>
      </c>
      <c r="G768" s="27" t="s">
        <v>104</v>
      </c>
      <c r="H768" s="30" t="s">
        <v>309</v>
      </c>
      <c r="I768" s="31" t="s">
        <v>1861</v>
      </c>
      <c r="J768" s="30" t="s">
        <v>309</v>
      </c>
      <c r="K768" s="27">
        <v>1</v>
      </c>
      <c r="L768" s="27" t="s">
        <v>205</v>
      </c>
      <c r="M768" s="27"/>
      <c r="N768" s="31" t="s">
        <v>95</v>
      </c>
      <c r="O768" s="27"/>
      <c r="P768" s="30"/>
      <c r="Q768" s="30" t="s">
        <v>66</v>
      </c>
      <c r="R768" s="26">
        <v>46231</v>
      </c>
      <c r="S768" s="26">
        <v>46234</v>
      </c>
      <c r="T768" s="31"/>
      <c r="U768" s="30" t="s">
        <v>68</v>
      </c>
      <c r="V768" s="34" t="s">
        <v>70</v>
      </c>
      <c r="W768" s="27" t="s">
        <v>208</v>
      </c>
      <c r="X768" s="30">
        <v>1</v>
      </c>
      <c r="Y768" s="30">
        <v>1</v>
      </c>
      <c r="Z768" s="30">
        <v>1</v>
      </c>
      <c r="AA768" s="30">
        <v>1</v>
      </c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6"/>
      <c r="AS768" s="36"/>
      <c r="AT768" s="36"/>
      <c r="AU768" s="36"/>
      <c r="AV768" s="36"/>
      <c r="AW768" s="36"/>
      <c r="AX768" s="36"/>
      <c r="AY768" s="36"/>
      <c r="AZ768" s="30" t="s">
        <v>69</v>
      </c>
      <c r="BA768" s="30"/>
      <c r="BB768" s="30"/>
      <c r="BC768" s="30" t="s">
        <v>979</v>
      </c>
      <c r="BD768" s="30"/>
      <c r="BE768" s="30"/>
      <c r="BF768" s="30"/>
      <c r="BG768" s="30"/>
      <c r="BH768" s="30"/>
      <c r="BI768" s="30"/>
      <c r="BJ768" s="30"/>
      <c r="BK768" s="27"/>
      <c r="BL768" s="27"/>
    </row>
    <row r="769" spans="1:64">
      <c r="A769" s="68" t="s">
        <v>187</v>
      </c>
      <c r="B769" s="26">
        <v>46228</v>
      </c>
      <c r="C769" s="27">
        <v>29699</v>
      </c>
      <c r="D769" s="27"/>
      <c r="E769" s="27" t="s">
        <v>58</v>
      </c>
      <c r="F769" s="27" t="s">
        <v>59</v>
      </c>
      <c r="G769" s="27" t="s">
        <v>60</v>
      </c>
      <c r="H769" s="30" t="s">
        <v>130</v>
      </c>
      <c r="I769" s="31" t="s">
        <v>990</v>
      </c>
      <c r="J769" s="30" t="s">
        <v>991</v>
      </c>
      <c r="K769" s="27">
        <v>73</v>
      </c>
      <c r="L769" s="27" t="s">
        <v>1862</v>
      </c>
      <c r="M769" s="27"/>
      <c r="N769" s="31" t="s">
        <v>94</v>
      </c>
      <c r="O769" s="27"/>
      <c r="P769" s="30"/>
      <c r="Q769" s="30" t="s">
        <v>66</v>
      </c>
      <c r="R769" s="26">
        <v>46232</v>
      </c>
      <c r="S769" s="26">
        <v>46233</v>
      </c>
      <c r="T769" s="31"/>
      <c r="U769" s="30" t="s">
        <v>68</v>
      </c>
      <c r="V769" s="34" t="s">
        <v>70</v>
      </c>
      <c r="W769" s="27" t="s">
        <v>71</v>
      </c>
      <c r="X769" s="30">
        <v>1</v>
      </c>
      <c r="Y769" s="30">
        <v>1</v>
      </c>
      <c r="Z769" s="30">
        <v>1</v>
      </c>
      <c r="AA769" s="30">
        <v>1</v>
      </c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6"/>
      <c r="AS769" s="36"/>
      <c r="AT769" s="36"/>
      <c r="AU769" s="36"/>
      <c r="AV769" s="36"/>
      <c r="AW769" s="36"/>
      <c r="AX769" s="36"/>
      <c r="AY769" s="36"/>
      <c r="AZ769" s="30" t="s">
        <v>69</v>
      </c>
      <c r="BA769" s="30"/>
      <c r="BB769" s="30" t="s">
        <v>1863</v>
      </c>
      <c r="BC769" s="30"/>
      <c r="BD769" s="30" t="s">
        <v>41</v>
      </c>
      <c r="BE769" s="30"/>
      <c r="BF769" s="30"/>
      <c r="BG769" s="30"/>
      <c r="BH769" s="30"/>
      <c r="BI769" s="30"/>
      <c r="BJ769" s="30"/>
      <c r="BK769" s="27"/>
      <c r="BL769" s="27"/>
    </row>
    <row r="770" spans="1:64">
      <c r="A770" s="68" t="s">
        <v>54</v>
      </c>
      <c r="B770" s="26">
        <v>46228</v>
      </c>
      <c r="C770" s="27"/>
      <c r="D770" s="27">
        <v>139960</v>
      </c>
      <c r="E770" s="27" t="s">
        <v>284</v>
      </c>
      <c r="F770" s="27" t="s">
        <v>59</v>
      </c>
      <c r="G770" s="27" t="s">
        <v>104</v>
      </c>
      <c r="H770" s="30" t="s">
        <v>79</v>
      </c>
      <c r="I770" s="31" t="s">
        <v>1864</v>
      </c>
      <c r="J770" s="30" t="s">
        <v>1865</v>
      </c>
      <c r="K770" s="27">
        <v>2</v>
      </c>
      <c r="L770" s="27">
        <v>2.14</v>
      </c>
      <c r="M770" s="27"/>
      <c r="N770" s="31" t="s">
        <v>455</v>
      </c>
      <c r="O770" s="27"/>
      <c r="P770" s="30"/>
      <c r="Q770" s="30" t="s">
        <v>66</v>
      </c>
      <c r="R770" s="26">
        <v>46232</v>
      </c>
      <c r="S770" s="26">
        <v>46233</v>
      </c>
      <c r="T770" s="31"/>
      <c r="U770" s="30" t="s">
        <v>68</v>
      </c>
      <c r="V770" s="34" t="s">
        <v>70</v>
      </c>
      <c r="W770" s="27" t="s">
        <v>284</v>
      </c>
      <c r="X770" s="30">
        <v>1</v>
      </c>
      <c r="Y770" s="30">
        <v>1</v>
      </c>
      <c r="Z770" s="30">
        <v>1</v>
      </c>
      <c r="AA770" s="30">
        <v>1</v>
      </c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6"/>
      <c r="AS770" s="36"/>
      <c r="AT770" s="36"/>
      <c r="AU770" s="36"/>
      <c r="AV770" s="36"/>
      <c r="AW770" s="36"/>
      <c r="AX770" s="36"/>
      <c r="AY770" s="36"/>
      <c r="AZ770" s="30" t="s">
        <v>69</v>
      </c>
      <c r="BA770" s="30"/>
      <c r="BB770" s="30"/>
      <c r="BC770" s="30" t="s">
        <v>455</v>
      </c>
      <c r="BD770" s="30" t="s">
        <v>41</v>
      </c>
      <c r="BE770" s="30"/>
      <c r="BF770" s="30"/>
      <c r="BG770" s="30"/>
      <c r="BH770" s="30"/>
      <c r="BI770" s="30"/>
      <c r="BJ770" s="30"/>
      <c r="BK770" s="27"/>
      <c r="BL770" s="27"/>
    </row>
    <row r="771" spans="1:64">
      <c r="A771" s="68" t="s">
        <v>54</v>
      </c>
      <c r="B771" s="26">
        <v>46228</v>
      </c>
      <c r="C771" s="27"/>
      <c r="D771" s="27">
        <v>139956</v>
      </c>
      <c r="E771" s="27" t="s">
        <v>284</v>
      </c>
      <c r="F771" s="27" t="s">
        <v>59</v>
      </c>
      <c r="G771" s="27" t="s">
        <v>104</v>
      </c>
      <c r="H771" s="30" t="s">
        <v>293</v>
      </c>
      <c r="I771" s="31" t="s">
        <v>1650</v>
      </c>
      <c r="J771" s="30" t="s">
        <v>1651</v>
      </c>
      <c r="K771" s="27">
        <v>24</v>
      </c>
      <c r="L771" s="27">
        <v>57.055</v>
      </c>
      <c r="M771" s="27"/>
      <c r="N771" s="31" t="s">
        <v>455</v>
      </c>
      <c r="O771" s="27"/>
      <c r="P771" s="30"/>
      <c r="Q771" s="30" t="s">
        <v>66</v>
      </c>
      <c r="R771" s="26">
        <v>46231</v>
      </c>
      <c r="S771" s="26">
        <v>46233</v>
      </c>
      <c r="T771" s="31"/>
      <c r="U771" s="30" t="s">
        <v>68</v>
      </c>
      <c r="V771" s="34" t="s">
        <v>70</v>
      </c>
      <c r="W771" s="27" t="s">
        <v>284</v>
      </c>
      <c r="X771" s="30">
        <v>1</v>
      </c>
      <c r="Y771" s="30">
        <v>1</v>
      </c>
      <c r="Z771" s="30">
        <v>1</v>
      </c>
      <c r="AA771" s="30">
        <v>1</v>
      </c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6"/>
      <c r="AS771" s="36"/>
      <c r="AT771" s="36"/>
      <c r="AU771" s="36"/>
      <c r="AV771" s="36"/>
      <c r="AW771" s="36"/>
      <c r="AX771" s="36"/>
      <c r="AY771" s="36"/>
      <c r="AZ771" s="30" t="s">
        <v>69</v>
      </c>
      <c r="BA771" s="30"/>
      <c r="BB771" s="30" t="s">
        <v>455</v>
      </c>
      <c r="BC771" s="30" t="s">
        <v>41</v>
      </c>
      <c r="BD771" s="30"/>
      <c r="BE771" s="30"/>
      <c r="BF771" s="30"/>
      <c r="BG771" s="30"/>
      <c r="BH771" s="30"/>
      <c r="BI771" s="30"/>
      <c r="BJ771" s="30"/>
      <c r="BK771" s="27"/>
      <c r="BL771" s="27"/>
    </row>
    <row r="772" spans="1:64">
      <c r="A772" s="68" t="s">
        <v>54</v>
      </c>
      <c r="B772" s="26">
        <v>46228</v>
      </c>
      <c r="C772" s="27"/>
      <c r="D772" s="27">
        <v>139962</v>
      </c>
      <c r="E772" s="27" t="s">
        <v>284</v>
      </c>
      <c r="F772" s="27" t="s">
        <v>59</v>
      </c>
      <c r="G772" s="27" t="s">
        <v>104</v>
      </c>
      <c r="H772" s="30" t="s">
        <v>1866</v>
      </c>
      <c r="I772" s="31" t="s">
        <v>1867</v>
      </c>
      <c r="J772" s="30" t="s">
        <v>1868</v>
      </c>
      <c r="K772" s="27">
        <v>4</v>
      </c>
      <c r="L772" s="27">
        <v>23.204999999999998</v>
      </c>
      <c r="M772" s="27"/>
      <c r="N772" s="31" t="s">
        <v>455</v>
      </c>
      <c r="O772" s="27"/>
      <c r="P772" s="30"/>
      <c r="Q772" s="30" t="s">
        <v>66</v>
      </c>
      <c r="R772" s="26">
        <v>46231</v>
      </c>
      <c r="S772" s="26">
        <v>46233</v>
      </c>
      <c r="T772" s="31"/>
      <c r="U772" s="30" t="s">
        <v>68</v>
      </c>
      <c r="V772" s="34" t="s">
        <v>70</v>
      </c>
      <c r="W772" s="27" t="s">
        <v>284</v>
      </c>
      <c r="X772" s="30">
        <v>1</v>
      </c>
      <c r="Y772" s="30">
        <v>1</v>
      </c>
      <c r="Z772" s="30">
        <v>1</v>
      </c>
      <c r="AA772" s="30">
        <v>1</v>
      </c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6"/>
      <c r="AS772" s="36"/>
      <c r="AT772" s="36"/>
      <c r="AU772" s="36"/>
      <c r="AV772" s="36"/>
      <c r="AW772" s="36"/>
      <c r="AX772" s="36"/>
      <c r="AY772" s="36"/>
      <c r="AZ772" s="30" t="s">
        <v>69</v>
      </c>
      <c r="BA772" s="30"/>
      <c r="BB772" s="30" t="s">
        <v>455</v>
      </c>
      <c r="BC772" s="30" t="s">
        <v>41</v>
      </c>
      <c r="BD772" s="30"/>
      <c r="BE772" s="30"/>
      <c r="BF772" s="30"/>
      <c r="BG772" s="30"/>
      <c r="BH772" s="30"/>
      <c r="BI772" s="30"/>
      <c r="BJ772" s="30"/>
      <c r="BK772" s="27"/>
      <c r="BL772" s="27"/>
    </row>
    <row r="773" spans="1:64">
      <c r="A773" s="68" t="s">
        <v>54</v>
      </c>
      <c r="B773" s="26">
        <v>46228</v>
      </c>
      <c r="C773" s="27"/>
      <c r="D773" s="27">
        <v>139957</v>
      </c>
      <c r="E773" s="27" t="s">
        <v>284</v>
      </c>
      <c r="F773" s="27" t="s">
        <v>59</v>
      </c>
      <c r="G773" s="27" t="s">
        <v>104</v>
      </c>
      <c r="H773" s="30" t="s">
        <v>309</v>
      </c>
      <c r="I773" s="31" t="s">
        <v>1869</v>
      </c>
      <c r="J773" s="30" t="s">
        <v>1870</v>
      </c>
      <c r="K773" s="27">
        <v>3</v>
      </c>
      <c r="L773" s="27">
        <v>19.43</v>
      </c>
      <c r="M773" s="27"/>
      <c r="N773" s="31" t="s">
        <v>95</v>
      </c>
      <c r="O773" s="27"/>
      <c r="P773" s="30"/>
      <c r="Q773" s="30" t="s">
        <v>66</v>
      </c>
      <c r="R773" s="26">
        <v>46231</v>
      </c>
      <c r="S773" s="26">
        <v>46234</v>
      </c>
      <c r="T773" s="31"/>
      <c r="U773" s="30" t="s">
        <v>68</v>
      </c>
      <c r="V773" s="34" t="s">
        <v>70</v>
      </c>
      <c r="W773" s="27" t="s">
        <v>284</v>
      </c>
      <c r="X773" s="30">
        <v>1</v>
      </c>
      <c r="Y773" s="30">
        <v>1</v>
      </c>
      <c r="Z773" s="30">
        <v>1</v>
      </c>
      <c r="AA773" s="30">
        <v>1</v>
      </c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6"/>
      <c r="AS773" s="36"/>
      <c r="AT773" s="36"/>
      <c r="AU773" s="36"/>
      <c r="AV773" s="36"/>
      <c r="AW773" s="36"/>
      <c r="AX773" s="36"/>
      <c r="AY773" s="36"/>
      <c r="AZ773" s="30" t="s">
        <v>69</v>
      </c>
      <c r="BA773" s="30"/>
      <c r="BB773" s="30"/>
      <c r="BC773" s="30" t="s">
        <v>979</v>
      </c>
      <c r="BD773" s="30"/>
      <c r="BE773" s="30"/>
      <c r="BF773" s="30"/>
      <c r="BG773" s="30"/>
      <c r="BH773" s="30"/>
      <c r="BI773" s="30"/>
      <c r="BJ773" s="30"/>
      <c r="BK773" s="27"/>
      <c r="BL773" s="27"/>
    </row>
    <row r="774" spans="1:64">
      <c r="A774" s="68" t="s">
        <v>54</v>
      </c>
      <c r="B774" s="26">
        <v>46228</v>
      </c>
      <c r="C774" s="27"/>
      <c r="D774" s="27">
        <v>139954</v>
      </c>
      <c r="E774" s="27" t="s">
        <v>284</v>
      </c>
      <c r="F774" s="27" t="s">
        <v>59</v>
      </c>
      <c r="G774" s="27" t="s">
        <v>104</v>
      </c>
      <c r="H774" s="30" t="s">
        <v>1871</v>
      </c>
      <c r="I774" s="31" t="s">
        <v>532</v>
      </c>
      <c r="J774" s="30" t="s">
        <v>1872</v>
      </c>
      <c r="K774" s="27">
        <v>1</v>
      </c>
      <c r="L774" s="27">
        <v>0.8</v>
      </c>
      <c r="M774" s="27"/>
      <c r="N774" s="31" t="s">
        <v>81</v>
      </c>
      <c r="O774" s="27"/>
      <c r="P774" s="30"/>
      <c r="Q774" s="30" t="s">
        <v>66</v>
      </c>
      <c r="R774" s="26">
        <v>46230</v>
      </c>
      <c r="S774" s="26">
        <v>46232</v>
      </c>
      <c r="T774" s="31"/>
      <c r="U774" s="30" t="s">
        <v>68</v>
      </c>
      <c r="V774" s="34" t="s">
        <v>70</v>
      </c>
      <c r="W774" s="27" t="s">
        <v>284</v>
      </c>
      <c r="X774" s="30">
        <v>1</v>
      </c>
      <c r="Y774" s="30">
        <v>1</v>
      </c>
      <c r="Z774" s="30">
        <v>1</v>
      </c>
      <c r="AA774" s="30">
        <v>1</v>
      </c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6"/>
      <c r="AS774" s="36"/>
      <c r="AT774" s="36"/>
      <c r="AU774" s="36"/>
      <c r="AV774" s="36"/>
      <c r="AW774" s="36"/>
      <c r="AX774" s="36"/>
      <c r="AY774" s="36"/>
      <c r="AZ774" s="30" t="s">
        <v>69</v>
      </c>
      <c r="BA774" s="30"/>
      <c r="BB774" s="30" t="s">
        <v>81</v>
      </c>
      <c r="BC774" s="30" t="s">
        <v>41</v>
      </c>
      <c r="BD774" s="30"/>
      <c r="BE774" s="30"/>
      <c r="BF774" s="30"/>
      <c r="BG774" s="30"/>
      <c r="BH774" s="30"/>
      <c r="BI774" s="30"/>
      <c r="BJ774" s="30"/>
      <c r="BK774" s="27"/>
      <c r="BL774" s="27"/>
    </row>
    <row r="775" spans="1:64">
      <c r="A775" s="68" t="s">
        <v>54</v>
      </c>
      <c r="B775" s="26">
        <v>46228</v>
      </c>
      <c r="C775" s="27"/>
      <c r="D775" s="27">
        <v>139961</v>
      </c>
      <c r="E775" s="27" t="s">
        <v>284</v>
      </c>
      <c r="F775" s="27" t="s">
        <v>59</v>
      </c>
      <c r="G775" s="27" t="s">
        <v>104</v>
      </c>
      <c r="H775" s="30" t="s">
        <v>79</v>
      </c>
      <c r="I775" s="31" t="s">
        <v>1864</v>
      </c>
      <c r="J775" s="30" t="s">
        <v>1865</v>
      </c>
      <c r="K775" s="27">
        <v>3</v>
      </c>
      <c r="L775" s="27">
        <v>3.6349999999999998</v>
      </c>
      <c r="M775" s="27"/>
      <c r="N775" s="31" t="s">
        <v>455</v>
      </c>
      <c r="O775" s="27"/>
      <c r="P775" s="30"/>
      <c r="Q775" s="30" t="s">
        <v>66</v>
      </c>
      <c r="R775" s="26">
        <v>46232</v>
      </c>
      <c r="S775" s="26">
        <v>46233</v>
      </c>
      <c r="T775" s="31"/>
      <c r="U775" s="30" t="s">
        <v>68</v>
      </c>
      <c r="V775" s="34" t="s">
        <v>70</v>
      </c>
      <c r="W775" s="27" t="s">
        <v>284</v>
      </c>
      <c r="X775" s="30">
        <v>1</v>
      </c>
      <c r="Y775" s="30">
        <v>1</v>
      </c>
      <c r="Z775" s="30">
        <v>1</v>
      </c>
      <c r="AA775" s="30">
        <v>1</v>
      </c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6"/>
      <c r="AS775" s="36"/>
      <c r="AT775" s="36"/>
      <c r="AU775" s="36"/>
      <c r="AV775" s="36"/>
      <c r="AW775" s="36"/>
      <c r="AX775" s="36"/>
      <c r="AY775" s="36"/>
      <c r="AZ775" s="30" t="s">
        <v>69</v>
      </c>
      <c r="BA775" s="30"/>
      <c r="BB775" s="30"/>
      <c r="BC775" s="30" t="s">
        <v>455</v>
      </c>
      <c r="BD775" s="30" t="s">
        <v>41</v>
      </c>
      <c r="BE775" s="30"/>
      <c r="BF775" s="30"/>
      <c r="BG775" s="30"/>
      <c r="BH775" s="30"/>
      <c r="BI775" s="30"/>
      <c r="BJ775" s="30"/>
      <c r="BK775" s="27"/>
      <c r="BL775" s="27"/>
    </row>
    <row r="776" spans="1:64">
      <c r="A776" s="68" t="s">
        <v>54</v>
      </c>
      <c r="B776" s="26">
        <v>46228</v>
      </c>
      <c r="C776" s="27"/>
      <c r="D776" s="27">
        <v>139958</v>
      </c>
      <c r="E776" s="27" t="s">
        <v>284</v>
      </c>
      <c r="F776" s="27" t="s">
        <v>59</v>
      </c>
      <c r="G776" s="27" t="s">
        <v>104</v>
      </c>
      <c r="H776" s="30" t="s">
        <v>309</v>
      </c>
      <c r="I776" s="31" t="s">
        <v>1873</v>
      </c>
      <c r="J776" s="30" t="s">
        <v>1874</v>
      </c>
      <c r="K776" s="27">
        <v>4</v>
      </c>
      <c r="L776" s="27">
        <v>17.440000000000001</v>
      </c>
      <c r="M776" s="27"/>
      <c r="N776" s="31" t="s">
        <v>455</v>
      </c>
      <c r="O776" s="27"/>
      <c r="P776" s="30"/>
      <c r="Q776" s="30" t="s">
        <v>66</v>
      </c>
      <c r="R776" s="26">
        <v>46232</v>
      </c>
      <c r="S776" s="26">
        <v>46234</v>
      </c>
      <c r="T776" s="31"/>
      <c r="U776" s="30" t="s">
        <v>68</v>
      </c>
      <c r="V776" s="34" t="s">
        <v>70</v>
      </c>
      <c r="W776" s="27" t="s">
        <v>284</v>
      </c>
      <c r="X776" s="30">
        <v>1</v>
      </c>
      <c r="Y776" s="30">
        <v>1</v>
      </c>
      <c r="Z776" s="30">
        <v>1</v>
      </c>
      <c r="AA776" s="30">
        <v>1</v>
      </c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6"/>
      <c r="AS776" s="36"/>
      <c r="AT776" s="36"/>
      <c r="AU776" s="36"/>
      <c r="AV776" s="36"/>
      <c r="AW776" s="36"/>
      <c r="AX776" s="36"/>
      <c r="AY776" s="36"/>
      <c r="AZ776" s="30" t="s">
        <v>504</v>
      </c>
      <c r="BA776" s="30"/>
      <c r="BB776" s="30" t="s">
        <v>87</v>
      </c>
      <c r="BC776" s="30" t="s">
        <v>455</v>
      </c>
      <c r="BD776" s="30" t="s">
        <v>41</v>
      </c>
      <c r="BE776" s="30"/>
      <c r="BF776" s="30"/>
      <c r="BG776" s="30"/>
      <c r="BH776" s="30"/>
      <c r="BI776" s="30"/>
      <c r="BJ776" s="30"/>
      <c r="BK776" s="27"/>
      <c r="BL776" s="27"/>
    </row>
    <row r="777" spans="1:64">
      <c r="A777" s="68" t="s">
        <v>54</v>
      </c>
      <c r="B777" s="26">
        <v>46228</v>
      </c>
      <c r="C777" s="27"/>
      <c r="D777" s="27">
        <v>140214</v>
      </c>
      <c r="E777" s="27" t="s">
        <v>284</v>
      </c>
      <c r="F777" s="27" t="s">
        <v>48</v>
      </c>
      <c r="G777" s="27" t="s">
        <v>110</v>
      </c>
      <c r="H777" s="30" t="s">
        <v>28</v>
      </c>
      <c r="I777" s="31" t="s">
        <v>1876</v>
      </c>
      <c r="J777" s="30" t="s">
        <v>28</v>
      </c>
      <c r="K777" s="27">
        <v>41</v>
      </c>
      <c r="L777" s="27">
        <v>369</v>
      </c>
      <c r="M777" s="27"/>
      <c r="N777" s="31" t="s">
        <v>836</v>
      </c>
      <c r="O777" s="27"/>
      <c r="P777" s="30"/>
      <c r="Q777" s="30"/>
      <c r="R777" s="27"/>
      <c r="S777" s="27"/>
      <c r="T777" s="31"/>
      <c r="U777" s="30" t="s">
        <v>1121</v>
      </c>
      <c r="V777" s="34" t="s">
        <v>1122</v>
      </c>
      <c r="W777" s="27" t="s">
        <v>284</v>
      </c>
      <c r="X777" s="30"/>
      <c r="Y777" s="30"/>
      <c r="Z777" s="30"/>
      <c r="AA777" s="30">
        <v>1</v>
      </c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6"/>
      <c r="AS777" s="36"/>
      <c r="AT777" s="36"/>
      <c r="AU777" s="36"/>
      <c r="AV777" s="36"/>
      <c r="AW777" s="36"/>
      <c r="AX777" s="36"/>
      <c r="AY777" s="36"/>
      <c r="AZ777" s="30" t="s">
        <v>504</v>
      </c>
      <c r="BA777" s="30"/>
      <c r="BB777" s="30" t="s">
        <v>87</v>
      </c>
      <c r="BC777" s="30" t="s">
        <v>836</v>
      </c>
      <c r="BD777" s="30"/>
      <c r="BE777" s="30"/>
      <c r="BF777" s="30"/>
      <c r="BG777" s="30"/>
      <c r="BH777" s="30"/>
      <c r="BI777" s="30"/>
      <c r="BJ777" s="30"/>
      <c r="BK777" s="27"/>
      <c r="BL777" s="27"/>
    </row>
    <row r="778" spans="1:64">
      <c r="A778" s="68" t="s">
        <v>54</v>
      </c>
      <c r="B778" s="26">
        <v>46228</v>
      </c>
      <c r="C778" s="27"/>
      <c r="D778" s="27">
        <v>45252</v>
      </c>
      <c r="E778" s="27" t="s">
        <v>284</v>
      </c>
      <c r="F778" s="27" t="s">
        <v>48</v>
      </c>
      <c r="G778" s="27" t="s">
        <v>110</v>
      </c>
      <c r="H778" s="30" t="s">
        <v>144</v>
      </c>
      <c r="I778" s="31" t="s">
        <v>1877</v>
      </c>
      <c r="J778" s="30" t="s">
        <v>1878</v>
      </c>
      <c r="K778" s="27">
        <v>2</v>
      </c>
      <c r="L778" s="27">
        <v>14</v>
      </c>
      <c r="M778" s="27"/>
      <c r="N778" s="31" t="s">
        <v>455</v>
      </c>
      <c r="O778" s="27"/>
      <c r="P778" s="30"/>
      <c r="Q778" s="30" t="s">
        <v>66</v>
      </c>
      <c r="R778" s="26">
        <v>46231</v>
      </c>
      <c r="S778" s="26">
        <v>46233</v>
      </c>
      <c r="T778" s="31"/>
      <c r="U778" s="30" t="s">
        <v>68</v>
      </c>
      <c r="V778" s="34" t="s">
        <v>70</v>
      </c>
      <c r="W778" s="27" t="s">
        <v>284</v>
      </c>
      <c r="X778" s="30">
        <v>1</v>
      </c>
      <c r="Y778" s="30">
        <v>1</v>
      </c>
      <c r="Z778" s="30">
        <v>1</v>
      </c>
      <c r="AA778" s="30">
        <v>1</v>
      </c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6"/>
      <c r="AS778" s="36"/>
      <c r="AT778" s="36"/>
      <c r="AU778" s="36"/>
      <c r="AV778" s="36"/>
      <c r="AW778" s="36"/>
      <c r="AX778" s="36"/>
      <c r="AY778" s="36"/>
      <c r="AZ778" s="30" t="s">
        <v>504</v>
      </c>
      <c r="BA778" s="30"/>
      <c r="BB778" s="30" t="s">
        <v>1879</v>
      </c>
      <c r="BC778" s="30" t="s">
        <v>41</v>
      </c>
      <c r="BD778" s="30"/>
      <c r="BE778" s="30"/>
      <c r="BF778" s="30"/>
      <c r="BG778" s="30"/>
      <c r="BH778" s="30"/>
      <c r="BI778" s="30"/>
      <c r="BJ778" s="30"/>
      <c r="BK778" s="27"/>
      <c r="BL778" s="27"/>
    </row>
    <row r="779" spans="1:64">
      <c r="A779" s="68" t="s">
        <v>54</v>
      </c>
      <c r="B779" s="26">
        <v>46228</v>
      </c>
      <c r="C779" s="27"/>
      <c r="D779" s="27">
        <v>140123</v>
      </c>
      <c r="E779" s="27" t="s">
        <v>284</v>
      </c>
      <c r="F779" s="27" t="s">
        <v>48</v>
      </c>
      <c r="G779" s="27" t="s">
        <v>110</v>
      </c>
      <c r="H779" s="30" t="s">
        <v>246</v>
      </c>
      <c r="I779" s="31" t="s">
        <v>1880</v>
      </c>
      <c r="J779" s="30" t="s">
        <v>246</v>
      </c>
      <c r="K779" s="27">
        <v>2</v>
      </c>
      <c r="L779" s="27">
        <v>10</v>
      </c>
      <c r="M779" s="27"/>
      <c r="N779" s="31" t="s">
        <v>318</v>
      </c>
      <c r="O779" s="27"/>
      <c r="P779" s="30"/>
      <c r="Q779" s="30" t="s">
        <v>847</v>
      </c>
      <c r="R779" s="26">
        <v>46233</v>
      </c>
      <c r="S779" s="27"/>
      <c r="T779" s="31" t="s">
        <v>1881</v>
      </c>
      <c r="U779" s="30" t="s">
        <v>1121</v>
      </c>
      <c r="V779" s="34" t="s">
        <v>1122</v>
      </c>
      <c r="W779" s="27" t="s">
        <v>284</v>
      </c>
      <c r="X779" s="30">
        <v>1</v>
      </c>
      <c r="Y779" s="30">
        <v>1</v>
      </c>
      <c r="Z779" s="30">
        <v>1</v>
      </c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6"/>
      <c r="AS779" s="36"/>
      <c r="AT779" s="36"/>
      <c r="AU779" s="36"/>
      <c r="AV779" s="36"/>
      <c r="AW779" s="36"/>
      <c r="AX779" s="36"/>
      <c r="AY779" s="36"/>
      <c r="AZ779" s="30" t="s">
        <v>504</v>
      </c>
      <c r="BA779" s="30" t="s">
        <v>576</v>
      </c>
      <c r="BB779" s="30"/>
      <c r="BC779" s="30"/>
      <c r="BD779" s="30" t="s">
        <v>318</v>
      </c>
      <c r="BE779" s="30" t="s">
        <v>41</v>
      </c>
      <c r="BF779" s="30"/>
      <c r="BG779" s="30"/>
      <c r="BH779" s="30"/>
      <c r="BI779" s="30"/>
      <c r="BJ779" s="30"/>
      <c r="BK779" s="27"/>
      <c r="BL779" s="27"/>
    </row>
    <row r="780" spans="1:64">
      <c r="A780" s="68" t="s">
        <v>54</v>
      </c>
      <c r="B780" s="26">
        <v>46228</v>
      </c>
      <c r="C780" s="27"/>
      <c r="D780" s="27">
        <v>140127</v>
      </c>
      <c r="E780" s="27" t="s">
        <v>284</v>
      </c>
      <c r="F780" s="27" t="s">
        <v>48</v>
      </c>
      <c r="G780" s="27" t="s">
        <v>110</v>
      </c>
      <c r="H780" s="30" t="s">
        <v>246</v>
      </c>
      <c r="I780" s="31" t="s">
        <v>1882</v>
      </c>
      <c r="J780" s="30" t="s">
        <v>246</v>
      </c>
      <c r="K780" s="27">
        <v>6</v>
      </c>
      <c r="L780" s="48">
        <v>46255</v>
      </c>
      <c r="M780" s="27"/>
      <c r="N780" s="31" t="s">
        <v>318</v>
      </c>
      <c r="O780" s="27"/>
      <c r="P780" s="30"/>
      <c r="Q780" s="30" t="s">
        <v>66</v>
      </c>
      <c r="R780" s="26">
        <v>46232</v>
      </c>
      <c r="S780" s="27"/>
      <c r="T780" s="31"/>
      <c r="U780" s="30" t="s">
        <v>419</v>
      </c>
      <c r="V780" s="34" t="s">
        <v>90</v>
      </c>
      <c r="W780" s="27" t="s">
        <v>284</v>
      </c>
      <c r="X780" s="30">
        <v>1</v>
      </c>
      <c r="Y780" s="30">
        <v>1</v>
      </c>
      <c r="Z780" s="30">
        <v>1</v>
      </c>
      <c r="AA780" s="30">
        <v>1</v>
      </c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6"/>
      <c r="AS780" s="36"/>
      <c r="AT780" s="36"/>
      <c r="AU780" s="36"/>
      <c r="AV780" s="36"/>
      <c r="AW780" s="36"/>
      <c r="AX780" s="36"/>
      <c r="AY780" s="36"/>
      <c r="AZ780" s="30" t="s">
        <v>504</v>
      </c>
      <c r="BA780" s="30" t="s">
        <v>576</v>
      </c>
      <c r="BB780" s="30"/>
      <c r="BC780" s="30"/>
      <c r="BD780" s="30" t="s">
        <v>322</v>
      </c>
      <c r="BE780" s="30"/>
      <c r="BF780" s="30"/>
      <c r="BG780" s="30"/>
      <c r="BH780" s="30"/>
      <c r="BI780" s="30"/>
      <c r="BJ780" s="30"/>
      <c r="BK780" s="27"/>
      <c r="BL780" s="27"/>
    </row>
    <row r="781" spans="1:64">
      <c r="A781" s="68" t="s">
        <v>54</v>
      </c>
      <c r="B781" s="26">
        <v>46228</v>
      </c>
      <c r="C781" s="27"/>
      <c r="D781" s="27">
        <v>140122</v>
      </c>
      <c r="E781" s="27" t="s">
        <v>284</v>
      </c>
      <c r="F781" s="27" t="s">
        <v>48</v>
      </c>
      <c r="G781" s="27" t="s">
        <v>110</v>
      </c>
      <c r="H781" s="30" t="s">
        <v>246</v>
      </c>
      <c r="I781" s="31" t="s">
        <v>1883</v>
      </c>
      <c r="J781" s="30" t="s">
        <v>246</v>
      </c>
      <c r="K781" s="27">
        <v>4</v>
      </c>
      <c r="L781" s="74">
        <v>46153</v>
      </c>
      <c r="M781" s="27"/>
      <c r="N781" s="31" t="s">
        <v>318</v>
      </c>
      <c r="O781" s="27"/>
      <c r="P781" s="30"/>
      <c r="Q781" s="30" t="s">
        <v>66</v>
      </c>
      <c r="R781" s="26">
        <v>46232</v>
      </c>
      <c r="S781" s="26">
        <v>46237</v>
      </c>
      <c r="T781" s="31"/>
      <c r="U781" s="30" t="s">
        <v>68</v>
      </c>
      <c r="V781" s="34" t="s">
        <v>70</v>
      </c>
      <c r="W781" s="27" t="s">
        <v>284</v>
      </c>
      <c r="X781" s="30">
        <v>1</v>
      </c>
      <c r="Y781" s="30">
        <v>1</v>
      </c>
      <c r="Z781" s="30">
        <v>1</v>
      </c>
      <c r="AA781" s="30">
        <v>1</v>
      </c>
      <c r="AB781" s="65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6"/>
      <c r="AS781" s="36"/>
      <c r="AT781" s="36"/>
      <c r="AU781" s="36"/>
      <c r="AV781" s="36"/>
      <c r="AW781" s="36"/>
      <c r="AX781" s="36"/>
      <c r="AY781" s="36"/>
      <c r="AZ781" s="30" t="s">
        <v>504</v>
      </c>
      <c r="BA781" s="30" t="s">
        <v>576</v>
      </c>
      <c r="BB781" s="30"/>
      <c r="BC781" s="30"/>
      <c r="BD781" s="30" t="s">
        <v>322</v>
      </c>
      <c r="BE781" s="30"/>
      <c r="BF781" s="30"/>
      <c r="BG781" s="30"/>
      <c r="BH781" s="30"/>
      <c r="BI781" s="30"/>
      <c r="BJ781" s="30"/>
      <c r="BK781" s="27"/>
      <c r="BL781" s="27"/>
    </row>
    <row r="782" spans="1:64">
      <c r="A782" s="68" t="s">
        <v>54</v>
      </c>
      <c r="B782" s="26">
        <v>46228</v>
      </c>
      <c r="C782" s="27"/>
      <c r="D782" s="27">
        <v>140124</v>
      </c>
      <c r="E782" s="27" t="s">
        <v>284</v>
      </c>
      <c r="F782" s="27" t="s">
        <v>48</v>
      </c>
      <c r="G782" s="27" t="s">
        <v>110</v>
      </c>
      <c r="H782" s="30" t="s">
        <v>246</v>
      </c>
      <c r="I782" s="31" t="s">
        <v>1885</v>
      </c>
      <c r="J782" s="30" t="s">
        <v>246</v>
      </c>
      <c r="K782" s="27">
        <v>9</v>
      </c>
      <c r="L782" s="27" t="s">
        <v>1886</v>
      </c>
      <c r="M782" s="27"/>
      <c r="N782" s="31" t="s">
        <v>318</v>
      </c>
      <c r="O782" s="27"/>
      <c r="P782" s="30"/>
      <c r="Q782" s="30" t="s">
        <v>66</v>
      </c>
      <c r="R782" s="26">
        <v>46232</v>
      </c>
      <c r="S782" s="26">
        <v>46237</v>
      </c>
      <c r="T782" s="31"/>
      <c r="U782" s="30" t="s">
        <v>68</v>
      </c>
      <c r="V782" s="34" t="s">
        <v>70</v>
      </c>
      <c r="W782" s="27" t="s">
        <v>284</v>
      </c>
      <c r="X782" s="30">
        <v>1</v>
      </c>
      <c r="Y782" s="30">
        <v>1</v>
      </c>
      <c r="Z782" s="30">
        <v>1</v>
      </c>
      <c r="AA782" s="30">
        <v>1</v>
      </c>
      <c r="AB782" s="65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6"/>
      <c r="AS782" s="36"/>
      <c r="AT782" s="36"/>
      <c r="AU782" s="36"/>
      <c r="AV782" s="36"/>
      <c r="AW782" s="36"/>
      <c r="AX782" s="36"/>
      <c r="AY782" s="36"/>
      <c r="AZ782" s="30" t="s">
        <v>504</v>
      </c>
      <c r="BA782" s="30" t="s">
        <v>576</v>
      </c>
      <c r="BB782" s="30"/>
      <c r="BC782" s="30"/>
      <c r="BD782" s="30" t="s">
        <v>322</v>
      </c>
      <c r="BE782" s="30"/>
      <c r="BF782" s="30"/>
      <c r="BG782" s="30"/>
      <c r="BH782" s="30"/>
      <c r="BI782" s="30"/>
      <c r="BJ782" s="30"/>
      <c r="BK782" s="27"/>
      <c r="BL782" s="27"/>
    </row>
    <row r="783" spans="1:64">
      <c r="A783" s="68" t="s">
        <v>54</v>
      </c>
      <c r="B783" s="26">
        <v>46228</v>
      </c>
      <c r="C783" s="27"/>
      <c r="D783" s="27">
        <v>133483</v>
      </c>
      <c r="E783" s="27" t="s">
        <v>284</v>
      </c>
      <c r="F783" s="27" t="s">
        <v>48</v>
      </c>
      <c r="G783" s="27" t="s">
        <v>110</v>
      </c>
      <c r="H783" s="30" t="s">
        <v>1887</v>
      </c>
      <c r="I783" s="31" t="s">
        <v>1888</v>
      </c>
      <c r="J783" s="30" t="s">
        <v>1887</v>
      </c>
      <c r="K783" s="27">
        <v>1</v>
      </c>
      <c r="L783" s="27">
        <v>9</v>
      </c>
      <c r="M783" s="27"/>
      <c r="N783" s="31" t="s">
        <v>247</v>
      </c>
      <c r="O783" s="27"/>
      <c r="P783" s="30"/>
      <c r="Q783" s="30" t="s">
        <v>66</v>
      </c>
      <c r="R783" s="26">
        <v>46231</v>
      </c>
      <c r="S783" s="26">
        <v>46234</v>
      </c>
      <c r="T783" s="31"/>
      <c r="U783" s="30" t="s">
        <v>68</v>
      </c>
      <c r="V783" s="34" t="s">
        <v>70</v>
      </c>
      <c r="W783" s="27" t="s">
        <v>284</v>
      </c>
      <c r="X783" s="30">
        <v>1</v>
      </c>
      <c r="Y783" s="30">
        <v>1</v>
      </c>
      <c r="Z783" s="30">
        <v>1</v>
      </c>
      <c r="AA783" s="30">
        <v>1</v>
      </c>
      <c r="AB783" s="65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6"/>
      <c r="AS783" s="36"/>
      <c r="AT783" s="36"/>
      <c r="AU783" s="36"/>
      <c r="AV783" s="36"/>
      <c r="AW783" s="36"/>
      <c r="AX783" s="36"/>
      <c r="AY783" s="36"/>
      <c r="AZ783" s="30" t="s">
        <v>504</v>
      </c>
      <c r="BA783" s="30" t="s">
        <v>576</v>
      </c>
      <c r="BB783" s="30" t="s">
        <v>740</v>
      </c>
      <c r="BC783" s="30" t="s">
        <v>41</v>
      </c>
      <c r="BD783" s="30"/>
      <c r="BE783" s="30"/>
      <c r="BF783" s="30"/>
      <c r="BG783" s="30"/>
      <c r="BH783" s="30"/>
      <c r="BI783" s="30"/>
      <c r="BJ783" s="30"/>
      <c r="BK783" s="27"/>
      <c r="BL783" s="27"/>
    </row>
    <row r="784" spans="1:64">
      <c r="A784" s="68" t="s">
        <v>187</v>
      </c>
      <c r="B784" s="26">
        <v>46230</v>
      </c>
      <c r="C784" s="27">
        <v>29703</v>
      </c>
      <c r="D784" s="27"/>
      <c r="E784" s="27" t="s">
        <v>822</v>
      </c>
      <c r="F784" s="27" t="s">
        <v>59</v>
      </c>
      <c r="G784" s="27" t="s">
        <v>28</v>
      </c>
      <c r="H784" s="30" t="s">
        <v>130</v>
      </c>
      <c r="I784" s="31" t="s">
        <v>1889</v>
      </c>
      <c r="J784" s="30" t="s">
        <v>1890</v>
      </c>
      <c r="K784" s="27">
        <v>8</v>
      </c>
      <c r="L784" s="27"/>
      <c r="M784" s="27"/>
      <c r="N784" s="31" t="s">
        <v>94</v>
      </c>
      <c r="O784" s="27"/>
      <c r="P784" s="30"/>
      <c r="Q784" s="30" t="s">
        <v>66</v>
      </c>
      <c r="R784" s="26">
        <v>46231</v>
      </c>
      <c r="S784" s="26">
        <v>46233</v>
      </c>
      <c r="T784" s="31" t="s">
        <v>346</v>
      </c>
      <c r="U784" s="30" t="s">
        <v>68</v>
      </c>
      <c r="V784" s="34" t="s">
        <v>70</v>
      </c>
      <c r="W784" s="27" t="s">
        <v>826</v>
      </c>
      <c r="X784" s="30">
        <v>1</v>
      </c>
      <c r="Y784" s="30">
        <v>1</v>
      </c>
      <c r="Z784" s="30">
        <v>1</v>
      </c>
      <c r="AA784" s="30">
        <v>1</v>
      </c>
      <c r="AB784" s="65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6"/>
      <c r="AS784" s="36"/>
      <c r="AT784" s="36"/>
      <c r="AU784" s="36"/>
      <c r="AV784" s="36"/>
      <c r="AW784" s="36"/>
      <c r="AX784" s="36"/>
      <c r="AY784" s="36"/>
      <c r="AZ784" s="30"/>
      <c r="BA784" s="30"/>
      <c r="BB784" s="30" t="s">
        <v>1256</v>
      </c>
      <c r="BC784" s="30" t="s">
        <v>41</v>
      </c>
      <c r="BD784" s="30"/>
      <c r="BE784" s="30"/>
      <c r="BF784" s="30"/>
      <c r="BG784" s="30"/>
      <c r="BH784" s="30"/>
      <c r="BI784" s="30"/>
      <c r="BJ784" s="30"/>
      <c r="BK784" s="27"/>
      <c r="BL784" s="27"/>
    </row>
    <row r="785" spans="1:64">
      <c r="A785" s="68" t="s">
        <v>54</v>
      </c>
      <c r="B785" s="26">
        <v>46230</v>
      </c>
      <c r="C785" s="27">
        <v>29701</v>
      </c>
      <c r="D785" s="27"/>
      <c r="E785" s="27" t="s">
        <v>822</v>
      </c>
      <c r="F785" s="27" t="s">
        <v>59</v>
      </c>
      <c r="G785" s="27" t="s">
        <v>28</v>
      </c>
      <c r="H785" s="30" t="s">
        <v>170</v>
      </c>
      <c r="I785" s="31" t="s">
        <v>1286</v>
      </c>
      <c r="J785" s="30" t="s">
        <v>1287</v>
      </c>
      <c r="K785" s="27">
        <v>3</v>
      </c>
      <c r="L785" s="27"/>
      <c r="M785" s="27"/>
      <c r="N785" s="31" t="s">
        <v>95</v>
      </c>
      <c r="O785" s="27"/>
      <c r="P785" s="30"/>
      <c r="Q785" s="30" t="s">
        <v>66</v>
      </c>
      <c r="R785" s="26">
        <v>46231</v>
      </c>
      <c r="S785" s="26">
        <v>46234</v>
      </c>
      <c r="T785" s="31" t="s">
        <v>346</v>
      </c>
      <c r="U785" s="30" t="s">
        <v>68</v>
      </c>
      <c r="V785" s="34" t="s">
        <v>70</v>
      </c>
      <c r="W785" s="27" t="s">
        <v>826</v>
      </c>
      <c r="X785" s="30">
        <v>1</v>
      </c>
      <c r="Y785" s="30">
        <v>1</v>
      </c>
      <c r="Z785" s="30">
        <v>1</v>
      </c>
      <c r="AA785" s="30">
        <v>1</v>
      </c>
      <c r="AB785" s="65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6"/>
      <c r="AS785" s="36"/>
      <c r="AT785" s="36"/>
      <c r="AU785" s="36"/>
      <c r="AV785" s="36"/>
      <c r="AW785" s="36"/>
      <c r="AX785" s="36"/>
      <c r="AY785" s="36"/>
      <c r="AZ785" s="30"/>
      <c r="BA785" s="30"/>
      <c r="BB785" s="30" t="s">
        <v>69</v>
      </c>
      <c r="BC785" s="30" t="s">
        <v>979</v>
      </c>
      <c r="BD785" s="30"/>
      <c r="BE785" s="30"/>
      <c r="BF785" s="30"/>
      <c r="BG785" s="30"/>
      <c r="BH785" s="30"/>
      <c r="BI785" s="30"/>
      <c r="BJ785" s="30"/>
      <c r="BK785" s="27"/>
      <c r="BL785" s="27"/>
    </row>
    <row r="786" spans="1:64">
      <c r="A786" s="68" t="s">
        <v>54</v>
      </c>
      <c r="B786" s="26">
        <v>46230</v>
      </c>
      <c r="C786" s="27">
        <v>30125</v>
      </c>
      <c r="D786" s="27"/>
      <c r="E786" s="27" t="s">
        <v>1453</v>
      </c>
      <c r="F786" s="27" t="s">
        <v>59</v>
      </c>
      <c r="G786" s="27" t="s">
        <v>28</v>
      </c>
      <c r="H786" s="30" t="s">
        <v>169</v>
      </c>
      <c r="I786" s="31" t="s">
        <v>1891</v>
      </c>
      <c r="J786" s="30" t="s">
        <v>1892</v>
      </c>
      <c r="K786" s="27">
        <v>1</v>
      </c>
      <c r="L786" s="27">
        <v>100</v>
      </c>
      <c r="M786" s="27"/>
      <c r="N786" s="31" t="s">
        <v>154</v>
      </c>
      <c r="O786" s="27"/>
      <c r="P786" s="30"/>
      <c r="Q786" s="30" t="s">
        <v>66</v>
      </c>
      <c r="R786" s="26">
        <v>46231</v>
      </c>
      <c r="S786" s="26">
        <v>46232</v>
      </c>
      <c r="T786" s="31"/>
      <c r="U786" s="30" t="s">
        <v>68</v>
      </c>
      <c r="V786" s="34" t="s">
        <v>70</v>
      </c>
      <c r="W786" s="27" t="s">
        <v>85</v>
      </c>
      <c r="X786" s="30">
        <v>1</v>
      </c>
      <c r="Y786" s="30">
        <v>1</v>
      </c>
      <c r="Z786" s="30">
        <v>1</v>
      </c>
      <c r="AA786" s="30">
        <v>1</v>
      </c>
      <c r="AB786" s="65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6"/>
      <c r="AS786" s="36"/>
      <c r="AT786" s="36"/>
      <c r="AU786" s="36"/>
      <c r="AV786" s="36"/>
      <c r="AW786" s="36"/>
      <c r="AX786" s="36"/>
      <c r="AY786" s="36"/>
      <c r="AZ786" s="30"/>
      <c r="BA786" s="30"/>
      <c r="BB786" s="30" t="s">
        <v>69</v>
      </c>
      <c r="BC786" s="30" t="s">
        <v>157</v>
      </c>
      <c r="BD786" s="30"/>
      <c r="BE786" s="30"/>
      <c r="BF786" s="30"/>
      <c r="BG786" s="30"/>
      <c r="BH786" s="30"/>
      <c r="BI786" s="30"/>
      <c r="BJ786" s="30"/>
      <c r="BK786" s="27"/>
      <c r="BL786" s="27"/>
    </row>
    <row r="787" spans="1:64">
      <c r="A787" s="68" t="s">
        <v>54</v>
      </c>
      <c r="B787" s="26">
        <v>46230</v>
      </c>
      <c r="C787" s="27">
        <v>29876</v>
      </c>
      <c r="D787" s="27"/>
      <c r="E787" s="27" t="s">
        <v>1453</v>
      </c>
      <c r="F787" s="27" t="s">
        <v>59</v>
      </c>
      <c r="G787" s="27" t="s">
        <v>28</v>
      </c>
      <c r="H787" s="30" t="s">
        <v>435</v>
      </c>
      <c r="I787" s="31" t="s">
        <v>1895</v>
      </c>
      <c r="J787" s="30" t="s">
        <v>1896</v>
      </c>
      <c r="K787" s="27">
        <v>5</v>
      </c>
      <c r="L787" s="27">
        <v>100</v>
      </c>
      <c r="M787" s="27"/>
      <c r="N787" s="31" t="s">
        <v>507</v>
      </c>
      <c r="O787" s="27"/>
      <c r="P787" s="30"/>
      <c r="Q787" s="30" t="s">
        <v>66</v>
      </c>
      <c r="R787" s="26">
        <v>46231</v>
      </c>
      <c r="S787" s="26">
        <v>46233</v>
      </c>
      <c r="T787" s="31"/>
      <c r="U787" s="30" t="s">
        <v>68</v>
      </c>
      <c r="V787" s="34" t="s">
        <v>70</v>
      </c>
      <c r="W787" s="27" t="s">
        <v>85</v>
      </c>
      <c r="X787" s="30">
        <v>1</v>
      </c>
      <c r="Y787" s="30">
        <v>1</v>
      </c>
      <c r="Z787" s="30">
        <v>1</v>
      </c>
      <c r="AA787" s="30">
        <v>1</v>
      </c>
      <c r="AB787" s="65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6"/>
      <c r="AS787" s="36"/>
      <c r="AT787" s="36"/>
      <c r="AU787" s="36"/>
      <c r="AV787" s="36"/>
      <c r="AW787" s="36"/>
      <c r="AX787" s="36"/>
      <c r="AY787" s="36"/>
      <c r="AZ787" s="30"/>
      <c r="BA787" s="30"/>
      <c r="BB787" s="30" t="s">
        <v>69</v>
      </c>
      <c r="BC787" s="30" t="s">
        <v>1438</v>
      </c>
      <c r="BD787" s="30"/>
      <c r="BE787" s="30"/>
      <c r="BF787" s="30"/>
      <c r="BG787" s="30"/>
      <c r="BH787" s="30"/>
      <c r="BI787" s="30"/>
      <c r="BJ787" s="30"/>
      <c r="BK787" s="27"/>
      <c r="BL787" s="27"/>
    </row>
    <row r="788" spans="1:64">
      <c r="A788" s="68" t="s">
        <v>54</v>
      </c>
      <c r="B788" s="26">
        <v>46230</v>
      </c>
      <c r="C788" s="27">
        <v>29877</v>
      </c>
      <c r="D788" s="27"/>
      <c r="E788" s="27" t="s">
        <v>1453</v>
      </c>
      <c r="F788" s="27" t="s">
        <v>59</v>
      </c>
      <c r="G788" s="27" t="s">
        <v>28</v>
      </c>
      <c r="H788" s="30" t="s">
        <v>435</v>
      </c>
      <c r="I788" s="31" t="s">
        <v>1898</v>
      </c>
      <c r="J788" s="30" t="s">
        <v>1899</v>
      </c>
      <c r="K788" s="27">
        <v>3</v>
      </c>
      <c r="L788" s="27">
        <v>100</v>
      </c>
      <c r="M788" s="27"/>
      <c r="N788" s="31" t="s">
        <v>507</v>
      </c>
      <c r="O788" s="27"/>
      <c r="P788" s="30"/>
      <c r="Q788" s="30" t="s">
        <v>66</v>
      </c>
      <c r="R788" s="26">
        <v>46232</v>
      </c>
      <c r="S788" s="26">
        <v>46233</v>
      </c>
      <c r="T788" s="31"/>
      <c r="U788" s="30" t="s">
        <v>68</v>
      </c>
      <c r="V788" s="34" t="s">
        <v>70</v>
      </c>
      <c r="W788" s="27" t="s">
        <v>85</v>
      </c>
      <c r="X788" s="30">
        <v>1</v>
      </c>
      <c r="Y788" s="30">
        <v>1</v>
      </c>
      <c r="Z788" s="30">
        <v>1</v>
      </c>
      <c r="AA788" s="30">
        <v>1</v>
      </c>
      <c r="AB788" s="65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6"/>
      <c r="AS788" s="36"/>
      <c r="AT788" s="36"/>
      <c r="AU788" s="36"/>
      <c r="AV788" s="36"/>
      <c r="AW788" s="36"/>
      <c r="AX788" s="36"/>
      <c r="AY788" s="36"/>
      <c r="AZ788" s="30"/>
      <c r="BA788" s="30"/>
      <c r="BB788" s="30" t="s">
        <v>69</v>
      </c>
      <c r="BC788" s="30" t="s">
        <v>1114</v>
      </c>
      <c r="BD788" s="30" t="s">
        <v>41</v>
      </c>
      <c r="BE788" s="30"/>
      <c r="BF788" s="30"/>
      <c r="BG788" s="30"/>
      <c r="BH788" s="30"/>
      <c r="BI788" s="30"/>
      <c r="BJ788" s="30"/>
      <c r="BK788" s="27"/>
      <c r="BL788" s="27"/>
    </row>
    <row r="789" spans="1:64">
      <c r="A789" s="68" t="s">
        <v>54</v>
      </c>
      <c r="B789" s="26">
        <v>46230</v>
      </c>
      <c r="C789" s="27">
        <v>29878</v>
      </c>
      <c r="D789" s="27"/>
      <c r="E789" s="27" t="s">
        <v>1453</v>
      </c>
      <c r="F789" s="27" t="s">
        <v>59</v>
      </c>
      <c r="G789" s="27" t="s">
        <v>28</v>
      </c>
      <c r="H789" s="30" t="s">
        <v>862</v>
      </c>
      <c r="I789" s="31" t="s">
        <v>1900</v>
      </c>
      <c r="J789" s="30" t="s">
        <v>1901</v>
      </c>
      <c r="K789" s="27">
        <v>1</v>
      </c>
      <c r="L789" s="27"/>
      <c r="M789" s="27"/>
      <c r="N789" s="31" t="s">
        <v>154</v>
      </c>
      <c r="O789" s="27"/>
      <c r="P789" s="30"/>
      <c r="Q789" s="30" t="s">
        <v>66</v>
      </c>
      <c r="R789" s="26">
        <v>46232</v>
      </c>
      <c r="S789" s="26">
        <v>46233</v>
      </c>
      <c r="T789" s="31"/>
      <c r="U789" s="30" t="s">
        <v>68</v>
      </c>
      <c r="V789" s="34" t="s">
        <v>1742</v>
      </c>
      <c r="W789" s="27" t="s">
        <v>85</v>
      </c>
      <c r="X789" s="30">
        <v>1</v>
      </c>
      <c r="Y789" s="30">
        <v>1</v>
      </c>
      <c r="Z789" s="30">
        <v>1</v>
      </c>
      <c r="AA789" s="30">
        <v>1</v>
      </c>
      <c r="AB789" s="65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6"/>
      <c r="AS789" s="36"/>
      <c r="AT789" s="36"/>
      <c r="AU789" s="36"/>
      <c r="AV789" s="36"/>
      <c r="AW789" s="36"/>
      <c r="AX789" s="36"/>
      <c r="AY789" s="36"/>
      <c r="AZ789" s="30"/>
      <c r="BA789" s="30"/>
      <c r="BB789" s="30" t="s">
        <v>69</v>
      </c>
      <c r="BC789" s="30"/>
      <c r="BD789" s="30" t="s">
        <v>157</v>
      </c>
      <c r="BE789" s="30"/>
      <c r="BF789" s="30"/>
      <c r="BG789" s="30"/>
      <c r="BH789" s="30"/>
      <c r="BI789" s="30"/>
      <c r="BJ789" s="30"/>
      <c r="BK789" s="27"/>
      <c r="BL789" s="27"/>
    </row>
    <row r="790" spans="1:64">
      <c r="A790" s="68" t="s">
        <v>54</v>
      </c>
      <c r="B790" s="26">
        <v>46230</v>
      </c>
      <c r="C790" s="27">
        <v>29879</v>
      </c>
      <c r="D790" s="27"/>
      <c r="E790" s="27" t="s">
        <v>1453</v>
      </c>
      <c r="F790" s="27" t="s">
        <v>59</v>
      </c>
      <c r="G790" s="27" t="s">
        <v>28</v>
      </c>
      <c r="H790" s="30" t="s">
        <v>106</v>
      </c>
      <c r="I790" s="31" t="s">
        <v>1902</v>
      </c>
      <c r="J790" s="30" t="s">
        <v>1903</v>
      </c>
      <c r="K790" s="27">
        <v>3</v>
      </c>
      <c r="L790" s="27">
        <v>100</v>
      </c>
      <c r="M790" s="27"/>
      <c r="N790" s="31" t="s">
        <v>455</v>
      </c>
      <c r="O790" s="27"/>
      <c r="P790" s="30"/>
      <c r="Q790" s="30" t="s">
        <v>66</v>
      </c>
      <c r="R790" s="26">
        <v>46232</v>
      </c>
      <c r="S790" s="26">
        <v>46233</v>
      </c>
      <c r="T790" s="31"/>
      <c r="U790" s="30" t="s">
        <v>68</v>
      </c>
      <c r="V790" s="34" t="s">
        <v>70</v>
      </c>
      <c r="W790" s="27" t="s">
        <v>85</v>
      </c>
      <c r="X790" s="30">
        <v>1</v>
      </c>
      <c r="Y790" s="30">
        <v>1</v>
      </c>
      <c r="Z790" s="30">
        <v>1</v>
      </c>
      <c r="AA790" s="30">
        <v>1</v>
      </c>
      <c r="AB790" s="65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6"/>
      <c r="AS790" s="36"/>
      <c r="AT790" s="36"/>
      <c r="AU790" s="36"/>
      <c r="AV790" s="36"/>
      <c r="AW790" s="36"/>
      <c r="AX790" s="36"/>
      <c r="AY790" s="36"/>
      <c r="AZ790" s="30"/>
      <c r="BA790" s="30"/>
      <c r="BB790" s="30" t="s">
        <v>69</v>
      </c>
      <c r="BC790" s="30" t="s">
        <v>455</v>
      </c>
      <c r="BD790" s="30" t="s">
        <v>41</v>
      </c>
      <c r="BE790" s="30"/>
      <c r="BF790" s="30"/>
      <c r="BG790" s="30"/>
      <c r="BH790" s="30"/>
      <c r="BI790" s="30"/>
      <c r="BJ790" s="30"/>
      <c r="BK790" s="27"/>
      <c r="BL790" s="27"/>
    </row>
    <row r="791" spans="1:64">
      <c r="A791" s="68" t="s">
        <v>54</v>
      </c>
      <c r="B791" s="26">
        <v>46230</v>
      </c>
      <c r="C791" s="27">
        <v>29880</v>
      </c>
      <c r="D791" s="27"/>
      <c r="E791" s="27" t="s">
        <v>1453</v>
      </c>
      <c r="F791" s="27" t="s">
        <v>59</v>
      </c>
      <c r="G791" s="27" t="s">
        <v>28</v>
      </c>
      <c r="H791" s="30" t="s">
        <v>60</v>
      </c>
      <c r="I791" s="31" t="s">
        <v>1905</v>
      </c>
      <c r="J791" s="30" t="s">
        <v>1906</v>
      </c>
      <c r="K791" s="27">
        <v>3</v>
      </c>
      <c r="L791" s="27">
        <v>100</v>
      </c>
      <c r="M791" s="27"/>
      <c r="N791" s="31" t="s">
        <v>507</v>
      </c>
      <c r="O791" s="27"/>
      <c r="P791" s="30"/>
      <c r="Q791" s="30" t="s">
        <v>66</v>
      </c>
      <c r="R791" s="26">
        <v>46232</v>
      </c>
      <c r="S791" s="26">
        <v>46233</v>
      </c>
      <c r="T791" s="31"/>
      <c r="U791" s="30" t="s">
        <v>68</v>
      </c>
      <c r="V791" s="34" t="s">
        <v>70</v>
      </c>
      <c r="W791" s="27" t="s">
        <v>85</v>
      </c>
      <c r="X791" s="30">
        <v>1</v>
      </c>
      <c r="Y791" s="30">
        <v>1</v>
      </c>
      <c r="Z791" s="30">
        <v>1</v>
      </c>
      <c r="AA791" s="30">
        <v>1</v>
      </c>
      <c r="AB791" s="65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6"/>
      <c r="AS791" s="36"/>
      <c r="AT791" s="36"/>
      <c r="AU791" s="36"/>
      <c r="AV791" s="36"/>
      <c r="AW791" s="36"/>
      <c r="AX791" s="36"/>
      <c r="AY791" s="36"/>
      <c r="AZ791" s="30"/>
      <c r="BA791" s="30"/>
      <c r="BB791" s="30" t="s">
        <v>69</v>
      </c>
      <c r="BC791" s="30" t="s">
        <v>1114</v>
      </c>
      <c r="BD791" s="30" t="s">
        <v>41</v>
      </c>
      <c r="BE791" s="30"/>
      <c r="BF791" s="30"/>
      <c r="BG791" s="30"/>
      <c r="BH791" s="30"/>
      <c r="BI791" s="30"/>
      <c r="BJ791" s="30"/>
      <c r="BK791" s="27"/>
      <c r="BL791" s="27"/>
    </row>
    <row r="792" spans="1:64">
      <c r="A792" s="68" t="s">
        <v>54</v>
      </c>
      <c r="B792" s="26">
        <v>46230</v>
      </c>
      <c r="C792" s="27">
        <v>29881</v>
      </c>
      <c r="D792" s="27"/>
      <c r="E792" s="27" t="s">
        <v>1453</v>
      </c>
      <c r="F792" s="27" t="s">
        <v>59</v>
      </c>
      <c r="G792" s="27" t="s">
        <v>28</v>
      </c>
      <c r="H792" s="30" t="s">
        <v>1871</v>
      </c>
      <c r="I792" s="31" t="s">
        <v>444</v>
      </c>
      <c r="J792" s="30" t="s">
        <v>1908</v>
      </c>
      <c r="K792" s="27">
        <v>16</v>
      </c>
      <c r="L792" s="27">
        <v>228</v>
      </c>
      <c r="M792" s="27"/>
      <c r="N792" s="31" t="s">
        <v>507</v>
      </c>
      <c r="O792" s="27"/>
      <c r="P792" s="30"/>
      <c r="Q792" s="30" t="s">
        <v>66</v>
      </c>
      <c r="R792" s="26">
        <v>46232</v>
      </c>
      <c r="S792" s="26">
        <v>46233</v>
      </c>
      <c r="T792" s="31"/>
      <c r="U792" s="30" t="s">
        <v>68</v>
      </c>
      <c r="V792" s="34" t="s">
        <v>70</v>
      </c>
      <c r="W792" s="27" t="s">
        <v>85</v>
      </c>
      <c r="X792" s="30">
        <v>1</v>
      </c>
      <c r="Y792" s="30">
        <v>1</v>
      </c>
      <c r="Z792" s="30">
        <v>1</v>
      </c>
      <c r="AA792" s="30">
        <v>1</v>
      </c>
      <c r="AB792" s="65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6"/>
      <c r="AS792" s="36"/>
      <c r="AT792" s="36"/>
      <c r="AU792" s="36"/>
      <c r="AV792" s="36"/>
      <c r="AW792" s="36"/>
      <c r="AX792" s="36"/>
      <c r="AY792" s="36"/>
      <c r="AZ792" s="30"/>
      <c r="BA792" s="30"/>
      <c r="BB792" s="30" t="s">
        <v>69</v>
      </c>
      <c r="BC792" s="30" t="s">
        <v>1114</v>
      </c>
      <c r="BD792" s="30" t="s">
        <v>41</v>
      </c>
      <c r="BE792" s="30"/>
      <c r="BF792" s="30"/>
      <c r="BG792" s="30"/>
      <c r="BH792" s="30"/>
      <c r="BI792" s="30"/>
      <c r="BJ792" s="30"/>
      <c r="BK792" s="27"/>
      <c r="BL792" s="27"/>
    </row>
    <row r="793" spans="1:64">
      <c r="A793" s="68" t="s">
        <v>54</v>
      </c>
      <c r="B793" s="26">
        <v>46230</v>
      </c>
      <c r="C793" s="27">
        <v>29883</v>
      </c>
      <c r="D793" s="27"/>
      <c r="E793" s="27" t="s">
        <v>1453</v>
      </c>
      <c r="F793" s="27" t="s">
        <v>59</v>
      </c>
      <c r="G793" s="27" t="s">
        <v>28</v>
      </c>
      <c r="H793" s="30" t="s">
        <v>435</v>
      </c>
      <c r="I793" s="31" t="s">
        <v>1462</v>
      </c>
      <c r="J793" s="30" t="s">
        <v>1909</v>
      </c>
      <c r="K793" s="27">
        <v>17</v>
      </c>
      <c r="L793" s="27">
        <v>357</v>
      </c>
      <c r="M793" s="27"/>
      <c r="N793" s="31" t="s">
        <v>297</v>
      </c>
      <c r="O793" s="27"/>
      <c r="P793" s="30"/>
      <c r="Q793" s="30" t="s">
        <v>66</v>
      </c>
      <c r="R793" s="26">
        <v>46234</v>
      </c>
      <c r="S793" s="26">
        <v>46235</v>
      </c>
      <c r="T793" s="31"/>
      <c r="U793" s="30" t="s">
        <v>68</v>
      </c>
      <c r="V793" s="34" t="s">
        <v>70</v>
      </c>
      <c r="W793" s="27" t="s">
        <v>85</v>
      </c>
      <c r="X793" s="30">
        <v>1</v>
      </c>
      <c r="Y793" s="30">
        <v>1</v>
      </c>
      <c r="Z793" s="30">
        <v>1</v>
      </c>
      <c r="AA793" s="30">
        <v>1</v>
      </c>
      <c r="AB793" s="65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6"/>
      <c r="AS793" s="36"/>
      <c r="AT793" s="36"/>
      <c r="AU793" s="36"/>
      <c r="AV793" s="36"/>
      <c r="AW793" s="36"/>
      <c r="AX793" s="36"/>
      <c r="AY793" s="36"/>
      <c r="AZ793" s="30"/>
      <c r="BA793" s="30"/>
      <c r="BB793" s="30" t="s">
        <v>69</v>
      </c>
      <c r="BC793" s="30"/>
      <c r="BD793" s="30"/>
      <c r="BE793" s="30"/>
      <c r="BF793" s="30" t="s">
        <v>1910</v>
      </c>
      <c r="BG793" s="30"/>
      <c r="BH793" s="30"/>
      <c r="BI793" s="30"/>
      <c r="BJ793" s="30"/>
      <c r="BK793" s="27"/>
      <c r="BL793" s="27"/>
    </row>
    <row r="794" spans="1:64">
      <c r="A794" s="68" t="s">
        <v>54</v>
      </c>
      <c r="B794" s="26">
        <v>46230</v>
      </c>
      <c r="C794" s="27">
        <v>29884</v>
      </c>
      <c r="D794" s="27"/>
      <c r="E794" s="27" t="s">
        <v>1453</v>
      </c>
      <c r="F794" s="27" t="s">
        <v>59</v>
      </c>
      <c r="G794" s="27" t="s">
        <v>28</v>
      </c>
      <c r="H794" s="30" t="s">
        <v>169</v>
      </c>
      <c r="I794" s="31" t="s">
        <v>1911</v>
      </c>
      <c r="J794" s="30" t="s">
        <v>1912</v>
      </c>
      <c r="K794" s="27">
        <v>3</v>
      </c>
      <c r="L794" s="27">
        <v>100</v>
      </c>
      <c r="M794" s="27"/>
      <c r="N794" s="31" t="s">
        <v>154</v>
      </c>
      <c r="O794" s="27"/>
      <c r="P794" s="30"/>
      <c r="Q794" s="30" t="s">
        <v>66</v>
      </c>
      <c r="R794" s="26">
        <v>46231</v>
      </c>
      <c r="S794" s="26">
        <v>46232</v>
      </c>
      <c r="T794" s="31"/>
      <c r="U794" s="30" t="s">
        <v>68</v>
      </c>
      <c r="V794" s="34" t="s">
        <v>70</v>
      </c>
      <c r="W794" s="27" t="s">
        <v>85</v>
      </c>
      <c r="X794" s="30">
        <v>1</v>
      </c>
      <c r="Y794" s="30">
        <v>1</v>
      </c>
      <c r="Z794" s="30">
        <v>1</v>
      </c>
      <c r="AA794" s="30">
        <v>1</v>
      </c>
      <c r="AB794" s="65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6"/>
      <c r="AS794" s="36"/>
      <c r="AT794" s="36"/>
      <c r="AU794" s="36"/>
      <c r="AV794" s="36"/>
      <c r="AW794" s="36"/>
      <c r="AX794" s="36"/>
      <c r="AY794" s="36"/>
      <c r="AZ794" s="30"/>
      <c r="BA794" s="30"/>
      <c r="BB794" s="30" t="s">
        <v>69</v>
      </c>
      <c r="BC794" s="30" t="s">
        <v>157</v>
      </c>
      <c r="BD794" s="30"/>
      <c r="BE794" s="30"/>
      <c r="BF794" s="30"/>
      <c r="BG794" s="30"/>
      <c r="BH794" s="30"/>
      <c r="BI794" s="30"/>
      <c r="BJ794" s="30"/>
      <c r="BK794" s="27"/>
      <c r="BL794" s="27"/>
    </row>
    <row r="795" spans="1:64">
      <c r="A795" s="68" t="s">
        <v>54</v>
      </c>
      <c r="B795" s="26">
        <v>46230</v>
      </c>
      <c r="C795" s="27">
        <v>29885</v>
      </c>
      <c r="D795" s="27"/>
      <c r="E795" s="27" t="s">
        <v>1453</v>
      </c>
      <c r="F795" s="27" t="s">
        <v>59</v>
      </c>
      <c r="G795" s="27" t="s">
        <v>28</v>
      </c>
      <c r="H795" s="30" t="s">
        <v>169</v>
      </c>
      <c r="I795" s="31" t="s">
        <v>1913</v>
      </c>
      <c r="J795" s="30" t="s">
        <v>1914</v>
      </c>
      <c r="K795" s="27">
        <v>10</v>
      </c>
      <c r="L795" s="27">
        <v>142</v>
      </c>
      <c r="M795" s="27"/>
      <c r="N795" s="31" t="s">
        <v>154</v>
      </c>
      <c r="O795" s="27"/>
      <c r="P795" s="30"/>
      <c r="Q795" s="30" t="s">
        <v>66</v>
      </c>
      <c r="R795" s="26">
        <v>46231</v>
      </c>
      <c r="S795" s="26">
        <v>46232</v>
      </c>
      <c r="T795" s="31"/>
      <c r="U795" s="30" t="s">
        <v>68</v>
      </c>
      <c r="V795" s="34" t="s">
        <v>70</v>
      </c>
      <c r="W795" s="27" t="s">
        <v>85</v>
      </c>
      <c r="X795" s="30">
        <v>1</v>
      </c>
      <c r="Y795" s="30">
        <v>1</v>
      </c>
      <c r="Z795" s="30">
        <v>1</v>
      </c>
      <c r="AA795" s="30">
        <v>1</v>
      </c>
      <c r="AB795" s="65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6"/>
      <c r="AS795" s="36"/>
      <c r="AT795" s="36"/>
      <c r="AU795" s="36"/>
      <c r="AV795" s="36"/>
      <c r="AW795" s="36"/>
      <c r="AX795" s="36"/>
      <c r="AY795" s="36"/>
      <c r="AZ795" s="30"/>
      <c r="BA795" s="30"/>
      <c r="BB795" s="30" t="s">
        <v>69</v>
      </c>
      <c r="BC795" s="30" t="s">
        <v>157</v>
      </c>
      <c r="BD795" s="30"/>
      <c r="BE795" s="30"/>
      <c r="BF795" s="30"/>
      <c r="BG795" s="30"/>
      <c r="BH795" s="30"/>
      <c r="BI795" s="30"/>
      <c r="BJ795" s="30"/>
      <c r="BK795" s="27"/>
      <c r="BL795" s="27"/>
    </row>
    <row r="796" spans="1:64">
      <c r="A796" s="68" t="s">
        <v>54</v>
      </c>
      <c r="B796" s="26">
        <v>46230</v>
      </c>
      <c r="C796" s="27">
        <v>29886</v>
      </c>
      <c r="D796" s="27"/>
      <c r="E796" s="27" t="s">
        <v>1453</v>
      </c>
      <c r="F796" s="27" t="s">
        <v>59</v>
      </c>
      <c r="G796" s="27" t="s">
        <v>28</v>
      </c>
      <c r="H796" s="30" t="s">
        <v>169</v>
      </c>
      <c r="I796" s="31" t="s">
        <v>1915</v>
      </c>
      <c r="J796" s="30" t="s">
        <v>1916</v>
      </c>
      <c r="K796" s="27">
        <v>6</v>
      </c>
      <c r="L796" s="27">
        <v>100</v>
      </c>
      <c r="M796" s="27"/>
      <c r="N796" s="31" t="s">
        <v>154</v>
      </c>
      <c r="O796" s="27"/>
      <c r="P796" s="30"/>
      <c r="Q796" s="30" t="s">
        <v>66</v>
      </c>
      <c r="R796" s="26">
        <v>46231</v>
      </c>
      <c r="S796" s="26">
        <v>46232</v>
      </c>
      <c r="T796" s="31"/>
      <c r="U796" s="30" t="s">
        <v>68</v>
      </c>
      <c r="V796" s="34" t="s">
        <v>70</v>
      </c>
      <c r="W796" s="27" t="s">
        <v>85</v>
      </c>
      <c r="X796" s="30">
        <v>1</v>
      </c>
      <c r="Y796" s="30">
        <v>1</v>
      </c>
      <c r="Z796" s="30">
        <v>1</v>
      </c>
      <c r="AA796" s="30">
        <v>1</v>
      </c>
      <c r="AB796" s="65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6"/>
      <c r="AS796" s="36"/>
      <c r="AT796" s="36"/>
      <c r="AU796" s="36"/>
      <c r="AV796" s="36"/>
      <c r="AW796" s="36"/>
      <c r="AX796" s="36"/>
      <c r="AY796" s="36"/>
      <c r="AZ796" s="30"/>
      <c r="BA796" s="30"/>
      <c r="BB796" s="30" t="s">
        <v>69</v>
      </c>
      <c r="BC796" s="30" t="s">
        <v>157</v>
      </c>
      <c r="BD796" s="30"/>
      <c r="BE796" s="30"/>
      <c r="BF796" s="30"/>
      <c r="BG796" s="30"/>
      <c r="BH796" s="30"/>
      <c r="BI796" s="30"/>
      <c r="BJ796" s="30"/>
      <c r="BK796" s="27"/>
      <c r="BL796" s="27"/>
    </row>
    <row r="797" spans="1:64">
      <c r="A797" s="68" t="s">
        <v>54</v>
      </c>
      <c r="B797" s="26">
        <v>46230</v>
      </c>
      <c r="C797" s="27">
        <v>28814</v>
      </c>
      <c r="D797" s="27"/>
      <c r="E797" s="27" t="s">
        <v>203</v>
      </c>
      <c r="F797" s="27" t="s">
        <v>59</v>
      </c>
      <c r="G797" s="27" t="s">
        <v>104</v>
      </c>
      <c r="H797" s="30" t="s">
        <v>144</v>
      </c>
      <c r="I797" s="31" t="s">
        <v>775</v>
      </c>
      <c r="J797" s="30" t="s">
        <v>144</v>
      </c>
      <c r="K797" s="27">
        <v>1</v>
      </c>
      <c r="L797" s="27" t="s">
        <v>205</v>
      </c>
      <c r="M797" s="27"/>
      <c r="N797" s="31" t="s">
        <v>455</v>
      </c>
      <c r="O797" s="27"/>
      <c r="P797" s="30"/>
      <c r="Q797" s="30" t="s">
        <v>66</v>
      </c>
      <c r="R797" s="26">
        <v>46231</v>
      </c>
      <c r="S797" s="26">
        <v>46233</v>
      </c>
      <c r="T797" s="31"/>
      <c r="U797" s="30" t="s">
        <v>68</v>
      </c>
      <c r="V797" s="34" t="s">
        <v>70</v>
      </c>
      <c r="W797" s="27" t="s">
        <v>208</v>
      </c>
      <c r="X797" s="30">
        <v>1</v>
      </c>
      <c r="Y797" s="30">
        <v>1</v>
      </c>
      <c r="Z797" s="30">
        <v>1</v>
      </c>
      <c r="AA797" s="30">
        <v>1</v>
      </c>
      <c r="AB797" s="65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6"/>
      <c r="AS797" s="36"/>
      <c r="AT797" s="36"/>
      <c r="AU797" s="36"/>
      <c r="AV797" s="36"/>
      <c r="AW797" s="36"/>
      <c r="AX797" s="36"/>
      <c r="AY797" s="36"/>
      <c r="AZ797" s="30"/>
      <c r="BA797" s="30"/>
      <c r="BB797" s="30" t="s">
        <v>69</v>
      </c>
      <c r="BC797" s="30" t="s">
        <v>583</v>
      </c>
      <c r="BD797" s="30"/>
      <c r="BE797" s="30"/>
      <c r="BF797" s="30"/>
      <c r="BG797" s="30"/>
      <c r="BH797" s="30"/>
      <c r="BI797" s="30"/>
      <c r="BJ797" s="30"/>
      <c r="BK797" s="27"/>
      <c r="BL797" s="27"/>
    </row>
    <row r="798" spans="1:64">
      <c r="A798" s="68" t="s">
        <v>54</v>
      </c>
      <c r="B798" s="26">
        <v>46230</v>
      </c>
      <c r="C798" s="27">
        <v>28816</v>
      </c>
      <c r="D798" s="27"/>
      <c r="E798" s="27" t="s">
        <v>203</v>
      </c>
      <c r="F798" s="27" t="s">
        <v>59</v>
      </c>
      <c r="G798" s="27" t="s">
        <v>104</v>
      </c>
      <c r="H798" s="30" t="s">
        <v>151</v>
      </c>
      <c r="I798" s="31" t="s">
        <v>1917</v>
      </c>
      <c r="J798" s="30" t="s">
        <v>151</v>
      </c>
      <c r="K798" s="27">
        <v>1</v>
      </c>
      <c r="L798" s="27" t="s">
        <v>214</v>
      </c>
      <c r="M798" s="27"/>
      <c r="N798" s="31" t="s">
        <v>154</v>
      </c>
      <c r="O798" s="27"/>
      <c r="P798" s="30"/>
      <c r="Q798" s="30" t="s">
        <v>66</v>
      </c>
      <c r="R798" s="26">
        <v>46232</v>
      </c>
      <c r="S798" s="26">
        <v>46233</v>
      </c>
      <c r="T798" s="31"/>
      <c r="U798" s="30" t="s">
        <v>68</v>
      </c>
      <c r="V798" s="34" t="s">
        <v>70</v>
      </c>
      <c r="W798" s="27" t="s">
        <v>208</v>
      </c>
      <c r="X798" s="30">
        <v>1</v>
      </c>
      <c r="Y798" s="30">
        <v>1</v>
      </c>
      <c r="Z798" s="30">
        <v>1</v>
      </c>
      <c r="AA798" s="30">
        <v>1</v>
      </c>
      <c r="AB798" s="65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6"/>
      <c r="AS798" s="36"/>
      <c r="AT798" s="36"/>
      <c r="AU798" s="36"/>
      <c r="AV798" s="36"/>
      <c r="AW798" s="36"/>
      <c r="AX798" s="36"/>
      <c r="AY798" s="36"/>
      <c r="AZ798" s="30"/>
      <c r="BA798" s="30"/>
      <c r="BB798" s="30" t="s">
        <v>69</v>
      </c>
      <c r="BC798" s="30"/>
      <c r="BD798" s="30" t="s">
        <v>157</v>
      </c>
      <c r="BE798" s="30"/>
      <c r="BF798" s="30"/>
      <c r="BG798" s="30"/>
      <c r="BH798" s="30"/>
      <c r="BI798" s="30"/>
      <c r="BJ798" s="30"/>
      <c r="BK798" s="27"/>
      <c r="BL798" s="27"/>
    </row>
    <row r="799" spans="1:64">
      <c r="A799" s="68" t="s">
        <v>54</v>
      </c>
      <c r="B799" s="26">
        <v>46230</v>
      </c>
      <c r="C799" s="27">
        <v>29704</v>
      </c>
      <c r="D799" s="27"/>
      <c r="E799" s="27" t="s">
        <v>133</v>
      </c>
      <c r="F799" s="27" t="s">
        <v>1918</v>
      </c>
      <c r="G799" s="27" t="s">
        <v>28</v>
      </c>
      <c r="H799" s="30" t="s">
        <v>175</v>
      </c>
      <c r="I799" s="31" t="s">
        <v>520</v>
      </c>
      <c r="J799" s="30" t="s">
        <v>1919</v>
      </c>
      <c r="K799" s="27">
        <v>11</v>
      </c>
      <c r="L799" s="27"/>
      <c r="M799" s="27"/>
      <c r="N799" s="31" t="s">
        <v>455</v>
      </c>
      <c r="O799" s="27"/>
      <c r="P799" s="30"/>
      <c r="Q799" s="30" t="s">
        <v>66</v>
      </c>
      <c r="R799" s="26">
        <v>46231</v>
      </c>
      <c r="S799" s="26">
        <v>46233</v>
      </c>
      <c r="T799" s="31" t="s">
        <v>148</v>
      </c>
      <c r="U799" s="30" t="s">
        <v>68</v>
      </c>
      <c r="V799" s="34" t="s">
        <v>70</v>
      </c>
      <c r="W799" s="27" t="s">
        <v>141</v>
      </c>
      <c r="X799" s="30">
        <v>1</v>
      </c>
      <c r="Y799" s="30">
        <v>1</v>
      </c>
      <c r="Z799" s="30">
        <v>1</v>
      </c>
      <c r="AA799" s="30">
        <v>1</v>
      </c>
      <c r="AB799" s="65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6"/>
      <c r="AS799" s="36"/>
      <c r="AT799" s="36"/>
      <c r="AU799" s="36"/>
      <c r="AV799" s="36"/>
      <c r="AW799" s="36"/>
      <c r="AX799" s="36"/>
      <c r="AY799" s="36"/>
      <c r="AZ799" s="30"/>
      <c r="BA799" s="30"/>
      <c r="BB799" s="30" t="s">
        <v>69</v>
      </c>
      <c r="BC799" s="30" t="s">
        <v>1920</v>
      </c>
      <c r="BD799" s="30"/>
      <c r="BE799" s="30"/>
      <c r="BF799" s="30"/>
      <c r="BG799" s="30"/>
      <c r="BH799" s="30"/>
      <c r="BI799" s="30"/>
      <c r="BJ799" s="30"/>
      <c r="BK799" s="27"/>
      <c r="BL799" s="27"/>
    </row>
    <row r="800" spans="1:64">
      <c r="A800" s="68" t="s">
        <v>54</v>
      </c>
      <c r="B800" s="26">
        <v>46230</v>
      </c>
      <c r="C800" s="27">
        <v>12832</v>
      </c>
      <c r="D800" s="27"/>
      <c r="E800" s="27" t="s">
        <v>548</v>
      </c>
      <c r="F800" s="27" t="s">
        <v>1918</v>
      </c>
      <c r="G800" s="27" t="s">
        <v>104</v>
      </c>
      <c r="H800" s="30" t="s">
        <v>104</v>
      </c>
      <c r="I800" s="31" t="s">
        <v>1921</v>
      </c>
      <c r="J800" s="30" t="s">
        <v>1922</v>
      </c>
      <c r="K800" s="27">
        <v>1</v>
      </c>
      <c r="L800" s="27">
        <v>1</v>
      </c>
      <c r="M800" s="27"/>
      <c r="N800" s="31" t="s">
        <v>1711</v>
      </c>
      <c r="O800" s="27"/>
      <c r="P800" s="30"/>
      <c r="Q800" s="30" t="s">
        <v>66</v>
      </c>
      <c r="R800" s="26">
        <v>46231</v>
      </c>
      <c r="S800" s="26">
        <v>46231</v>
      </c>
      <c r="T800" s="31"/>
      <c r="U800" s="30" t="s">
        <v>68</v>
      </c>
      <c r="V800" s="34" t="s">
        <v>70</v>
      </c>
      <c r="W800" s="27" t="s">
        <v>548</v>
      </c>
      <c r="X800" s="30">
        <v>1</v>
      </c>
      <c r="Y800" s="30">
        <v>1</v>
      </c>
      <c r="Z800" s="30">
        <v>1</v>
      </c>
      <c r="AA800" s="30">
        <v>1</v>
      </c>
      <c r="AB800" s="65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6"/>
      <c r="AS800" s="36"/>
      <c r="AT800" s="36"/>
      <c r="AU800" s="36"/>
      <c r="AV800" s="36"/>
      <c r="AW800" s="36"/>
      <c r="AX800" s="36"/>
      <c r="AY800" s="36"/>
      <c r="AZ800" s="30"/>
      <c r="BA800" s="30"/>
      <c r="BB800" s="30" t="s">
        <v>69</v>
      </c>
      <c r="BC800" s="30" t="s">
        <v>1923</v>
      </c>
      <c r="BD800" s="30"/>
      <c r="BE800" s="30"/>
      <c r="BF800" s="30"/>
      <c r="BG800" s="30"/>
      <c r="BH800" s="30"/>
      <c r="BI800" s="30"/>
      <c r="BJ800" s="30"/>
      <c r="BK800" s="27"/>
      <c r="BL800" s="27"/>
    </row>
    <row r="801" spans="1:64">
      <c r="A801" s="68" t="s">
        <v>54</v>
      </c>
      <c r="B801" s="26">
        <v>46230</v>
      </c>
      <c r="C801" s="27">
        <v>12833</v>
      </c>
      <c r="D801" s="27"/>
      <c r="E801" s="27" t="s">
        <v>548</v>
      </c>
      <c r="F801" s="27" t="s">
        <v>1918</v>
      </c>
      <c r="G801" s="27" t="s">
        <v>104</v>
      </c>
      <c r="H801" s="30" t="s">
        <v>60</v>
      </c>
      <c r="I801" s="31" t="s">
        <v>1924</v>
      </c>
      <c r="J801" s="30" t="s">
        <v>1925</v>
      </c>
      <c r="K801" s="27">
        <v>1</v>
      </c>
      <c r="L801" s="27"/>
      <c r="M801" s="27"/>
      <c r="N801" s="31" t="s">
        <v>507</v>
      </c>
      <c r="O801" s="27"/>
      <c r="P801" s="30"/>
      <c r="Q801" s="30" t="s">
        <v>66</v>
      </c>
      <c r="R801" s="26">
        <v>46231</v>
      </c>
      <c r="S801" s="26">
        <v>46233</v>
      </c>
      <c r="T801" s="31"/>
      <c r="U801" s="30" t="s">
        <v>68</v>
      </c>
      <c r="V801" s="34" t="s">
        <v>70</v>
      </c>
      <c r="W801" s="27" t="s">
        <v>548</v>
      </c>
      <c r="X801" s="30">
        <v>1</v>
      </c>
      <c r="Y801" s="30">
        <v>1</v>
      </c>
      <c r="Z801" s="30">
        <v>1</v>
      </c>
      <c r="AA801" s="30">
        <v>1</v>
      </c>
      <c r="AB801" s="65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6"/>
      <c r="AS801" s="36"/>
      <c r="AT801" s="36"/>
      <c r="AU801" s="36"/>
      <c r="AV801" s="36"/>
      <c r="AW801" s="36"/>
      <c r="AX801" s="36"/>
      <c r="AY801" s="36"/>
      <c r="AZ801" s="30"/>
      <c r="BA801" s="30"/>
      <c r="BB801" s="30" t="s">
        <v>69</v>
      </c>
      <c r="BC801" s="30" t="s">
        <v>1438</v>
      </c>
      <c r="BD801" s="30"/>
      <c r="BE801" s="30"/>
      <c r="BF801" s="30"/>
      <c r="BG801" s="30"/>
      <c r="BH801" s="30"/>
      <c r="BI801" s="30"/>
      <c r="BJ801" s="30"/>
      <c r="BK801" s="27"/>
      <c r="BL801" s="27"/>
    </row>
    <row r="802" spans="1:64">
      <c r="A802" s="68" t="s">
        <v>54</v>
      </c>
      <c r="B802" s="26">
        <v>46230</v>
      </c>
      <c r="C802" s="27">
        <v>12837</v>
      </c>
      <c r="D802" s="27"/>
      <c r="E802" s="27" t="s">
        <v>548</v>
      </c>
      <c r="F802" s="27" t="s">
        <v>1918</v>
      </c>
      <c r="G802" s="27" t="s">
        <v>104</v>
      </c>
      <c r="H802" s="30" t="s">
        <v>135</v>
      </c>
      <c r="I802" s="31" t="s">
        <v>1926</v>
      </c>
      <c r="J802" s="30" t="s">
        <v>1927</v>
      </c>
      <c r="K802" s="27">
        <v>4</v>
      </c>
      <c r="L802" s="27">
        <v>10</v>
      </c>
      <c r="M802" s="27"/>
      <c r="N802" s="31" t="s">
        <v>455</v>
      </c>
      <c r="O802" s="27"/>
      <c r="P802" s="30"/>
      <c r="Q802" s="30" t="s">
        <v>1928</v>
      </c>
      <c r="R802" s="26">
        <v>46231</v>
      </c>
      <c r="S802" s="26">
        <v>46233</v>
      </c>
      <c r="T802" s="31"/>
      <c r="U802" s="30" t="s">
        <v>68</v>
      </c>
      <c r="V802" s="34" t="s">
        <v>70</v>
      </c>
      <c r="W802" s="27" t="s">
        <v>548</v>
      </c>
      <c r="X802" s="30">
        <v>1</v>
      </c>
      <c r="Y802" s="30">
        <v>1</v>
      </c>
      <c r="Z802" s="30">
        <v>1</v>
      </c>
      <c r="AA802" s="30">
        <v>1</v>
      </c>
      <c r="AB802" s="61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6"/>
      <c r="AS802" s="36"/>
      <c r="AT802" s="36"/>
      <c r="AU802" s="36"/>
      <c r="AV802" s="36"/>
      <c r="AW802" s="36"/>
      <c r="AX802" s="36"/>
      <c r="AY802" s="36"/>
      <c r="AZ802" s="30"/>
      <c r="BA802" s="30"/>
      <c r="BB802" s="30" t="s">
        <v>69</v>
      </c>
      <c r="BC802" s="30" t="s">
        <v>1920</v>
      </c>
      <c r="BD802" s="30"/>
      <c r="BE802" s="30"/>
      <c r="BF802" s="30"/>
      <c r="BG802" s="30"/>
      <c r="BH802" s="30"/>
      <c r="BI802" s="30"/>
      <c r="BJ802" s="30"/>
      <c r="BK802" s="27"/>
      <c r="BL802" s="27"/>
    </row>
    <row r="803" spans="1:64">
      <c r="A803" s="68" t="s">
        <v>54</v>
      </c>
      <c r="B803" s="26">
        <v>46230</v>
      </c>
      <c r="C803" s="27"/>
      <c r="D803" s="27">
        <v>139494</v>
      </c>
      <c r="E803" s="27" t="s">
        <v>1929</v>
      </c>
      <c r="F803" s="27" t="s">
        <v>552</v>
      </c>
      <c r="G803" s="27" t="s">
        <v>575</v>
      </c>
      <c r="H803" s="30" t="s">
        <v>110</v>
      </c>
      <c r="I803" s="31" t="s">
        <v>565</v>
      </c>
      <c r="J803" s="30" t="s">
        <v>110</v>
      </c>
      <c r="K803" s="27">
        <v>1</v>
      </c>
      <c r="L803" s="27">
        <v>90</v>
      </c>
      <c r="M803" s="27"/>
      <c r="N803" s="31" t="s">
        <v>508</v>
      </c>
      <c r="O803" s="27"/>
      <c r="P803" s="30"/>
      <c r="Q803" s="30" t="s">
        <v>66</v>
      </c>
      <c r="R803" s="26">
        <v>46234</v>
      </c>
      <c r="S803" s="26">
        <v>46241</v>
      </c>
      <c r="T803" s="31"/>
      <c r="U803" s="30" t="s">
        <v>68</v>
      </c>
      <c r="V803" s="34" t="s">
        <v>70</v>
      </c>
      <c r="W803" s="27" t="s">
        <v>284</v>
      </c>
      <c r="X803" s="30">
        <v>1</v>
      </c>
      <c r="Y803" s="30">
        <v>1</v>
      </c>
      <c r="Z803" s="30">
        <v>1</v>
      </c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6"/>
      <c r="AS803" s="36"/>
      <c r="AT803" s="36"/>
      <c r="AU803" s="36"/>
      <c r="AV803" s="36"/>
      <c r="AW803" s="36"/>
      <c r="AX803" s="36"/>
      <c r="AY803" s="36"/>
      <c r="AZ803" s="30"/>
      <c r="BA803" s="30"/>
      <c r="BB803" s="30"/>
      <c r="BC803" s="30"/>
      <c r="BD803" s="30" t="s">
        <v>508</v>
      </c>
      <c r="BE803" s="30" t="s">
        <v>325</v>
      </c>
      <c r="BF803" s="30" t="s">
        <v>1930</v>
      </c>
      <c r="BG803" s="30"/>
      <c r="BH803" s="30"/>
      <c r="BI803" s="30"/>
      <c r="BJ803" s="30"/>
      <c r="BK803" s="27"/>
      <c r="BL803" s="27"/>
    </row>
    <row r="804" spans="1:64">
      <c r="A804" s="68" t="s">
        <v>54</v>
      </c>
      <c r="B804" s="26">
        <v>46230</v>
      </c>
      <c r="C804" s="27"/>
      <c r="D804" s="27">
        <v>139495</v>
      </c>
      <c r="E804" s="27" t="s">
        <v>1931</v>
      </c>
      <c r="F804" s="27" t="s">
        <v>552</v>
      </c>
      <c r="G804" s="27" t="s">
        <v>674</v>
      </c>
      <c r="H804" s="30" t="s">
        <v>110</v>
      </c>
      <c r="I804" s="31" t="s">
        <v>565</v>
      </c>
      <c r="J804" s="30" t="s">
        <v>110</v>
      </c>
      <c r="K804" s="27">
        <v>1</v>
      </c>
      <c r="L804" s="27">
        <v>300</v>
      </c>
      <c r="M804" s="27"/>
      <c r="N804" s="31" t="s">
        <v>508</v>
      </c>
      <c r="O804" s="27"/>
      <c r="P804" s="30"/>
      <c r="Q804" s="30" t="s">
        <v>66</v>
      </c>
      <c r="R804" s="26">
        <v>46234</v>
      </c>
      <c r="S804" s="26">
        <v>46241</v>
      </c>
      <c r="T804" s="31"/>
      <c r="U804" s="30" t="s">
        <v>68</v>
      </c>
      <c r="V804" s="34" t="s">
        <v>70</v>
      </c>
      <c r="W804" s="27" t="s">
        <v>284</v>
      </c>
      <c r="X804" s="30">
        <v>1</v>
      </c>
      <c r="Y804" s="30">
        <v>1</v>
      </c>
      <c r="Z804" s="30">
        <v>1</v>
      </c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6"/>
      <c r="AS804" s="36"/>
      <c r="AT804" s="36"/>
      <c r="AU804" s="36"/>
      <c r="AV804" s="36"/>
      <c r="AW804" s="36"/>
      <c r="AX804" s="36"/>
      <c r="AY804" s="36"/>
      <c r="AZ804" s="30"/>
      <c r="BA804" s="30"/>
      <c r="BB804" s="30"/>
      <c r="BC804" s="30"/>
      <c r="BD804" s="30" t="s">
        <v>508</v>
      </c>
      <c r="BE804" s="30" t="s">
        <v>325</v>
      </c>
      <c r="BF804" s="30" t="s">
        <v>1930</v>
      </c>
      <c r="BG804" s="30"/>
      <c r="BH804" s="30"/>
      <c r="BI804" s="30"/>
      <c r="BJ804" s="30"/>
      <c r="BK804" s="27"/>
      <c r="BL804" s="27"/>
    </row>
    <row r="805" spans="1:64">
      <c r="A805" s="68" t="s">
        <v>54</v>
      </c>
      <c r="B805" s="26">
        <v>46230</v>
      </c>
      <c r="C805" s="27">
        <v>27072</v>
      </c>
      <c r="D805" s="27"/>
      <c r="E805" s="27" t="s">
        <v>58</v>
      </c>
      <c r="F805" s="27" t="s">
        <v>48</v>
      </c>
      <c r="G805" s="27" t="s">
        <v>110</v>
      </c>
      <c r="H805" s="30" t="s">
        <v>1258</v>
      </c>
      <c r="I805" s="31" t="s">
        <v>1932</v>
      </c>
      <c r="J805" s="30" t="s">
        <v>1933</v>
      </c>
      <c r="K805" s="27">
        <v>21</v>
      </c>
      <c r="L805" s="27" t="s">
        <v>1934</v>
      </c>
      <c r="M805" s="27"/>
      <c r="N805" s="31" t="s">
        <v>124</v>
      </c>
      <c r="O805" s="27"/>
      <c r="P805" s="30"/>
      <c r="Q805" s="30" t="s">
        <v>66</v>
      </c>
      <c r="R805" s="26">
        <v>46234</v>
      </c>
      <c r="S805" s="26">
        <v>46241</v>
      </c>
      <c r="T805" s="31"/>
      <c r="U805" s="30" t="s">
        <v>68</v>
      </c>
      <c r="V805" s="34" t="s">
        <v>70</v>
      </c>
      <c r="W805" s="27" t="s">
        <v>71</v>
      </c>
      <c r="X805" s="30">
        <v>1</v>
      </c>
      <c r="Y805" s="30">
        <v>1</v>
      </c>
      <c r="Z805" s="30">
        <v>1</v>
      </c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6"/>
      <c r="AS805" s="36"/>
      <c r="AT805" s="36"/>
      <c r="AU805" s="36"/>
      <c r="AV805" s="36"/>
      <c r="AW805" s="36"/>
      <c r="AX805" s="36"/>
      <c r="AY805" s="36"/>
      <c r="AZ805" s="30"/>
      <c r="BA805" s="30"/>
      <c r="BB805" s="30" t="s">
        <v>118</v>
      </c>
      <c r="BC805" s="30"/>
      <c r="BD805" s="30" t="s">
        <v>124</v>
      </c>
      <c r="BE805" s="30"/>
      <c r="BF805" s="30" t="s">
        <v>41</v>
      </c>
      <c r="BG805" s="30"/>
      <c r="BH805" s="30"/>
      <c r="BI805" s="30"/>
      <c r="BJ805" s="30"/>
      <c r="BK805" s="27"/>
      <c r="BL805" s="27"/>
    </row>
    <row r="806" spans="1:64">
      <c r="A806" s="68" t="s">
        <v>54</v>
      </c>
      <c r="B806" s="26">
        <v>46230</v>
      </c>
      <c r="C806" s="27">
        <v>27074</v>
      </c>
      <c r="D806" s="27"/>
      <c r="E806" s="27" t="s">
        <v>58</v>
      </c>
      <c r="F806" s="27" t="s">
        <v>48</v>
      </c>
      <c r="G806" s="27" t="s">
        <v>110</v>
      </c>
      <c r="H806" s="30" t="s">
        <v>928</v>
      </c>
      <c r="I806" s="31" t="s">
        <v>610</v>
      </c>
      <c r="J806" s="30" t="s">
        <v>467</v>
      </c>
      <c r="K806" s="27">
        <v>7</v>
      </c>
      <c r="L806" s="27" t="s">
        <v>1270</v>
      </c>
      <c r="M806" s="27"/>
      <c r="N806" s="31" t="s">
        <v>124</v>
      </c>
      <c r="O806" s="27"/>
      <c r="P806" s="30"/>
      <c r="Q806" s="30" t="s">
        <v>66</v>
      </c>
      <c r="R806" s="26">
        <v>46235</v>
      </c>
      <c r="S806" s="26">
        <v>46241</v>
      </c>
      <c r="T806" s="31"/>
      <c r="U806" s="30" t="s">
        <v>68</v>
      </c>
      <c r="V806" s="34" t="s">
        <v>1742</v>
      </c>
      <c r="W806" s="27" t="s">
        <v>71</v>
      </c>
      <c r="X806" s="30">
        <v>1</v>
      </c>
      <c r="Y806" s="30">
        <v>1</v>
      </c>
      <c r="Z806" s="30">
        <v>1</v>
      </c>
      <c r="AA806" s="30"/>
      <c r="AB806" s="30" t="s">
        <v>41</v>
      </c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6"/>
      <c r="AS806" s="36"/>
      <c r="AT806" s="36"/>
      <c r="AU806" s="36"/>
      <c r="AV806" s="36"/>
      <c r="AW806" s="36"/>
      <c r="AX806" s="36"/>
      <c r="AY806" s="36"/>
      <c r="AZ806" s="30"/>
      <c r="BA806" s="30"/>
      <c r="BB806" s="30" t="s">
        <v>118</v>
      </c>
      <c r="BC806" s="30"/>
      <c r="BD806" s="30"/>
      <c r="BE806" s="30" t="s">
        <v>124</v>
      </c>
      <c r="BF806" s="30"/>
      <c r="BG806" s="30"/>
      <c r="BH806" s="30"/>
      <c r="BI806" s="30"/>
      <c r="BJ806" s="30"/>
      <c r="BK806" s="27"/>
      <c r="BL806" s="27"/>
    </row>
    <row r="807" spans="1:64">
      <c r="A807" s="68" t="s">
        <v>54</v>
      </c>
      <c r="B807" s="26">
        <v>46230</v>
      </c>
      <c r="C807" s="27">
        <v>27073</v>
      </c>
      <c r="D807" s="27"/>
      <c r="E807" s="27" t="s">
        <v>58</v>
      </c>
      <c r="F807" s="27" t="s">
        <v>48</v>
      </c>
      <c r="G807" s="27" t="s">
        <v>110</v>
      </c>
      <c r="H807" s="30" t="s">
        <v>931</v>
      </c>
      <c r="I807" s="31" t="s">
        <v>1935</v>
      </c>
      <c r="J807" s="30" t="s">
        <v>1936</v>
      </c>
      <c r="K807" s="27">
        <v>6</v>
      </c>
      <c r="L807" s="48">
        <v>46262</v>
      </c>
      <c r="M807" s="27"/>
      <c r="N807" s="31" t="s">
        <v>124</v>
      </c>
      <c r="O807" s="27"/>
      <c r="P807" s="30"/>
      <c r="Q807" s="30" t="s">
        <v>66</v>
      </c>
      <c r="R807" s="26">
        <v>46235</v>
      </c>
      <c r="S807" s="26">
        <v>46241</v>
      </c>
      <c r="T807" s="31"/>
      <c r="U807" s="30" t="s">
        <v>68</v>
      </c>
      <c r="V807" s="34" t="s">
        <v>70</v>
      </c>
      <c r="W807" s="27" t="s">
        <v>71</v>
      </c>
      <c r="X807" s="30">
        <v>1</v>
      </c>
      <c r="Y807" s="30">
        <v>1</v>
      </c>
      <c r="Z807" s="30">
        <v>1</v>
      </c>
      <c r="AA807" s="30"/>
      <c r="AB807" s="30" t="s">
        <v>41</v>
      </c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6"/>
      <c r="AS807" s="36"/>
      <c r="AT807" s="36"/>
      <c r="AU807" s="36"/>
      <c r="AV807" s="36"/>
      <c r="AW807" s="36"/>
      <c r="AX807" s="36"/>
      <c r="AY807" s="36"/>
      <c r="AZ807" s="30"/>
      <c r="BA807" s="30"/>
      <c r="BB807" s="30" t="s">
        <v>118</v>
      </c>
      <c r="BC807" s="30"/>
      <c r="BD807" s="30"/>
      <c r="BE807" s="30" t="s">
        <v>124</v>
      </c>
      <c r="BF807" s="30"/>
      <c r="BG807" s="30"/>
      <c r="BH807" s="30"/>
      <c r="BI807" s="30"/>
      <c r="BJ807" s="30"/>
      <c r="BK807" s="27"/>
      <c r="BL807" s="27"/>
    </row>
    <row r="808" spans="1:64">
      <c r="A808" s="68" t="s">
        <v>187</v>
      </c>
      <c r="B808" s="26">
        <v>46230</v>
      </c>
      <c r="C808" s="27">
        <v>27083</v>
      </c>
      <c r="D808" s="27"/>
      <c r="E808" s="27" t="s">
        <v>883</v>
      </c>
      <c r="F808" s="27" t="s">
        <v>59</v>
      </c>
      <c r="G808" s="27" t="s">
        <v>60</v>
      </c>
      <c r="H808" s="30" t="s">
        <v>1937</v>
      </c>
      <c r="I808" s="31" t="s">
        <v>1938</v>
      </c>
      <c r="J808" s="30" t="s">
        <v>1939</v>
      </c>
      <c r="K808" s="27">
        <v>4</v>
      </c>
      <c r="L808" s="27"/>
      <c r="M808" s="27">
        <v>188.33</v>
      </c>
      <c r="N808" s="31"/>
      <c r="O808" s="27" t="s">
        <v>1940</v>
      </c>
      <c r="P808" s="30"/>
      <c r="Q808" s="30"/>
      <c r="R808" s="27"/>
      <c r="S808" s="27"/>
      <c r="T808" s="31"/>
      <c r="U808" s="30" t="s">
        <v>626</v>
      </c>
      <c r="V808" s="34" t="s">
        <v>627</v>
      </c>
      <c r="W808" s="27" t="s">
        <v>1266</v>
      </c>
      <c r="X808" s="30"/>
      <c r="Y808" s="30"/>
      <c r="Z808" s="30"/>
      <c r="AA808" s="30"/>
      <c r="AB808" s="30"/>
      <c r="AC808" s="30"/>
      <c r="AD808" s="30"/>
      <c r="AE808" s="30"/>
      <c r="AF808" s="30" t="s">
        <v>1941</v>
      </c>
      <c r="AG808" s="30"/>
      <c r="AH808" s="30"/>
      <c r="AI808" s="30" t="s">
        <v>1942</v>
      </c>
      <c r="AJ808" s="30"/>
      <c r="AK808" s="30"/>
      <c r="AL808" s="30"/>
      <c r="AM808" s="30"/>
      <c r="AN808" s="30"/>
      <c r="AO808" s="30"/>
      <c r="AP808" s="30"/>
      <c r="AQ808" s="30"/>
      <c r="AR808" s="36"/>
      <c r="AS808" s="36"/>
      <c r="AT808" s="36"/>
      <c r="AU808" s="36"/>
      <c r="AV808" s="36"/>
      <c r="AW808" s="36"/>
      <c r="AX808" s="36"/>
      <c r="AY808" s="36"/>
      <c r="AZ808" s="30"/>
      <c r="BA808" s="30"/>
      <c r="BB808" s="30" t="s">
        <v>733</v>
      </c>
      <c r="BC808" s="30"/>
      <c r="BD808" s="30" t="s">
        <v>680</v>
      </c>
      <c r="BE808" s="30" t="s">
        <v>1943</v>
      </c>
      <c r="BF808" s="30"/>
      <c r="BG808" s="30"/>
      <c r="BH808" s="30"/>
      <c r="BI808" s="30"/>
      <c r="BJ808" s="30"/>
      <c r="BK808" s="27"/>
      <c r="BL808" s="27"/>
    </row>
    <row r="809" spans="1:64">
      <c r="A809" s="68" t="s">
        <v>187</v>
      </c>
      <c r="B809" s="26">
        <v>46230</v>
      </c>
      <c r="C809" s="27">
        <v>27804</v>
      </c>
      <c r="D809" s="27"/>
      <c r="E809" s="27" t="s">
        <v>883</v>
      </c>
      <c r="F809" s="27" t="s">
        <v>59</v>
      </c>
      <c r="G809" s="27" t="s">
        <v>60</v>
      </c>
      <c r="H809" s="30" t="s">
        <v>1937</v>
      </c>
      <c r="I809" s="31" t="s">
        <v>1944</v>
      </c>
      <c r="J809" s="30" t="s">
        <v>1945</v>
      </c>
      <c r="K809" s="27">
        <v>21</v>
      </c>
      <c r="L809" s="27"/>
      <c r="M809" s="27">
        <v>883.87</v>
      </c>
      <c r="N809" s="31"/>
      <c r="O809" s="27" t="s">
        <v>1940</v>
      </c>
      <c r="P809" s="30"/>
      <c r="Q809" s="30"/>
      <c r="R809" s="27"/>
      <c r="S809" s="27"/>
      <c r="T809" s="31"/>
      <c r="U809" s="30" t="s">
        <v>626</v>
      </c>
      <c r="V809" s="34" t="s">
        <v>627</v>
      </c>
      <c r="W809" s="27" t="s">
        <v>1266</v>
      </c>
      <c r="X809" s="30"/>
      <c r="Y809" s="30"/>
      <c r="Z809" s="30"/>
      <c r="AA809" s="30"/>
      <c r="AB809" s="30"/>
      <c r="AC809" s="30"/>
      <c r="AD809" s="30"/>
      <c r="AE809" s="30"/>
      <c r="AF809" s="30" t="s">
        <v>1941</v>
      </c>
      <c r="AG809" s="30"/>
      <c r="AH809" s="30"/>
      <c r="AI809" s="30" t="s">
        <v>1942</v>
      </c>
      <c r="AJ809" s="30"/>
      <c r="AK809" s="30"/>
      <c r="AL809" s="30"/>
      <c r="AM809" s="30"/>
      <c r="AN809" s="30"/>
      <c r="AO809" s="30"/>
      <c r="AP809" s="30"/>
      <c r="AQ809" s="30"/>
      <c r="AR809" s="36"/>
      <c r="AS809" s="36"/>
      <c r="AT809" s="36"/>
      <c r="AU809" s="36"/>
      <c r="AV809" s="36"/>
      <c r="AW809" s="36"/>
      <c r="AX809" s="36"/>
      <c r="AY809" s="36"/>
      <c r="AZ809" s="30"/>
      <c r="BA809" s="30"/>
      <c r="BB809" s="30" t="s">
        <v>733</v>
      </c>
      <c r="BC809" s="30"/>
      <c r="BD809" s="30" t="s">
        <v>680</v>
      </c>
      <c r="BE809" s="30" t="s">
        <v>1943</v>
      </c>
      <c r="BF809" s="30"/>
      <c r="BG809" s="30"/>
      <c r="BH809" s="30"/>
      <c r="BI809" s="30"/>
      <c r="BJ809" s="30"/>
      <c r="BK809" s="27"/>
      <c r="BL809" s="27"/>
    </row>
    <row r="810" spans="1:64">
      <c r="A810" s="68"/>
      <c r="B810" s="26">
        <v>46230</v>
      </c>
      <c r="C810" s="27">
        <v>27071</v>
      </c>
      <c r="D810" s="27"/>
      <c r="E810" s="27" t="s">
        <v>883</v>
      </c>
      <c r="F810" s="27" t="s">
        <v>59</v>
      </c>
      <c r="G810" s="27" t="s">
        <v>60</v>
      </c>
      <c r="H810" s="30" t="s">
        <v>1276</v>
      </c>
      <c r="I810" s="31" t="s">
        <v>1946</v>
      </c>
      <c r="J810" s="30" t="s">
        <v>1947</v>
      </c>
      <c r="K810" s="27">
        <v>3</v>
      </c>
      <c r="L810" s="27"/>
      <c r="M810" s="27"/>
      <c r="N810" s="31"/>
      <c r="O810" s="27" t="s">
        <v>272</v>
      </c>
      <c r="P810" s="30"/>
      <c r="Q810" s="30" t="s">
        <v>1948</v>
      </c>
      <c r="R810" s="26">
        <v>46234</v>
      </c>
      <c r="S810" s="27"/>
      <c r="T810" s="31"/>
      <c r="U810" s="30" t="s">
        <v>419</v>
      </c>
      <c r="V810" s="34" t="s">
        <v>90</v>
      </c>
      <c r="W810" s="27" t="s">
        <v>1266</v>
      </c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6"/>
      <c r="AS810" s="36"/>
      <c r="AT810" s="36"/>
      <c r="AU810" s="36"/>
      <c r="AV810" s="36"/>
      <c r="AW810" s="36"/>
      <c r="AX810" s="36"/>
      <c r="AY810" s="36"/>
      <c r="AZ810" s="30"/>
      <c r="BA810" s="30"/>
      <c r="BB810" s="30"/>
      <c r="BC810" s="30" t="s">
        <v>272</v>
      </c>
      <c r="BD810" s="30"/>
      <c r="BE810" s="30"/>
      <c r="BF810" s="30" t="s">
        <v>90</v>
      </c>
      <c r="BG810" s="30"/>
      <c r="BH810" s="30"/>
      <c r="BI810" s="30"/>
      <c r="BJ810" s="30"/>
      <c r="BK810" s="27"/>
      <c r="BL810" s="27"/>
    </row>
    <row r="811" spans="1:64">
      <c r="A811" s="68" t="s">
        <v>54</v>
      </c>
      <c r="B811" s="26">
        <v>46231</v>
      </c>
      <c r="C811" s="27">
        <v>29705</v>
      </c>
      <c r="D811" s="27"/>
      <c r="E811" s="27" t="s">
        <v>133</v>
      </c>
      <c r="F811" s="27" t="s">
        <v>59</v>
      </c>
      <c r="G811" s="27" t="s">
        <v>28</v>
      </c>
      <c r="H811" s="30" t="s">
        <v>170</v>
      </c>
      <c r="I811" s="31" t="s">
        <v>1143</v>
      </c>
      <c r="J811" s="30" t="s">
        <v>1950</v>
      </c>
      <c r="K811" s="27">
        <v>2</v>
      </c>
      <c r="L811" s="27"/>
      <c r="M811" s="27"/>
      <c r="N811" s="31" t="s">
        <v>154</v>
      </c>
      <c r="O811" s="27"/>
      <c r="P811" s="30"/>
      <c r="Q811" s="30" t="s">
        <v>66</v>
      </c>
      <c r="R811" s="26">
        <v>46234</v>
      </c>
      <c r="S811" s="26">
        <v>46237</v>
      </c>
      <c r="T811" s="31" t="s">
        <v>1951</v>
      </c>
      <c r="U811" s="30" t="s">
        <v>68</v>
      </c>
      <c r="V811" s="34" t="s">
        <v>70</v>
      </c>
      <c r="W811" s="27" t="s">
        <v>141</v>
      </c>
      <c r="X811" s="30">
        <v>1</v>
      </c>
      <c r="Y811" s="30">
        <v>1</v>
      </c>
      <c r="Z811" s="30">
        <v>1</v>
      </c>
      <c r="AA811" s="30">
        <v>1</v>
      </c>
      <c r="AB811" s="65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6"/>
      <c r="AS811" s="36"/>
      <c r="AT811" s="36"/>
      <c r="AU811" s="36"/>
      <c r="AV811" s="36"/>
      <c r="AW811" s="36"/>
      <c r="AX811" s="36"/>
      <c r="AY811" s="36"/>
      <c r="AZ811" s="30"/>
      <c r="BA811" s="30"/>
      <c r="BB811" s="30"/>
      <c r="BC811" s="30" t="s">
        <v>69</v>
      </c>
      <c r="BD811" s="30"/>
      <c r="BE811" s="30"/>
      <c r="BF811" s="30" t="s">
        <v>157</v>
      </c>
      <c r="BG811" s="30"/>
      <c r="BH811" s="30"/>
      <c r="BI811" s="30"/>
      <c r="BJ811" s="30"/>
      <c r="BK811" s="27"/>
      <c r="BL811" s="27"/>
    </row>
    <row r="812" spans="1:64">
      <c r="A812" s="68" t="s">
        <v>54</v>
      </c>
      <c r="B812" s="26">
        <v>46231</v>
      </c>
      <c r="C812" s="27">
        <v>28824</v>
      </c>
      <c r="D812" s="27"/>
      <c r="E812" s="27" t="s">
        <v>212</v>
      </c>
      <c r="F812" s="27" t="s">
        <v>59</v>
      </c>
      <c r="G812" s="27" t="s">
        <v>104</v>
      </c>
      <c r="H812" s="30" t="s">
        <v>151</v>
      </c>
      <c r="I812" s="31" t="s">
        <v>638</v>
      </c>
      <c r="J812" s="30" t="s">
        <v>151</v>
      </c>
      <c r="K812" s="27">
        <v>1</v>
      </c>
      <c r="L812" s="27" t="s">
        <v>205</v>
      </c>
      <c r="M812" s="27"/>
      <c r="N812" s="31" t="s">
        <v>154</v>
      </c>
      <c r="O812" s="27"/>
      <c r="P812" s="30"/>
      <c r="Q812" s="30" t="s">
        <v>66</v>
      </c>
      <c r="R812" s="26">
        <v>46232</v>
      </c>
      <c r="S812" s="26">
        <v>46233</v>
      </c>
      <c r="T812" s="31"/>
      <c r="U812" s="30" t="s">
        <v>68</v>
      </c>
      <c r="V812" s="34" t="s">
        <v>70</v>
      </c>
      <c r="W812" s="27" t="s">
        <v>208</v>
      </c>
      <c r="X812" s="30">
        <v>1</v>
      </c>
      <c r="Y812" s="30">
        <v>1</v>
      </c>
      <c r="Z812" s="30">
        <v>1</v>
      </c>
      <c r="AA812" s="30">
        <v>1</v>
      </c>
      <c r="AB812" s="65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6"/>
      <c r="AS812" s="36"/>
      <c r="AT812" s="36"/>
      <c r="AU812" s="36"/>
      <c r="AV812" s="36"/>
      <c r="AW812" s="36"/>
      <c r="AX812" s="36"/>
      <c r="AY812" s="36"/>
      <c r="AZ812" s="30"/>
      <c r="BA812" s="30"/>
      <c r="BB812" s="30"/>
      <c r="BC812" s="30" t="s">
        <v>69</v>
      </c>
      <c r="BD812" s="30" t="s">
        <v>157</v>
      </c>
      <c r="BE812" s="30"/>
      <c r="BF812" s="30"/>
      <c r="BG812" s="30"/>
      <c r="BH812" s="30"/>
      <c r="BI812" s="30"/>
      <c r="BJ812" s="30"/>
      <c r="BK812" s="27"/>
      <c r="BL812" s="27"/>
    </row>
    <row r="813" spans="1:64">
      <c r="A813" s="68" t="s">
        <v>54</v>
      </c>
      <c r="B813" s="26">
        <v>46231</v>
      </c>
      <c r="C813" s="27">
        <v>28820</v>
      </c>
      <c r="D813" s="27"/>
      <c r="E813" s="27" t="s">
        <v>233</v>
      </c>
      <c r="F813" s="27" t="s">
        <v>59</v>
      </c>
      <c r="G813" s="27" t="s">
        <v>104</v>
      </c>
      <c r="H813" s="30" t="s">
        <v>151</v>
      </c>
      <c r="I813" s="31" t="s">
        <v>277</v>
      </c>
      <c r="J813" s="30" t="s">
        <v>151</v>
      </c>
      <c r="K813" s="27">
        <v>1</v>
      </c>
      <c r="L813" s="27" t="s">
        <v>205</v>
      </c>
      <c r="M813" s="27"/>
      <c r="N813" s="31" t="s">
        <v>154</v>
      </c>
      <c r="O813" s="27"/>
      <c r="P813" s="30"/>
      <c r="Q813" s="30" t="s">
        <v>66</v>
      </c>
      <c r="R813" s="26">
        <v>46232</v>
      </c>
      <c r="S813" s="26">
        <v>46233</v>
      </c>
      <c r="T813" s="31"/>
      <c r="U813" s="30" t="s">
        <v>68</v>
      </c>
      <c r="V813" s="34" t="s">
        <v>70</v>
      </c>
      <c r="W813" s="27" t="s">
        <v>208</v>
      </c>
      <c r="X813" s="30">
        <v>1</v>
      </c>
      <c r="Y813" s="30">
        <v>1</v>
      </c>
      <c r="Z813" s="30">
        <v>1</v>
      </c>
      <c r="AA813" s="30">
        <v>1</v>
      </c>
      <c r="AB813" s="65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6"/>
      <c r="AS813" s="36"/>
      <c r="AT813" s="36"/>
      <c r="AU813" s="36"/>
      <c r="AV813" s="36"/>
      <c r="AW813" s="36"/>
      <c r="AX813" s="36"/>
      <c r="AY813" s="36"/>
      <c r="AZ813" s="30"/>
      <c r="BA813" s="30"/>
      <c r="BB813" s="30"/>
      <c r="BC813" s="30" t="s">
        <v>69</v>
      </c>
      <c r="BD813" s="30" t="s">
        <v>157</v>
      </c>
      <c r="BE813" s="30"/>
      <c r="BF813" s="30"/>
      <c r="BG813" s="30"/>
      <c r="BH813" s="30"/>
      <c r="BI813" s="30"/>
      <c r="BJ813" s="30"/>
      <c r="BK813" s="27"/>
      <c r="BL813" s="27"/>
    </row>
    <row r="814" spans="1:64">
      <c r="A814" s="68" t="s">
        <v>54</v>
      </c>
      <c r="B814" s="26">
        <v>46231</v>
      </c>
      <c r="C814" s="27">
        <v>28818</v>
      </c>
      <c r="D814" s="27"/>
      <c r="E814" s="27" t="s">
        <v>212</v>
      </c>
      <c r="F814" s="27" t="s">
        <v>59</v>
      </c>
      <c r="G814" s="27" t="s">
        <v>104</v>
      </c>
      <c r="H814" s="30" t="s">
        <v>28</v>
      </c>
      <c r="I814" s="31" t="s">
        <v>1769</v>
      </c>
      <c r="J814" s="30" t="s">
        <v>28</v>
      </c>
      <c r="K814" s="27">
        <v>1</v>
      </c>
      <c r="L814" s="27" t="s">
        <v>205</v>
      </c>
      <c r="M814" s="27"/>
      <c r="N814" s="31" t="s">
        <v>384</v>
      </c>
      <c r="O814" s="27"/>
      <c r="P814" s="30"/>
      <c r="Q814" s="30" t="s">
        <v>1953</v>
      </c>
      <c r="R814" s="26">
        <v>46233</v>
      </c>
      <c r="S814" s="26">
        <v>46233</v>
      </c>
      <c r="T814" s="31"/>
      <c r="U814" s="30" t="s">
        <v>68</v>
      </c>
      <c r="V814" s="34" t="s">
        <v>70</v>
      </c>
      <c r="W814" s="27" t="s">
        <v>208</v>
      </c>
      <c r="X814" s="30"/>
      <c r="Y814" s="30"/>
      <c r="Z814" s="30"/>
      <c r="AA814" s="30">
        <v>1</v>
      </c>
      <c r="AB814" s="65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6"/>
      <c r="AS814" s="36"/>
      <c r="AT814" s="36"/>
      <c r="AU814" s="36"/>
      <c r="AV814" s="36"/>
      <c r="AW814" s="36"/>
      <c r="AX814" s="36"/>
      <c r="AY814" s="36"/>
      <c r="AZ814" s="30"/>
      <c r="BA814" s="30"/>
      <c r="BB814" s="30"/>
      <c r="BC814" s="30" t="s">
        <v>69</v>
      </c>
      <c r="BD814" s="30"/>
      <c r="BE814" s="30"/>
      <c r="BF814" s="30"/>
      <c r="BG814" s="30"/>
      <c r="BH814" s="30"/>
      <c r="BI814" s="30"/>
      <c r="BJ814" s="30"/>
      <c r="BK814" s="27"/>
      <c r="BL814" s="27"/>
    </row>
    <row r="815" spans="1:64">
      <c r="A815" s="68" t="s">
        <v>54</v>
      </c>
      <c r="B815" s="26">
        <v>46231</v>
      </c>
      <c r="C815" s="27">
        <v>28817</v>
      </c>
      <c r="D815" s="27"/>
      <c r="E815" s="27" t="s">
        <v>1954</v>
      </c>
      <c r="F815" s="27" t="s">
        <v>59</v>
      </c>
      <c r="G815" s="27" t="s">
        <v>104</v>
      </c>
      <c r="H815" s="30" t="s">
        <v>60</v>
      </c>
      <c r="I815" s="31" t="s">
        <v>749</v>
      </c>
      <c r="J815" s="30" t="s">
        <v>60</v>
      </c>
      <c r="K815" s="27">
        <v>1</v>
      </c>
      <c r="L815" s="27" t="s">
        <v>205</v>
      </c>
      <c r="M815" s="27"/>
      <c r="N815" s="31" t="s">
        <v>297</v>
      </c>
      <c r="O815" s="27"/>
      <c r="P815" s="30"/>
      <c r="Q815" s="30" t="s">
        <v>66</v>
      </c>
      <c r="R815" s="26">
        <v>46234</v>
      </c>
      <c r="S815" s="26">
        <v>46235</v>
      </c>
      <c r="T815" s="31"/>
      <c r="U815" s="30" t="s">
        <v>68</v>
      </c>
      <c r="V815" s="34" t="s">
        <v>70</v>
      </c>
      <c r="W815" s="27" t="s">
        <v>208</v>
      </c>
      <c r="X815" s="30">
        <v>1</v>
      </c>
      <c r="Y815" s="30">
        <v>1</v>
      </c>
      <c r="Z815" s="30">
        <v>1</v>
      </c>
      <c r="AA815" s="30">
        <v>1</v>
      </c>
      <c r="AB815" s="65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6"/>
      <c r="AS815" s="36"/>
      <c r="AT815" s="36"/>
      <c r="AU815" s="36"/>
      <c r="AV815" s="36"/>
      <c r="AW815" s="36"/>
      <c r="AX815" s="36"/>
      <c r="AY815" s="36"/>
      <c r="AZ815" s="30"/>
      <c r="BA815" s="30"/>
      <c r="BB815" s="30"/>
      <c r="BC815" s="30" t="s">
        <v>69</v>
      </c>
      <c r="BD815" s="30"/>
      <c r="BE815" s="30"/>
      <c r="BF815" s="30" t="s">
        <v>105</v>
      </c>
      <c r="BG815" s="30"/>
      <c r="BH815" s="30"/>
      <c r="BI815" s="30"/>
      <c r="BJ815" s="30"/>
      <c r="BK815" s="27"/>
      <c r="BL815" s="27"/>
    </row>
    <row r="816" spans="1:64">
      <c r="A816" s="68" t="s">
        <v>54</v>
      </c>
      <c r="B816" s="26">
        <v>46231</v>
      </c>
      <c r="C816" s="27">
        <v>30626</v>
      </c>
      <c r="D816" s="27"/>
      <c r="E816" s="27" t="s">
        <v>1954</v>
      </c>
      <c r="F816" s="27" t="s">
        <v>59</v>
      </c>
      <c r="G816" s="27" t="s">
        <v>104</v>
      </c>
      <c r="H816" s="30" t="s">
        <v>60</v>
      </c>
      <c r="I816" s="31" t="s">
        <v>1955</v>
      </c>
      <c r="J816" s="30" t="s">
        <v>60</v>
      </c>
      <c r="K816" s="27">
        <v>1</v>
      </c>
      <c r="L816" s="27" t="s">
        <v>205</v>
      </c>
      <c r="M816" s="27"/>
      <c r="N816" s="31" t="s">
        <v>507</v>
      </c>
      <c r="O816" s="27"/>
      <c r="P816" s="30"/>
      <c r="Q816" s="30" t="s">
        <v>66</v>
      </c>
      <c r="R816" s="26">
        <v>46233</v>
      </c>
      <c r="S816" s="26">
        <v>46234</v>
      </c>
      <c r="T816" s="31"/>
      <c r="U816" s="30" t="s">
        <v>68</v>
      </c>
      <c r="V816" s="34" t="s">
        <v>70</v>
      </c>
      <c r="W816" s="27" t="s">
        <v>208</v>
      </c>
      <c r="X816" s="30">
        <v>1</v>
      </c>
      <c r="Y816" s="30">
        <v>1</v>
      </c>
      <c r="Z816" s="30">
        <v>1</v>
      </c>
      <c r="AA816" s="30">
        <v>1</v>
      </c>
      <c r="AB816" s="65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6"/>
      <c r="AS816" s="36"/>
      <c r="AT816" s="36"/>
      <c r="AU816" s="36"/>
      <c r="AV816" s="36"/>
      <c r="AW816" s="36"/>
      <c r="AX816" s="36"/>
      <c r="AY816" s="36"/>
      <c r="AZ816" s="30"/>
      <c r="BA816" s="30"/>
      <c r="BB816" s="30"/>
      <c r="BC816" s="30" t="s">
        <v>69</v>
      </c>
      <c r="BD816" s="30"/>
      <c r="BE816" s="30" t="s">
        <v>1438</v>
      </c>
      <c r="BF816" s="30"/>
      <c r="BG816" s="30"/>
      <c r="BH816" s="30"/>
      <c r="BI816" s="30"/>
      <c r="BJ816" s="30"/>
      <c r="BK816" s="27"/>
      <c r="BL816" s="27"/>
    </row>
    <row r="817" spans="1:64">
      <c r="A817" s="68" t="s">
        <v>54</v>
      </c>
      <c r="B817" s="26">
        <v>46231</v>
      </c>
      <c r="C817" s="27">
        <v>28822</v>
      </c>
      <c r="D817" s="27"/>
      <c r="E817" s="27" t="s">
        <v>212</v>
      </c>
      <c r="F817" s="27" t="s">
        <v>59</v>
      </c>
      <c r="G817" s="27" t="s">
        <v>104</v>
      </c>
      <c r="H817" s="30" t="s">
        <v>60</v>
      </c>
      <c r="I817" s="31" t="s">
        <v>927</v>
      </c>
      <c r="J817" s="30" t="s">
        <v>60</v>
      </c>
      <c r="K817" s="27">
        <v>1</v>
      </c>
      <c r="L817" s="27" t="s">
        <v>205</v>
      </c>
      <c r="M817" s="27"/>
      <c r="N817" s="31" t="s">
        <v>297</v>
      </c>
      <c r="O817" s="27"/>
      <c r="P817" s="30"/>
      <c r="Q817" s="30" t="s">
        <v>66</v>
      </c>
      <c r="R817" s="26">
        <v>46234</v>
      </c>
      <c r="S817" s="26">
        <v>46235</v>
      </c>
      <c r="T817" s="31"/>
      <c r="U817" s="30" t="s">
        <v>68</v>
      </c>
      <c r="V817" s="34" t="s">
        <v>70</v>
      </c>
      <c r="W817" s="27" t="s">
        <v>208</v>
      </c>
      <c r="X817" s="30">
        <v>1</v>
      </c>
      <c r="Y817" s="30">
        <v>1</v>
      </c>
      <c r="Z817" s="30">
        <v>1</v>
      </c>
      <c r="AA817" s="30">
        <v>1</v>
      </c>
      <c r="AB817" s="65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6"/>
      <c r="AS817" s="36"/>
      <c r="AT817" s="36"/>
      <c r="AU817" s="36"/>
      <c r="AV817" s="36"/>
      <c r="AW817" s="36"/>
      <c r="AX817" s="36"/>
      <c r="AY817" s="36"/>
      <c r="AZ817" s="30"/>
      <c r="BA817" s="30"/>
      <c r="BB817" s="30"/>
      <c r="BC817" s="30" t="s">
        <v>69</v>
      </c>
      <c r="BD817" s="30"/>
      <c r="BE817" s="30"/>
      <c r="BF817" s="30" t="s">
        <v>105</v>
      </c>
      <c r="BG817" s="30"/>
      <c r="BH817" s="30"/>
      <c r="BI817" s="30"/>
      <c r="BJ817" s="30"/>
      <c r="BK817" s="27"/>
      <c r="BL817" s="27"/>
    </row>
    <row r="818" spans="1:64">
      <c r="A818" s="68" t="s">
        <v>54</v>
      </c>
      <c r="B818" s="26">
        <v>46231</v>
      </c>
      <c r="C818" s="27">
        <v>28825</v>
      </c>
      <c r="D818" s="27"/>
      <c r="E818" s="27" t="s">
        <v>212</v>
      </c>
      <c r="F818" s="27" t="s">
        <v>59</v>
      </c>
      <c r="G818" s="27" t="s">
        <v>104</v>
      </c>
      <c r="H818" s="30" t="s">
        <v>60</v>
      </c>
      <c r="I818" s="31" t="s">
        <v>647</v>
      </c>
      <c r="J818" s="30" t="s">
        <v>60</v>
      </c>
      <c r="K818" s="27">
        <v>1</v>
      </c>
      <c r="L818" s="27" t="s">
        <v>205</v>
      </c>
      <c r="M818" s="27"/>
      <c r="N818" s="31" t="s">
        <v>297</v>
      </c>
      <c r="O818" s="27"/>
      <c r="P818" s="30"/>
      <c r="Q818" s="30" t="s">
        <v>66</v>
      </c>
      <c r="R818" s="26">
        <v>46234</v>
      </c>
      <c r="S818" s="26">
        <v>46235</v>
      </c>
      <c r="T818" s="31"/>
      <c r="U818" s="30" t="s">
        <v>68</v>
      </c>
      <c r="V818" s="34" t="s">
        <v>70</v>
      </c>
      <c r="W818" s="27" t="s">
        <v>208</v>
      </c>
      <c r="X818" s="30">
        <v>1</v>
      </c>
      <c r="Y818" s="30">
        <v>1</v>
      </c>
      <c r="Z818" s="30">
        <v>1</v>
      </c>
      <c r="AA818" s="30">
        <v>1</v>
      </c>
      <c r="AB818" s="65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6"/>
      <c r="AS818" s="36"/>
      <c r="AT818" s="36"/>
      <c r="AU818" s="36"/>
      <c r="AV818" s="36"/>
      <c r="AW818" s="36"/>
      <c r="AX818" s="36"/>
      <c r="AY818" s="36"/>
      <c r="AZ818" s="30"/>
      <c r="BA818" s="30"/>
      <c r="BB818" s="30"/>
      <c r="BC818" s="30" t="s">
        <v>69</v>
      </c>
      <c r="BD818" s="30"/>
      <c r="BE818" s="30"/>
      <c r="BF818" s="30" t="s">
        <v>105</v>
      </c>
      <c r="BG818" s="30"/>
      <c r="BH818" s="30"/>
      <c r="BI818" s="30"/>
      <c r="BJ818" s="30"/>
      <c r="BK818" s="27"/>
      <c r="BL818" s="27"/>
    </row>
    <row r="819" spans="1:64">
      <c r="A819" s="68" t="s">
        <v>54</v>
      </c>
      <c r="B819" s="26">
        <v>46231</v>
      </c>
      <c r="C819" s="27">
        <v>30630</v>
      </c>
      <c r="D819" s="27"/>
      <c r="E819" s="27" t="s">
        <v>203</v>
      </c>
      <c r="F819" s="27" t="s">
        <v>59</v>
      </c>
      <c r="G819" s="27" t="s">
        <v>104</v>
      </c>
      <c r="H819" s="30" t="s">
        <v>60</v>
      </c>
      <c r="I819" s="31" t="s">
        <v>649</v>
      </c>
      <c r="J819" s="30" t="s">
        <v>60</v>
      </c>
      <c r="K819" s="27">
        <v>1</v>
      </c>
      <c r="L819" s="27" t="s">
        <v>205</v>
      </c>
      <c r="M819" s="27"/>
      <c r="N819" s="31" t="s">
        <v>297</v>
      </c>
      <c r="O819" s="27"/>
      <c r="P819" s="30"/>
      <c r="Q819" s="30" t="s">
        <v>66</v>
      </c>
      <c r="R819" s="26">
        <v>46234</v>
      </c>
      <c r="S819" s="26">
        <v>46235</v>
      </c>
      <c r="T819" s="31"/>
      <c r="U819" s="30" t="s">
        <v>68</v>
      </c>
      <c r="V819" s="34" t="s">
        <v>70</v>
      </c>
      <c r="W819" s="27" t="s">
        <v>208</v>
      </c>
      <c r="X819" s="30"/>
      <c r="Y819" s="30"/>
      <c r="Z819" s="30"/>
      <c r="AA819" s="30">
        <v>1</v>
      </c>
      <c r="AB819" s="65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6"/>
      <c r="AS819" s="36"/>
      <c r="AT819" s="36"/>
      <c r="AU819" s="36"/>
      <c r="AV819" s="36"/>
      <c r="AW819" s="36"/>
      <c r="AX819" s="36"/>
      <c r="AY819" s="36"/>
      <c r="AZ819" s="30"/>
      <c r="BA819" s="30"/>
      <c r="BB819" s="30"/>
      <c r="BC819" s="30" t="s">
        <v>69</v>
      </c>
      <c r="BD819" s="30"/>
      <c r="BE819" s="30"/>
      <c r="BF819" s="30" t="s">
        <v>105</v>
      </c>
      <c r="BG819" s="30"/>
      <c r="BH819" s="30"/>
      <c r="BI819" s="30"/>
      <c r="BJ819" s="30"/>
      <c r="BK819" s="27"/>
      <c r="BL819" s="27"/>
    </row>
    <row r="820" spans="1:64">
      <c r="A820" s="68" t="s">
        <v>54</v>
      </c>
      <c r="B820" s="26">
        <v>46231</v>
      </c>
      <c r="C820" s="27">
        <v>28819</v>
      </c>
      <c r="D820" s="27"/>
      <c r="E820" s="27" t="s">
        <v>212</v>
      </c>
      <c r="F820" s="27" t="s">
        <v>59</v>
      </c>
      <c r="G820" s="27" t="s">
        <v>104</v>
      </c>
      <c r="H820" s="30" t="s">
        <v>144</v>
      </c>
      <c r="I820" s="31" t="s">
        <v>775</v>
      </c>
      <c r="J820" s="30" t="s">
        <v>144</v>
      </c>
      <c r="K820" s="27">
        <v>1</v>
      </c>
      <c r="L820" s="27" t="s">
        <v>205</v>
      </c>
      <c r="M820" s="27"/>
      <c r="N820" s="31" t="s">
        <v>1222</v>
      </c>
      <c r="O820" s="27"/>
      <c r="P820" s="30"/>
      <c r="Q820" s="30" t="s">
        <v>66</v>
      </c>
      <c r="R820" s="62">
        <v>46235</v>
      </c>
      <c r="S820" s="26">
        <v>46237</v>
      </c>
      <c r="T820" s="31"/>
      <c r="U820" s="30" t="s">
        <v>68</v>
      </c>
      <c r="V820" s="34" t="s">
        <v>70</v>
      </c>
      <c r="W820" s="27" t="s">
        <v>208</v>
      </c>
      <c r="X820" s="30">
        <v>1</v>
      </c>
      <c r="Y820" s="30">
        <v>1</v>
      </c>
      <c r="Z820" s="30">
        <v>1</v>
      </c>
      <c r="AA820" s="30">
        <v>1</v>
      </c>
      <c r="AB820" s="30" t="s">
        <v>41</v>
      </c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6"/>
      <c r="AS820" s="36"/>
      <c r="AT820" s="36"/>
      <c r="AU820" s="36"/>
      <c r="AV820" s="36"/>
      <c r="AW820" s="36"/>
      <c r="AX820" s="36"/>
      <c r="AY820" s="36"/>
      <c r="AZ820" s="30"/>
      <c r="BA820" s="30"/>
      <c r="BB820" s="30"/>
      <c r="BC820" s="30" t="s">
        <v>69</v>
      </c>
      <c r="BD820" s="30"/>
      <c r="BE820" s="30"/>
      <c r="BF820" s="30"/>
      <c r="BG820" s="30"/>
      <c r="BH820" s="30"/>
      <c r="BI820" s="30"/>
      <c r="BJ820" s="30"/>
      <c r="BK820" s="27"/>
      <c r="BL820" s="27"/>
    </row>
    <row r="821" spans="1:64">
      <c r="A821" s="68" t="s">
        <v>54</v>
      </c>
      <c r="B821" s="26">
        <v>46231</v>
      </c>
      <c r="C821" s="27">
        <v>30627</v>
      </c>
      <c r="D821" s="27"/>
      <c r="E821" s="27" t="s">
        <v>212</v>
      </c>
      <c r="F821" s="27" t="s">
        <v>59</v>
      </c>
      <c r="G821" s="27" t="s">
        <v>104</v>
      </c>
      <c r="H821" s="30" t="s">
        <v>144</v>
      </c>
      <c r="I821" s="31" t="s">
        <v>829</v>
      </c>
      <c r="J821" s="30" t="s">
        <v>144</v>
      </c>
      <c r="K821" s="27">
        <v>1</v>
      </c>
      <c r="L821" s="27" t="s">
        <v>205</v>
      </c>
      <c r="M821" s="27"/>
      <c r="N821" s="31" t="s">
        <v>1222</v>
      </c>
      <c r="O821" s="27"/>
      <c r="P821" s="30"/>
      <c r="Q821" s="30" t="s">
        <v>66</v>
      </c>
      <c r="R821" s="62">
        <v>46235</v>
      </c>
      <c r="S821" s="26">
        <v>46237</v>
      </c>
      <c r="T821" s="31"/>
      <c r="U821" s="30" t="s">
        <v>68</v>
      </c>
      <c r="V821" s="34" t="s">
        <v>70</v>
      </c>
      <c r="W821" s="27" t="s">
        <v>208</v>
      </c>
      <c r="X821" s="30">
        <v>1</v>
      </c>
      <c r="Y821" s="30">
        <v>1</v>
      </c>
      <c r="Z821" s="30">
        <v>1</v>
      </c>
      <c r="AA821" s="30">
        <v>1</v>
      </c>
      <c r="AB821" s="30" t="s">
        <v>41</v>
      </c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6"/>
      <c r="AS821" s="36"/>
      <c r="AT821" s="36"/>
      <c r="AU821" s="36"/>
      <c r="AV821" s="36"/>
      <c r="AW821" s="36"/>
      <c r="AX821" s="36"/>
      <c r="AY821" s="36"/>
      <c r="AZ821" s="30"/>
      <c r="BA821" s="30"/>
      <c r="BB821" s="30"/>
      <c r="BC821" s="30" t="s">
        <v>69</v>
      </c>
      <c r="BD821" s="30"/>
      <c r="BE821" s="30"/>
      <c r="BF821" s="30"/>
      <c r="BG821" s="30"/>
      <c r="BH821" s="30"/>
      <c r="BI821" s="30"/>
      <c r="BJ821" s="30"/>
      <c r="BK821" s="27"/>
      <c r="BL821" s="27"/>
    </row>
    <row r="822" spans="1:64">
      <c r="A822" s="68" t="s">
        <v>54</v>
      </c>
      <c r="B822" s="26">
        <v>46231</v>
      </c>
      <c r="C822" s="27">
        <v>30628</v>
      </c>
      <c r="D822" s="27"/>
      <c r="E822" s="27" t="s">
        <v>203</v>
      </c>
      <c r="F822" s="27" t="s">
        <v>59</v>
      </c>
      <c r="G822" s="27" t="s">
        <v>104</v>
      </c>
      <c r="H822" s="30" t="s">
        <v>169</v>
      </c>
      <c r="I822" s="31" t="s">
        <v>1298</v>
      </c>
      <c r="J822" s="30" t="s">
        <v>656</v>
      </c>
      <c r="K822" s="27">
        <v>1</v>
      </c>
      <c r="L822" s="27" t="s">
        <v>205</v>
      </c>
      <c r="M822" s="27"/>
      <c r="N822" s="31" t="s">
        <v>516</v>
      </c>
      <c r="O822" s="27"/>
      <c r="P822" s="30"/>
      <c r="Q822" s="30" t="s">
        <v>1958</v>
      </c>
      <c r="R822" s="26">
        <v>46234</v>
      </c>
      <c r="S822" s="26">
        <v>46235</v>
      </c>
      <c r="T822" s="31"/>
      <c r="U822" s="30" t="s">
        <v>68</v>
      </c>
      <c r="V822" s="34" t="s">
        <v>70</v>
      </c>
      <c r="W822" s="27" t="s">
        <v>208</v>
      </c>
      <c r="X822" s="30">
        <v>1</v>
      </c>
      <c r="Y822" s="30">
        <v>1</v>
      </c>
      <c r="Z822" s="30">
        <v>1</v>
      </c>
      <c r="AA822" s="30">
        <v>1</v>
      </c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6"/>
      <c r="AS822" s="36"/>
      <c r="AT822" s="36"/>
      <c r="AU822" s="36"/>
      <c r="AV822" s="36"/>
      <c r="AW822" s="36"/>
      <c r="AX822" s="36"/>
      <c r="AY822" s="36"/>
      <c r="AZ822" s="30"/>
      <c r="BA822" s="30"/>
      <c r="BB822" s="30"/>
      <c r="BC822" s="30" t="s">
        <v>69</v>
      </c>
      <c r="BD822" s="30"/>
      <c r="BE822" s="30"/>
      <c r="BF822" s="30" t="s">
        <v>521</v>
      </c>
      <c r="BG822" s="30"/>
      <c r="BH822" s="30"/>
      <c r="BI822" s="30"/>
      <c r="BJ822" s="30"/>
      <c r="BK822" s="27"/>
      <c r="BL822" s="27"/>
    </row>
    <row r="823" spans="1:64">
      <c r="A823" s="68" t="s">
        <v>54</v>
      </c>
      <c r="B823" s="26">
        <v>46231</v>
      </c>
      <c r="C823" s="27">
        <v>30629</v>
      </c>
      <c r="D823" s="27"/>
      <c r="E823" s="27" t="s">
        <v>203</v>
      </c>
      <c r="F823" s="27" t="s">
        <v>59</v>
      </c>
      <c r="G823" s="27" t="s">
        <v>104</v>
      </c>
      <c r="H823" s="30" t="s">
        <v>169</v>
      </c>
      <c r="I823" s="31" t="s">
        <v>1720</v>
      </c>
      <c r="J823" s="30" t="s">
        <v>656</v>
      </c>
      <c r="K823" s="27">
        <v>1</v>
      </c>
      <c r="L823" s="27" t="s">
        <v>205</v>
      </c>
      <c r="M823" s="27"/>
      <c r="N823" s="31" t="s">
        <v>516</v>
      </c>
      <c r="O823" s="27"/>
      <c r="P823" s="30"/>
      <c r="Q823" s="30" t="s">
        <v>66</v>
      </c>
      <c r="R823" s="26">
        <v>46234</v>
      </c>
      <c r="S823" s="26">
        <v>46235</v>
      </c>
      <c r="T823" s="31"/>
      <c r="U823" s="30" t="s">
        <v>68</v>
      </c>
      <c r="V823" s="34" t="s">
        <v>70</v>
      </c>
      <c r="W823" s="27" t="s">
        <v>208</v>
      </c>
      <c r="X823" s="30">
        <v>1</v>
      </c>
      <c r="Y823" s="30">
        <v>1</v>
      </c>
      <c r="Z823" s="30">
        <v>1</v>
      </c>
      <c r="AA823" s="30">
        <v>1</v>
      </c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6"/>
      <c r="AS823" s="36"/>
      <c r="AT823" s="36"/>
      <c r="AU823" s="36"/>
      <c r="AV823" s="36"/>
      <c r="AW823" s="36"/>
      <c r="AX823" s="36"/>
      <c r="AY823" s="36"/>
      <c r="AZ823" s="30"/>
      <c r="BA823" s="30"/>
      <c r="BB823" s="30"/>
      <c r="BC823" s="30" t="s">
        <v>69</v>
      </c>
      <c r="BD823" s="30"/>
      <c r="BE823" s="30"/>
      <c r="BF823" s="30" t="s">
        <v>521</v>
      </c>
      <c r="BG823" s="30"/>
      <c r="BH823" s="30"/>
      <c r="BI823" s="30"/>
      <c r="BJ823" s="30"/>
      <c r="BK823" s="27"/>
      <c r="BL823" s="27"/>
    </row>
    <row r="824" spans="1:64">
      <c r="A824" s="68" t="s">
        <v>54</v>
      </c>
      <c r="B824" s="26">
        <v>46231</v>
      </c>
      <c r="C824" s="27">
        <v>28823</v>
      </c>
      <c r="D824" s="27"/>
      <c r="E824" s="27" t="s">
        <v>1954</v>
      </c>
      <c r="F824" s="27" t="s">
        <v>59</v>
      </c>
      <c r="G824" s="27" t="s">
        <v>104</v>
      </c>
      <c r="H824" s="30" t="s">
        <v>170</v>
      </c>
      <c r="I824" s="31" t="s">
        <v>834</v>
      </c>
      <c r="J824" s="30" t="s">
        <v>170</v>
      </c>
      <c r="K824" s="27">
        <v>1</v>
      </c>
      <c r="L824" s="27" t="s">
        <v>205</v>
      </c>
      <c r="M824" s="27"/>
      <c r="N824" s="31" t="s">
        <v>595</v>
      </c>
      <c r="O824" s="27"/>
      <c r="P824" s="30"/>
      <c r="Q824" s="30" t="s">
        <v>66</v>
      </c>
      <c r="R824" s="26">
        <v>46234</v>
      </c>
      <c r="S824" s="26">
        <v>46237</v>
      </c>
      <c r="T824" s="31"/>
      <c r="U824" s="30" t="s">
        <v>68</v>
      </c>
      <c r="V824" s="34" t="s">
        <v>70</v>
      </c>
      <c r="W824" s="27" t="s">
        <v>208</v>
      </c>
      <c r="X824" s="30">
        <v>1</v>
      </c>
      <c r="Y824" s="30">
        <v>1</v>
      </c>
      <c r="Z824" s="30">
        <v>1</v>
      </c>
      <c r="AA824" s="30">
        <v>1</v>
      </c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6"/>
      <c r="AS824" s="36"/>
      <c r="AT824" s="36"/>
      <c r="AU824" s="36"/>
      <c r="AV824" s="36"/>
      <c r="AW824" s="36"/>
      <c r="AX824" s="36"/>
      <c r="AY824" s="36"/>
      <c r="AZ824" s="30"/>
      <c r="BA824" s="30"/>
      <c r="BB824" s="30"/>
      <c r="BC824" s="30" t="s">
        <v>69</v>
      </c>
      <c r="BD824" s="30"/>
      <c r="BE824" s="30"/>
      <c r="BF824" s="30" t="s">
        <v>157</v>
      </c>
      <c r="BG824" s="30"/>
      <c r="BH824" s="30"/>
      <c r="BI824" s="30"/>
      <c r="BJ824" s="30"/>
      <c r="BK824" s="27"/>
      <c r="BL824" s="27"/>
    </row>
    <row r="825" spans="1:64">
      <c r="A825" s="68" t="s">
        <v>54</v>
      </c>
      <c r="B825" s="26">
        <v>46231</v>
      </c>
      <c r="C825" s="27">
        <v>30631</v>
      </c>
      <c r="D825" s="27"/>
      <c r="E825" s="27" t="s">
        <v>212</v>
      </c>
      <c r="F825" s="27" t="s">
        <v>59</v>
      </c>
      <c r="G825" s="27" t="s">
        <v>104</v>
      </c>
      <c r="H825" s="30" t="s">
        <v>170</v>
      </c>
      <c r="I825" s="31" t="s">
        <v>834</v>
      </c>
      <c r="J825" s="30" t="s">
        <v>170</v>
      </c>
      <c r="K825" s="27">
        <v>1</v>
      </c>
      <c r="L825" s="27" t="s">
        <v>205</v>
      </c>
      <c r="M825" s="27"/>
      <c r="N825" s="31" t="s">
        <v>595</v>
      </c>
      <c r="O825" s="27"/>
      <c r="P825" s="30"/>
      <c r="Q825" s="30" t="s">
        <v>66</v>
      </c>
      <c r="R825" s="26">
        <v>46234</v>
      </c>
      <c r="S825" s="26">
        <v>46237</v>
      </c>
      <c r="T825" s="31"/>
      <c r="U825" s="30" t="s">
        <v>68</v>
      </c>
      <c r="V825" s="34" t="s">
        <v>70</v>
      </c>
      <c r="W825" s="27" t="s">
        <v>208</v>
      </c>
      <c r="X825" s="30">
        <v>1</v>
      </c>
      <c r="Y825" s="30">
        <v>1</v>
      </c>
      <c r="Z825" s="30">
        <v>1</v>
      </c>
      <c r="AA825" s="30">
        <v>1</v>
      </c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6"/>
      <c r="AS825" s="36"/>
      <c r="AT825" s="36"/>
      <c r="AU825" s="36"/>
      <c r="AV825" s="36"/>
      <c r="AW825" s="36"/>
      <c r="AX825" s="36"/>
      <c r="AY825" s="36"/>
      <c r="AZ825" s="30"/>
      <c r="BA825" s="30"/>
      <c r="BB825" s="30"/>
      <c r="BC825" s="30" t="s">
        <v>69</v>
      </c>
      <c r="BD825" s="30"/>
      <c r="BE825" s="30"/>
      <c r="BF825" s="30" t="s">
        <v>157</v>
      </c>
      <c r="BG825" s="30"/>
      <c r="BH825" s="30"/>
      <c r="BI825" s="30"/>
      <c r="BJ825" s="30"/>
      <c r="BK825" s="27"/>
      <c r="BL825" s="27"/>
    </row>
    <row r="826" spans="1:64">
      <c r="A826" s="68" t="s">
        <v>54</v>
      </c>
      <c r="B826" s="26">
        <v>46231</v>
      </c>
      <c r="C826" s="27">
        <v>28821</v>
      </c>
      <c r="D826" s="27"/>
      <c r="E826" s="27" t="s">
        <v>1954</v>
      </c>
      <c r="F826" s="27" t="s">
        <v>59</v>
      </c>
      <c r="G826" s="27" t="s">
        <v>104</v>
      </c>
      <c r="H826" s="30" t="s">
        <v>175</v>
      </c>
      <c r="I826" s="31" t="s">
        <v>765</v>
      </c>
      <c r="J826" s="30" t="s">
        <v>175</v>
      </c>
      <c r="K826" s="27">
        <v>1</v>
      </c>
      <c r="L826" s="27" t="s">
        <v>205</v>
      </c>
      <c r="M826" s="27"/>
      <c r="N826" s="31" t="s">
        <v>455</v>
      </c>
      <c r="O826" s="27"/>
      <c r="P826" s="30"/>
      <c r="Q826" s="30" t="s">
        <v>66</v>
      </c>
      <c r="R826" s="26">
        <v>46234</v>
      </c>
      <c r="S826" s="26">
        <v>46237</v>
      </c>
      <c r="T826" s="31"/>
      <c r="U826" s="30" t="s">
        <v>68</v>
      </c>
      <c r="V826" s="34" t="s">
        <v>70</v>
      </c>
      <c r="W826" s="27" t="s">
        <v>208</v>
      </c>
      <c r="X826" s="30">
        <v>1</v>
      </c>
      <c r="Y826" s="30">
        <v>1</v>
      </c>
      <c r="Z826" s="30">
        <v>1</v>
      </c>
      <c r="AA826" s="30">
        <v>1</v>
      </c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6"/>
      <c r="AS826" s="36"/>
      <c r="AT826" s="36"/>
      <c r="AU826" s="36"/>
      <c r="AV826" s="36"/>
      <c r="AW826" s="36"/>
      <c r="AX826" s="36"/>
      <c r="AY826" s="36"/>
      <c r="AZ826" s="30"/>
      <c r="BA826" s="30"/>
      <c r="BB826" s="30"/>
      <c r="BC826" s="30" t="s">
        <v>69</v>
      </c>
      <c r="BD826" s="30"/>
      <c r="BE826" s="30"/>
      <c r="BF826" s="30" t="s">
        <v>583</v>
      </c>
      <c r="BG826" s="30"/>
      <c r="BH826" s="30"/>
      <c r="BI826" s="30"/>
      <c r="BJ826" s="30"/>
      <c r="BK826" s="27"/>
      <c r="BL826" s="27"/>
    </row>
    <row r="827" spans="1:64">
      <c r="A827" s="68" t="s">
        <v>54</v>
      </c>
      <c r="B827" s="26">
        <v>46231</v>
      </c>
      <c r="C827" s="27"/>
      <c r="D827" s="27">
        <v>45162</v>
      </c>
      <c r="E827" s="27" t="s">
        <v>284</v>
      </c>
      <c r="F827" s="27" t="s">
        <v>59</v>
      </c>
      <c r="G827" s="27" t="s">
        <v>104</v>
      </c>
      <c r="H827" s="30" t="s">
        <v>412</v>
      </c>
      <c r="I827" s="31" t="s">
        <v>1113</v>
      </c>
      <c r="J827" s="30" t="s">
        <v>1962</v>
      </c>
      <c r="K827" s="27">
        <v>1</v>
      </c>
      <c r="L827" s="27">
        <v>8</v>
      </c>
      <c r="M827" s="27"/>
      <c r="N827" s="31" t="s">
        <v>154</v>
      </c>
      <c r="O827" s="27"/>
      <c r="P827" s="30"/>
      <c r="Q827" s="30" t="s">
        <v>1963</v>
      </c>
      <c r="R827" s="26">
        <v>46234</v>
      </c>
      <c r="S827" s="26">
        <v>46237</v>
      </c>
      <c r="T827" s="31"/>
      <c r="U827" s="30" t="s">
        <v>68</v>
      </c>
      <c r="V827" s="34" t="s">
        <v>70</v>
      </c>
      <c r="W827" s="27" t="s">
        <v>284</v>
      </c>
      <c r="X827" s="30">
        <v>1</v>
      </c>
      <c r="Y827" s="30">
        <v>1</v>
      </c>
      <c r="Z827" s="30">
        <v>1</v>
      </c>
      <c r="AA827" s="30">
        <v>1</v>
      </c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6"/>
      <c r="AS827" s="36"/>
      <c r="AT827" s="36"/>
      <c r="AU827" s="36"/>
      <c r="AV827" s="36"/>
      <c r="AW827" s="36"/>
      <c r="AX827" s="36"/>
      <c r="AY827" s="36"/>
      <c r="AZ827" s="30"/>
      <c r="BA827" s="30"/>
      <c r="BB827" s="30"/>
      <c r="BC827" s="30" t="s">
        <v>69</v>
      </c>
      <c r="BD827" s="30"/>
      <c r="BE827" s="30"/>
      <c r="BF827" s="30" t="s">
        <v>157</v>
      </c>
      <c r="BG827" s="30"/>
      <c r="BH827" s="30"/>
      <c r="BI827" s="30"/>
      <c r="BJ827" s="30"/>
      <c r="BK827" s="27"/>
      <c r="BL827" s="27"/>
    </row>
    <row r="828" spans="1:64">
      <c r="A828" s="68" t="s">
        <v>54</v>
      </c>
      <c r="B828" s="26">
        <v>46231</v>
      </c>
      <c r="C828" s="27"/>
      <c r="D828" s="27">
        <v>139965</v>
      </c>
      <c r="E828" s="27" t="s">
        <v>284</v>
      </c>
      <c r="F828" s="27" t="s">
        <v>59</v>
      </c>
      <c r="G828" s="27" t="s">
        <v>104</v>
      </c>
      <c r="H828" s="30" t="s">
        <v>175</v>
      </c>
      <c r="I828" s="31" t="s">
        <v>1512</v>
      </c>
      <c r="J828" s="30" t="s">
        <v>1964</v>
      </c>
      <c r="K828" s="27">
        <v>1</v>
      </c>
      <c r="L828" s="63" t="s">
        <v>1965</v>
      </c>
      <c r="M828" s="27"/>
      <c r="N828" s="31" t="s">
        <v>1222</v>
      </c>
      <c r="O828" s="27"/>
      <c r="P828" s="30"/>
      <c r="Q828" s="30" t="s">
        <v>66</v>
      </c>
      <c r="R828" s="26">
        <v>46234</v>
      </c>
      <c r="S828" s="26">
        <v>46237</v>
      </c>
      <c r="T828" s="31"/>
      <c r="U828" s="30" t="s">
        <v>68</v>
      </c>
      <c r="V828" s="34" t="s">
        <v>70</v>
      </c>
      <c r="W828" s="27" t="s">
        <v>284</v>
      </c>
      <c r="X828" s="30">
        <v>1</v>
      </c>
      <c r="Y828" s="30">
        <v>1</v>
      </c>
      <c r="Z828" s="30">
        <v>1</v>
      </c>
      <c r="AA828" s="30">
        <v>1</v>
      </c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6"/>
      <c r="AS828" s="36"/>
      <c r="AT828" s="36"/>
      <c r="AU828" s="36"/>
      <c r="AV828" s="36"/>
      <c r="AW828" s="36"/>
      <c r="AX828" s="36"/>
      <c r="AY828" s="36"/>
      <c r="AZ828" s="30"/>
      <c r="BA828" s="30"/>
      <c r="BB828" s="30"/>
      <c r="BC828" s="30" t="s">
        <v>69</v>
      </c>
      <c r="BD828" s="30"/>
      <c r="BE828" s="30"/>
      <c r="BF828" s="30" t="s">
        <v>583</v>
      </c>
      <c r="BG828" s="30"/>
      <c r="BH828" s="30"/>
      <c r="BI828" s="30"/>
      <c r="BJ828" s="30"/>
      <c r="BK828" s="27"/>
      <c r="BL828" s="27"/>
    </row>
    <row r="829" spans="1:64">
      <c r="A829" s="68" t="s">
        <v>54</v>
      </c>
      <c r="B829" s="26">
        <v>46231</v>
      </c>
      <c r="C829" s="27"/>
      <c r="D829" s="27">
        <v>139966</v>
      </c>
      <c r="E829" s="27" t="s">
        <v>284</v>
      </c>
      <c r="F829" s="27" t="s">
        <v>59</v>
      </c>
      <c r="G829" s="27" t="s">
        <v>104</v>
      </c>
      <c r="H829" s="30" t="s">
        <v>106</v>
      </c>
      <c r="I829" s="31" t="s">
        <v>1499</v>
      </c>
      <c r="J829" s="30" t="s">
        <v>1500</v>
      </c>
      <c r="K829" s="27">
        <v>1</v>
      </c>
      <c r="L829" s="27">
        <v>1.78</v>
      </c>
      <c r="M829" s="27"/>
      <c r="N829" s="31" t="s">
        <v>1222</v>
      </c>
      <c r="O829" s="27"/>
      <c r="P829" s="30"/>
      <c r="Q829" s="30" t="s">
        <v>66</v>
      </c>
      <c r="R829" s="26">
        <v>46235</v>
      </c>
      <c r="S829" s="26">
        <v>46237</v>
      </c>
      <c r="T829" s="31"/>
      <c r="U829" s="30" t="s">
        <v>68</v>
      </c>
      <c r="V829" s="34" t="s">
        <v>70</v>
      </c>
      <c r="W829" s="27" t="s">
        <v>284</v>
      </c>
      <c r="X829" s="30">
        <v>1</v>
      </c>
      <c r="Y829" s="30">
        <v>1</v>
      </c>
      <c r="Z829" s="30">
        <v>1</v>
      </c>
      <c r="AA829" s="30">
        <v>1</v>
      </c>
      <c r="AB829" s="30" t="s">
        <v>41</v>
      </c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6"/>
      <c r="AS829" s="36"/>
      <c r="AT829" s="36"/>
      <c r="AU829" s="36"/>
      <c r="AV829" s="36"/>
      <c r="AW829" s="36"/>
      <c r="AX829" s="36"/>
      <c r="AY829" s="36"/>
      <c r="AZ829" s="30"/>
      <c r="BA829" s="30"/>
      <c r="BB829" s="30"/>
      <c r="BC829" s="30" t="s">
        <v>69</v>
      </c>
      <c r="BD829" s="30"/>
      <c r="BE829" s="30"/>
      <c r="BF829" s="30"/>
      <c r="BG829" s="30"/>
      <c r="BH829" s="30"/>
      <c r="BI829" s="30"/>
      <c r="BJ829" s="30"/>
      <c r="BK829" s="27"/>
      <c r="BL829" s="27"/>
    </row>
    <row r="830" spans="1:64">
      <c r="A830" s="68" t="s">
        <v>54</v>
      </c>
      <c r="B830" s="26">
        <v>46231</v>
      </c>
      <c r="C830" s="27"/>
      <c r="D830" s="27">
        <v>43767</v>
      </c>
      <c r="E830" s="27" t="s">
        <v>284</v>
      </c>
      <c r="F830" s="27" t="s">
        <v>48</v>
      </c>
      <c r="G830" s="27" t="s">
        <v>110</v>
      </c>
      <c r="H830" s="30" t="s">
        <v>992</v>
      </c>
      <c r="I830" s="31" t="s">
        <v>1966</v>
      </c>
      <c r="J830" s="30" t="s">
        <v>1967</v>
      </c>
      <c r="K830" s="27">
        <v>14</v>
      </c>
      <c r="L830" s="27">
        <v>96</v>
      </c>
      <c r="M830" s="27"/>
      <c r="N830" s="31" t="s">
        <v>602</v>
      </c>
      <c r="O830" s="27"/>
      <c r="P830" s="30"/>
      <c r="Q830" s="30" t="s">
        <v>66</v>
      </c>
      <c r="R830" s="26">
        <v>46234</v>
      </c>
      <c r="S830" s="26">
        <v>46235</v>
      </c>
      <c r="T830" s="31"/>
      <c r="U830" s="30" t="s">
        <v>68</v>
      </c>
      <c r="V830" s="34" t="s">
        <v>70</v>
      </c>
      <c r="W830" s="27" t="s">
        <v>284</v>
      </c>
      <c r="X830" s="30">
        <v>1</v>
      </c>
      <c r="Y830" s="30">
        <v>1</v>
      </c>
      <c r="Z830" s="30">
        <v>1</v>
      </c>
      <c r="AA830" s="30">
        <v>1</v>
      </c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6"/>
      <c r="AS830" s="36"/>
      <c r="AT830" s="36"/>
      <c r="AU830" s="36"/>
      <c r="AV830" s="36"/>
      <c r="AW830" s="36"/>
      <c r="AX830" s="36"/>
      <c r="AY830" s="36"/>
      <c r="AZ830" s="30"/>
      <c r="BA830" s="30"/>
      <c r="BB830" s="30"/>
      <c r="BC830" s="30" t="s">
        <v>1968</v>
      </c>
      <c r="BD830" s="30"/>
      <c r="BE830" s="30"/>
      <c r="BF830" s="30" t="s">
        <v>1438</v>
      </c>
      <c r="BG830" s="30"/>
      <c r="BH830" s="30"/>
      <c r="BI830" s="30"/>
      <c r="BJ830" s="30"/>
      <c r="BK830" s="27"/>
      <c r="BL830" s="27"/>
    </row>
    <row r="831" spans="1:64">
      <c r="A831" s="68" t="s">
        <v>54</v>
      </c>
      <c r="B831" s="26">
        <v>46231</v>
      </c>
      <c r="C831" s="27"/>
      <c r="D831" s="27">
        <v>44884</v>
      </c>
      <c r="E831" s="27" t="s">
        <v>284</v>
      </c>
      <c r="F831" s="27" t="s">
        <v>48</v>
      </c>
      <c r="G831" s="27" t="s">
        <v>110</v>
      </c>
      <c r="H831" s="30" t="s">
        <v>60</v>
      </c>
      <c r="I831" s="31" t="s">
        <v>1969</v>
      </c>
      <c r="J831" s="30" t="s">
        <v>1970</v>
      </c>
      <c r="K831" s="27">
        <v>2</v>
      </c>
      <c r="L831" s="27">
        <v>11</v>
      </c>
      <c r="M831" s="27"/>
      <c r="N831" s="31" t="s">
        <v>384</v>
      </c>
      <c r="O831" s="27"/>
      <c r="P831" s="30"/>
      <c r="Q831" s="30" t="s">
        <v>1971</v>
      </c>
      <c r="R831" s="26">
        <v>46234</v>
      </c>
      <c r="S831" s="26">
        <v>46235</v>
      </c>
      <c r="T831" s="31"/>
      <c r="U831" s="30" t="s">
        <v>68</v>
      </c>
      <c r="V831" s="34" t="s">
        <v>70</v>
      </c>
      <c r="W831" s="27" t="s">
        <v>284</v>
      </c>
      <c r="X831" s="30">
        <v>1</v>
      </c>
      <c r="Y831" s="30">
        <v>1</v>
      </c>
      <c r="Z831" s="30">
        <v>1</v>
      </c>
      <c r="AA831" s="30">
        <v>1</v>
      </c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6"/>
      <c r="AS831" s="36"/>
      <c r="AT831" s="36"/>
      <c r="AU831" s="36"/>
      <c r="AV831" s="36"/>
      <c r="AW831" s="36"/>
      <c r="AX831" s="36"/>
      <c r="AY831" s="36"/>
      <c r="AZ831" s="30"/>
      <c r="BA831" s="30"/>
      <c r="BB831" s="30"/>
      <c r="BC831" s="30" t="s">
        <v>1968</v>
      </c>
      <c r="BD831" s="30"/>
      <c r="BE831" s="30"/>
      <c r="BF831" s="30" t="s">
        <v>260</v>
      </c>
      <c r="BG831" s="30"/>
      <c r="BH831" s="30"/>
      <c r="BI831" s="30"/>
      <c r="BJ831" s="30"/>
      <c r="BK831" s="27"/>
      <c r="BL831" s="27"/>
    </row>
    <row r="832" spans="1:64">
      <c r="A832" s="68" t="s">
        <v>54</v>
      </c>
      <c r="B832" s="26">
        <v>46231</v>
      </c>
      <c r="C832" s="27"/>
      <c r="D832" s="27">
        <v>45035</v>
      </c>
      <c r="E832" s="27" t="s">
        <v>284</v>
      </c>
      <c r="F832" s="27" t="s">
        <v>48</v>
      </c>
      <c r="G832" s="27" t="s">
        <v>110</v>
      </c>
      <c r="H832" s="30" t="s">
        <v>1028</v>
      </c>
      <c r="I832" s="31" t="s">
        <v>1973</v>
      </c>
      <c r="J832" s="30" t="s">
        <v>1974</v>
      </c>
      <c r="K832" s="27">
        <v>2</v>
      </c>
      <c r="L832" s="27">
        <v>27</v>
      </c>
      <c r="M832" s="27"/>
      <c r="N832" s="31" t="s">
        <v>247</v>
      </c>
      <c r="O832" s="27"/>
      <c r="P832" s="30"/>
      <c r="Q832" s="30" t="s">
        <v>66</v>
      </c>
      <c r="R832" s="26">
        <v>46237</v>
      </c>
      <c r="S832" s="27"/>
      <c r="T832" s="31"/>
      <c r="U832" s="30" t="s">
        <v>419</v>
      </c>
      <c r="V832" s="34" t="s">
        <v>90</v>
      </c>
      <c r="W832" s="27" t="s">
        <v>284</v>
      </c>
      <c r="X832" s="30">
        <v>1</v>
      </c>
      <c r="Y832" s="30">
        <v>1</v>
      </c>
      <c r="Z832" s="30">
        <v>1</v>
      </c>
      <c r="AA832" s="30"/>
      <c r="AB832" s="30"/>
      <c r="AC832" s="30" t="s">
        <v>247</v>
      </c>
      <c r="AD832" s="30" t="s">
        <v>41</v>
      </c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6"/>
      <c r="AS832" s="36"/>
      <c r="AT832" s="36"/>
      <c r="AU832" s="36"/>
      <c r="AV832" s="36"/>
      <c r="AW832" s="36"/>
      <c r="AX832" s="36"/>
      <c r="AY832" s="36"/>
      <c r="AZ832" s="30"/>
      <c r="BA832" s="30"/>
      <c r="BB832" s="30"/>
      <c r="BC832" s="30" t="s">
        <v>1968</v>
      </c>
      <c r="BD832" s="30" t="s">
        <v>321</v>
      </c>
      <c r="BE832" s="30"/>
      <c r="BF832" s="30"/>
      <c r="BG832" s="30"/>
      <c r="BH832" s="30"/>
      <c r="BI832" s="30"/>
      <c r="BJ832" s="30"/>
      <c r="BK832" s="27"/>
      <c r="BL832" s="27"/>
    </row>
    <row r="833" spans="1:64">
      <c r="A833" s="68" t="s">
        <v>54</v>
      </c>
      <c r="B833" s="26">
        <v>46231</v>
      </c>
      <c r="C833" s="27"/>
      <c r="D833" s="27">
        <v>140416</v>
      </c>
      <c r="E833" s="27" t="s">
        <v>284</v>
      </c>
      <c r="F833" s="27" t="s">
        <v>48</v>
      </c>
      <c r="G833" s="27" t="s">
        <v>110</v>
      </c>
      <c r="H833" s="30" t="s">
        <v>992</v>
      </c>
      <c r="I833" s="31" t="s">
        <v>995</v>
      </c>
      <c r="J833" s="30" t="s">
        <v>1975</v>
      </c>
      <c r="K833" s="27">
        <v>16</v>
      </c>
      <c r="L833" s="27">
        <v>16</v>
      </c>
      <c r="M833" s="27"/>
      <c r="N833" s="31" t="s">
        <v>154</v>
      </c>
      <c r="O833" s="27"/>
      <c r="P833" s="30"/>
      <c r="Q833" s="30" t="s">
        <v>66</v>
      </c>
      <c r="R833" s="26">
        <v>46234</v>
      </c>
      <c r="S833" s="26">
        <v>46237</v>
      </c>
      <c r="T833" s="31"/>
      <c r="U833" s="30" t="s">
        <v>68</v>
      </c>
      <c r="V833" s="34" t="s">
        <v>70</v>
      </c>
      <c r="W833" s="27" t="s">
        <v>284</v>
      </c>
      <c r="X833" s="30">
        <v>1</v>
      </c>
      <c r="Y833" s="30">
        <v>1</v>
      </c>
      <c r="Z833" s="30">
        <v>1</v>
      </c>
      <c r="AA833" s="30">
        <v>1</v>
      </c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6"/>
      <c r="AS833" s="36"/>
      <c r="AT833" s="36"/>
      <c r="AU833" s="36"/>
      <c r="AV833" s="36"/>
      <c r="AW833" s="36"/>
      <c r="AX833" s="36"/>
      <c r="AY833" s="36"/>
      <c r="AZ833" s="30"/>
      <c r="BA833" s="30"/>
      <c r="BB833" s="30"/>
      <c r="BC833" s="30" t="s">
        <v>1968</v>
      </c>
      <c r="BD833" s="30"/>
      <c r="BE833" s="30"/>
      <c r="BF833" s="30" t="s">
        <v>157</v>
      </c>
      <c r="BG833" s="30"/>
      <c r="BH833" s="30"/>
      <c r="BI833" s="30"/>
      <c r="BJ833" s="30"/>
      <c r="BK833" s="27"/>
      <c r="BL833" s="27"/>
    </row>
    <row r="834" spans="1:64">
      <c r="A834" s="68" t="s">
        <v>54</v>
      </c>
      <c r="B834" s="26">
        <v>46231</v>
      </c>
      <c r="C834" s="27"/>
      <c r="D834" s="27">
        <v>140417</v>
      </c>
      <c r="E834" s="27" t="s">
        <v>284</v>
      </c>
      <c r="F834" s="27" t="s">
        <v>48</v>
      </c>
      <c r="G834" s="27" t="s">
        <v>110</v>
      </c>
      <c r="H834" s="30" t="s">
        <v>1871</v>
      </c>
      <c r="I834" s="31" t="s">
        <v>1976</v>
      </c>
      <c r="J834" s="30" t="s">
        <v>1977</v>
      </c>
      <c r="K834" s="27">
        <v>70</v>
      </c>
      <c r="L834" s="27">
        <v>420</v>
      </c>
      <c r="M834" s="27" t="s">
        <v>1978</v>
      </c>
      <c r="N834" s="31" t="s">
        <v>297</v>
      </c>
      <c r="O834" s="27"/>
      <c r="P834" s="30"/>
      <c r="Q834" s="30" t="s">
        <v>66</v>
      </c>
      <c r="R834" s="26">
        <v>46234</v>
      </c>
      <c r="S834" s="26">
        <v>46235</v>
      </c>
      <c r="T834" s="31"/>
      <c r="U834" s="30" t="s">
        <v>68</v>
      </c>
      <c r="V834" s="34" t="s">
        <v>70</v>
      </c>
      <c r="W834" s="27" t="s">
        <v>284</v>
      </c>
      <c r="X834" s="30">
        <v>1</v>
      </c>
      <c r="Y834" s="30">
        <v>1</v>
      </c>
      <c r="Z834" s="30">
        <v>1</v>
      </c>
      <c r="AA834" s="30">
        <v>1</v>
      </c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6"/>
      <c r="AS834" s="36"/>
      <c r="AT834" s="36"/>
      <c r="AU834" s="36"/>
      <c r="AV834" s="36"/>
      <c r="AW834" s="36"/>
      <c r="AX834" s="36"/>
      <c r="AY834" s="36"/>
      <c r="AZ834" s="30"/>
      <c r="BA834" s="30"/>
      <c r="BB834" s="30"/>
      <c r="BC834" s="30" t="s">
        <v>1968</v>
      </c>
      <c r="BD834" s="30"/>
      <c r="BE834" s="30"/>
      <c r="BF834" s="30" t="s">
        <v>105</v>
      </c>
      <c r="BG834" s="30"/>
      <c r="BH834" s="30"/>
      <c r="BI834" s="30"/>
      <c r="BJ834" s="30"/>
      <c r="BK834" s="27"/>
      <c r="BL834" s="27"/>
    </row>
    <row r="835" spans="1:64">
      <c r="A835" s="68" t="s">
        <v>187</v>
      </c>
      <c r="B835" s="26">
        <v>46232</v>
      </c>
      <c r="C835" s="27"/>
      <c r="D835" s="27"/>
      <c r="E835" s="27" t="s">
        <v>1979</v>
      </c>
      <c r="F835" s="27"/>
      <c r="G835" s="27" t="s">
        <v>1980</v>
      </c>
      <c r="H835" s="30" t="s">
        <v>28</v>
      </c>
      <c r="I835" s="31" t="s">
        <v>1981</v>
      </c>
      <c r="J835" s="30" t="s">
        <v>489</v>
      </c>
      <c r="K835" s="27">
        <v>20</v>
      </c>
      <c r="L835" s="27">
        <v>563</v>
      </c>
      <c r="M835" s="27"/>
      <c r="N835" s="31"/>
      <c r="O835" s="27"/>
      <c r="P835" s="30"/>
      <c r="Q835" s="30"/>
      <c r="R835" s="27"/>
      <c r="S835" s="27"/>
      <c r="T835" s="31" t="s">
        <v>1982</v>
      </c>
      <c r="U835" s="30"/>
      <c r="V835" s="34"/>
      <c r="W835" s="27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6"/>
      <c r="AS835" s="36"/>
      <c r="AT835" s="36"/>
      <c r="AU835" s="36"/>
      <c r="AV835" s="36"/>
      <c r="AW835" s="36"/>
      <c r="AX835" s="36"/>
      <c r="AY835" s="36"/>
      <c r="AZ835" s="30"/>
      <c r="BA835" s="30"/>
      <c r="BB835" s="30"/>
      <c r="BC835" s="30"/>
      <c r="BD835" s="30" t="s">
        <v>1983</v>
      </c>
      <c r="BE835" s="30" t="s">
        <v>1984</v>
      </c>
      <c r="BF835" s="30"/>
      <c r="BG835" s="30"/>
      <c r="BH835" s="30"/>
      <c r="BI835" s="30"/>
      <c r="BJ835" s="30"/>
      <c r="BK835" s="27"/>
      <c r="BL835" s="27"/>
    </row>
    <row r="836" spans="1:64">
      <c r="A836" s="68" t="s">
        <v>54</v>
      </c>
      <c r="B836" s="26">
        <v>46232</v>
      </c>
      <c r="C836" s="27">
        <v>29706</v>
      </c>
      <c r="D836" s="27"/>
      <c r="E836" s="27" t="s">
        <v>1985</v>
      </c>
      <c r="F836" s="27" t="s">
        <v>59</v>
      </c>
      <c r="G836" s="27" t="s">
        <v>28</v>
      </c>
      <c r="H836" s="30" t="s">
        <v>435</v>
      </c>
      <c r="I836" s="31" t="s">
        <v>1986</v>
      </c>
      <c r="J836" s="30" t="s">
        <v>1987</v>
      </c>
      <c r="K836" s="27">
        <v>2</v>
      </c>
      <c r="L836" s="27" t="s">
        <v>1988</v>
      </c>
      <c r="M836" s="27" t="s">
        <v>1989</v>
      </c>
      <c r="N836" s="31" t="s">
        <v>297</v>
      </c>
      <c r="O836" s="27"/>
      <c r="P836" s="30"/>
      <c r="Q836" s="30" t="s">
        <v>1990</v>
      </c>
      <c r="R836" s="26">
        <v>46234</v>
      </c>
      <c r="S836" s="26">
        <v>46235</v>
      </c>
      <c r="T836" s="31"/>
      <c r="U836" s="30" t="s">
        <v>68</v>
      </c>
      <c r="V836" s="34" t="s">
        <v>70</v>
      </c>
      <c r="W836" s="27" t="s">
        <v>284</v>
      </c>
      <c r="X836" s="30">
        <v>1</v>
      </c>
      <c r="Y836" s="30">
        <v>1</v>
      </c>
      <c r="Z836" s="30">
        <v>1</v>
      </c>
      <c r="AA836" s="30">
        <v>1</v>
      </c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6"/>
      <c r="AS836" s="36"/>
      <c r="AT836" s="36"/>
      <c r="AU836" s="36"/>
      <c r="AV836" s="36"/>
      <c r="AW836" s="36"/>
      <c r="AX836" s="36"/>
      <c r="AY836" s="36"/>
      <c r="AZ836" s="30"/>
      <c r="BA836" s="30"/>
      <c r="BB836" s="30"/>
      <c r="BC836" s="30"/>
      <c r="BD836" s="30" t="s">
        <v>69</v>
      </c>
      <c r="BE836" s="30"/>
      <c r="BF836" s="30" t="s">
        <v>105</v>
      </c>
      <c r="BG836" s="30"/>
      <c r="BH836" s="30"/>
      <c r="BI836" s="30"/>
      <c r="BJ836" s="30"/>
      <c r="BK836" s="27"/>
      <c r="BL836" s="27"/>
    </row>
    <row r="837" spans="1:64">
      <c r="A837" s="68" t="s">
        <v>187</v>
      </c>
      <c r="B837" s="26">
        <v>46232</v>
      </c>
      <c r="C837" s="27"/>
      <c r="D837" s="27">
        <v>54730</v>
      </c>
      <c r="E837" s="27" t="s">
        <v>780</v>
      </c>
      <c r="F837" s="27" t="s">
        <v>48</v>
      </c>
      <c r="G837" s="27" t="s">
        <v>110</v>
      </c>
      <c r="H837" s="30" t="s">
        <v>189</v>
      </c>
      <c r="I837" s="31" t="s">
        <v>1991</v>
      </c>
      <c r="J837" s="30" t="s">
        <v>1992</v>
      </c>
      <c r="K837" s="27">
        <v>5</v>
      </c>
      <c r="L837" s="27">
        <v>121</v>
      </c>
      <c r="M837" s="27" t="s">
        <v>1993</v>
      </c>
      <c r="N837" s="31" t="s">
        <v>81</v>
      </c>
      <c r="O837" s="27" t="s">
        <v>1347</v>
      </c>
      <c r="P837" s="30"/>
      <c r="Q837" s="30" t="s">
        <v>66</v>
      </c>
      <c r="R837" s="26">
        <v>46241</v>
      </c>
      <c r="S837" s="27"/>
      <c r="T837" s="31"/>
      <c r="U837" s="30" t="s">
        <v>419</v>
      </c>
      <c r="V837" s="34" t="s">
        <v>90</v>
      </c>
      <c r="W837" s="27" t="s">
        <v>747</v>
      </c>
      <c r="X837" s="30">
        <v>1</v>
      </c>
      <c r="Y837" s="30">
        <v>1</v>
      </c>
      <c r="Z837" s="30">
        <v>1</v>
      </c>
      <c r="AA837" s="30"/>
      <c r="AB837" s="30"/>
      <c r="AC837" s="30"/>
      <c r="AD837" s="30" t="s">
        <v>69</v>
      </c>
      <c r="AE837" s="30" t="s">
        <v>1347</v>
      </c>
      <c r="AF837" s="30"/>
      <c r="AG837" s="30"/>
      <c r="AH837" s="30" t="s">
        <v>88</v>
      </c>
      <c r="AI837" s="30"/>
      <c r="AJ837" s="30"/>
      <c r="AK837" s="30"/>
      <c r="AL837" s="30"/>
      <c r="AM837" s="30"/>
      <c r="AN837" s="30"/>
      <c r="AO837" s="30"/>
      <c r="AP837" s="30"/>
      <c r="AQ837" s="30"/>
      <c r="AR837" s="36"/>
      <c r="AS837" s="36"/>
      <c r="AT837" s="36"/>
      <c r="AU837" s="36"/>
      <c r="AV837" s="36"/>
      <c r="AW837" s="36"/>
      <c r="AX837" s="36"/>
      <c r="AY837" s="36"/>
      <c r="AZ837" s="30"/>
      <c r="BA837" s="30"/>
      <c r="BB837" s="30"/>
      <c r="BC837" s="30"/>
      <c r="BD837" s="30" t="s">
        <v>118</v>
      </c>
      <c r="BE837" s="30" t="s">
        <v>619</v>
      </c>
      <c r="BF837" s="30"/>
      <c r="BG837" s="30"/>
      <c r="BH837" s="30"/>
      <c r="BI837" s="30"/>
      <c r="BJ837" s="30"/>
      <c r="BK837" s="27"/>
      <c r="BL837" s="27"/>
    </row>
    <row r="838" spans="1:64">
      <c r="A838" s="68" t="s">
        <v>54</v>
      </c>
      <c r="B838" s="26">
        <v>46232</v>
      </c>
      <c r="C838" s="27"/>
      <c r="D838" s="27">
        <v>139498</v>
      </c>
      <c r="E838" s="27" t="s">
        <v>1995</v>
      </c>
      <c r="F838" s="27" t="s">
        <v>59</v>
      </c>
      <c r="G838" s="27" t="s">
        <v>151</v>
      </c>
      <c r="H838" s="30" t="s">
        <v>110</v>
      </c>
      <c r="I838" s="31" t="s">
        <v>565</v>
      </c>
      <c r="J838" s="30" t="s">
        <v>110</v>
      </c>
      <c r="K838" s="27">
        <v>6</v>
      </c>
      <c r="L838" s="27">
        <v>32</v>
      </c>
      <c r="M838" s="27" t="s">
        <v>1996</v>
      </c>
      <c r="N838" s="31" t="s">
        <v>846</v>
      </c>
      <c r="O838" s="27"/>
      <c r="P838" s="30"/>
      <c r="Q838" s="30" t="s">
        <v>566</v>
      </c>
      <c r="R838" s="62">
        <v>46237</v>
      </c>
      <c r="S838" s="27"/>
      <c r="T838" s="31"/>
      <c r="U838" s="30" t="s">
        <v>899</v>
      </c>
      <c r="V838" s="34" t="s">
        <v>900</v>
      </c>
      <c r="W838" s="27" t="s">
        <v>284</v>
      </c>
      <c r="X838" s="30">
        <v>1</v>
      </c>
      <c r="Y838" s="30">
        <v>1</v>
      </c>
      <c r="Z838" s="30">
        <v>1</v>
      </c>
      <c r="AA838" s="30"/>
      <c r="AB838" s="30"/>
      <c r="AC838" s="30" t="s">
        <v>325</v>
      </c>
      <c r="AD838" s="30" t="s">
        <v>1997</v>
      </c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6"/>
      <c r="AS838" s="36"/>
      <c r="AT838" s="36"/>
      <c r="AU838" s="36"/>
      <c r="AV838" s="36"/>
      <c r="AW838" s="36"/>
      <c r="AX838" s="36"/>
      <c r="AY838" s="36"/>
      <c r="AZ838" s="30"/>
      <c r="BA838" s="30"/>
      <c r="BB838" s="30"/>
      <c r="BC838" s="30"/>
      <c r="BD838" s="30" t="s">
        <v>69</v>
      </c>
      <c r="BE838" s="30"/>
      <c r="BF838" s="30" t="s">
        <v>866</v>
      </c>
      <c r="BG838" s="30"/>
      <c r="BH838" s="30"/>
      <c r="BI838" s="30"/>
      <c r="BJ838" s="30"/>
      <c r="BK838" s="27"/>
      <c r="BL838" s="27"/>
    </row>
    <row r="839" spans="1:64">
      <c r="A839" s="68" t="s">
        <v>54</v>
      </c>
      <c r="B839" s="26">
        <v>46232</v>
      </c>
      <c r="C839" s="27">
        <v>28529</v>
      </c>
      <c r="D839" s="27"/>
      <c r="E839" s="27" t="s">
        <v>1998</v>
      </c>
      <c r="F839" s="27" t="s">
        <v>552</v>
      </c>
      <c r="G839" s="27" t="s">
        <v>246</v>
      </c>
      <c r="H839" s="30" t="s">
        <v>403</v>
      </c>
      <c r="I839" s="31" t="s">
        <v>1999</v>
      </c>
      <c r="J839" s="30" t="s">
        <v>2000</v>
      </c>
      <c r="K839" s="27">
        <v>46</v>
      </c>
      <c r="L839" s="27">
        <v>146</v>
      </c>
      <c r="M839" s="27"/>
      <c r="N839" s="31" t="s">
        <v>508</v>
      </c>
      <c r="O839" s="27"/>
      <c r="P839" s="30"/>
      <c r="Q839" s="30" t="s">
        <v>66</v>
      </c>
      <c r="R839" s="26">
        <v>46233</v>
      </c>
      <c r="S839" s="26">
        <v>46241</v>
      </c>
      <c r="T839" s="31"/>
      <c r="U839" s="30" t="s">
        <v>68</v>
      </c>
      <c r="V839" s="34" t="s">
        <v>70</v>
      </c>
      <c r="W839" s="27" t="s">
        <v>2001</v>
      </c>
      <c r="X839" s="30">
        <v>1</v>
      </c>
      <c r="Y839" s="30">
        <v>1</v>
      </c>
      <c r="Z839" s="30">
        <v>1</v>
      </c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6"/>
      <c r="AS839" s="36"/>
      <c r="AT839" s="36"/>
      <c r="AU839" s="36"/>
      <c r="AV839" s="36"/>
      <c r="AW839" s="36"/>
      <c r="AX839" s="36"/>
      <c r="AY839" s="36"/>
      <c r="AZ839" s="30"/>
      <c r="BA839" s="30"/>
      <c r="BB839" s="30"/>
      <c r="BC839" s="30"/>
      <c r="BD839" s="30" t="s">
        <v>2003</v>
      </c>
      <c r="BE839" s="30" t="s">
        <v>41</v>
      </c>
      <c r="BF839" s="30"/>
      <c r="BG839" s="30"/>
      <c r="BH839" s="30"/>
      <c r="BI839" s="30"/>
      <c r="BJ839" s="30"/>
      <c r="BK839" s="27"/>
      <c r="BL839" s="27"/>
    </row>
    <row r="840" spans="1:64">
      <c r="A840" s="68" t="s">
        <v>54</v>
      </c>
      <c r="B840" s="26">
        <v>46232</v>
      </c>
      <c r="C840" s="27">
        <v>29707</v>
      </c>
      <c r="D840" s="27"/>
      <c r="E840" s="27" t="s">
        <v>822</v>
      </c>
      <c r="F840" s="27" t="s">
        <v>59</v>
      </c>
      <c r="G840" s="27" t="s">
        <v>343</v>
      </c>
      <c r="H840" s="30" t="s">
        <v>246</v>
      </c>
      <c r="I840" s="31" t="s">
        <v>2004</v>
      </c>
      <c r="J840" s="30" t="s">
        <v>2005</v>
      </c>
      <c r="K840" s="27">
        <v>2</v>
      </c>
      <c r="L840" s="27"/>
      <c r="M840" s="27"/>
      <c r="N840" s="31" t="s">
        <v>115</v>
      </c>
      <c r="O840" s="27"/>
      <c r="P840" s="30"/>
      <c r="Q840" s="30" t="s">
        <v>66</v>
      </c>
      <c r="R840" s="62">
        <v>46237</v>
      </c>
      <c r="S840" s="27"/>
      <c r="T840" s="31"/>
      <c r="U840" s="30" t="s">
        <v>419</v>
      </c>
      <c r="V840" s="34" t="s">
        <v>90</v>
      </c>
      <c r="W840" s="27" t="s">
        <v>826</v>
      </c>
      <c r="X840" s="30">
        <v>1</v>
      </c>
      <c r="Y840" s="30">
        <v>1</v>
      </c>
      <c r="Z840" s="30">
        <v>1</v>
      </c>
      <c r="AA840" s="30"/>
      <c r="AB840" s="30" t="s">
        <v>321</v>
      </c>
      <c r="AC840" s="30" t="s">
        <v>115</v>
      </c>
      <c r="AD840" s="30" t="s">
        <v>41</v>
      </c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6"/>
      <c r="AS840" s="36"/>
      <c r="AT840" s="36"/>
      <c r="AU840" s="36"/>
      <c r="AV840" s="36"/>
      <c r="AW840" s="36"/>
      <c r="AX840" s="36"/>
      <c r="AY840" s="36"/>
      <c r="AZ840" s="30"/>
      <c r="BA840" s="30"/>
      <c r="BB840" s="30"/>
      <c r="BC840" s="30"/>
      <c r="BD840" s="30" t="s">
        <v>69</v>
      </c>
      <c r="BE840" s="30"/>
      <c r="BF840" s="30" t="s">
        <v>866</v>
      </c>
      <c r="BG840" s="30"/>
      <c r="BH840" s="30"/>
      <c r="BI840" s="30"/>
      <c r="BJ840" s="30"/>
      <c r="BK840" s="27"/>
      <c r="BL840" s="27"/>
    </row>
    <row r="841" spans="1:64">
      <c r="A841" s="68" t="s">
        <v>54</v>
      </c>
      <c r="B841" s="26">
        <v>46232</v>
      </c>
      <c r="C841" s="27">
        <v>29708</v>
      </c>
      <c r="D841" s="27"/>
      <c r="E841" s="27" t="s">
        <v>822</v>
      </c>
      <c r="F841" s="27" t="s">
        <v>59</v>
      </c>
      <c r="G841" s="27" t="s">
        <v>343</v>
      </c>
      <c r="H841" s="30" t="s">
        <v>342</v>
      </c>
      <c r="I841" s="31" t="s">
        <v>2006</v>
      </c>
      <c r="J841" s="30" t="s">
        <v>2007</v>
      </c>
      <c r="K841" s="27">
        <v>3</v>
      </c>
      <c r="L841" s="27"/>
      <c r="M841" s="27"/>
      <c r="N841" s="31" t="s">
        <v>866</v>
      </c>
      <c r="O841" s="27"/>
      <c r="P841" s="30"/>
      <c r="Q841" s="30" t="s">
        <v>66</v>
      </c>
      <c r="R841" s="62">
        <v>46235</v>
      </c>
      <c r="S841" s="26">
        <v>46241</v>
      </c>
      <c r="T841" s="31"/>
      <c r="U841" s="30" t="s">
        <v>68</v>
      </c>
      <c r="V841" s="34" t="s">
        <v>70</v>
      </c>
      <c r="W841" s="27" t="s">
        <v>826</v>
      </c>
      <c r="X841" s="30">
        <v>1</v>
      </c>
      <c r="Y841" s="30">
        <v>1</v>
      </c>
      <c r="Z841" s="30">
        <v>1</v>
      </c>
      <c r="AA841" s="30"/>
      <c r="AB841" s="30" t="s">
        <v>41</v>
      </c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6"/>
      <c r="AS841" s="36"/>
      <c r="AT841" s="36"/>
      <c r="AU841" s="36"/>
      <c r="AV841" s="36"/>
      <c r="AW841" s="36"/>
      <c r="AX841" s="36"/>
      <c r="AY841" s="36"/>
      <c r="AZ841" s="30"/>
      <c r="BA841" s="30"/>
      <c r="BB841" s="30"/>
      <c r="BC841" s="30"/>
      <c r="BD841" s="30" t="s">
        <v>69</v>
      </c>
      <c r="BE841" s="30"/>
      <c r="BF841" s="30" t="s">
        <v>866</v>
      </c>
      <c r="BG841" s="30"/>
      <c r="BH841" s="30"/>
      <c r="BI841" s="30"/>
      <c r="BJ841" s="30"/>
      <c r="BK841" s="27"/>
      <c r="BL841" s="27"/>
    </row>
    <row r="842" spans="1:64">
      <c r="A842" s="68" t="s">
        <v>54</v>
      </c>
      <c r="B842" s="26">
        <v>46232</v>
      </c>
      <c r="C842" s="27">
        <v>27080</v>
      </c>
      <c r="D842" s="27"/>
      <c r="E842" s="27" t="s">
        <v>58</v>
      </c>
      <c r="F842" s="27" t="s">
        <v>48</v>
      </c>
      <c r="G842" s="27" t="s">
        <v>110</v>
      </c>
      <c r="H842" s="30" t="s">
        <v>111</v>
      </c>
      <c r="I842" s="31" t="s">
        <v>2010</v>
      </c>
      <c r="J842" s="30" t="s">
        <v>2011</v>
      </c>
      <c r="K842" s="27">
        <v>8</v>
      </c>
      <c r="L842" s="27" t="s">
        <v>2012</v>
      </c>
      <c r="M842" s="27"/>
      <c r="N842" s="31" t="s">
        <v>124</v>
      </c>
      <c r="O842" s="27"/>
      <c r="P842" s="30"/>
      <c r="Q842" s="30" t="s">
        <v>66</v>
      </c>
      <c r="R842" s="26">
        <v>46235</v>
      </c>
      <c r="S842" s="26">
        <v>46241</v>
      </c>
      <c r="T842" s="31"/>
      <c r="U842" s="30" t="s">
        <v>68</v>
      </c>
      <c r="V842" s="34" t="s">
        <v>70</v>
      </c>
      <c r="W842" s="27" t="s">
        <v>71</v>
      </c>
      <c r="X842" s="30">
        <v>1</v>
      </c>
      <c r="Y842" s="30">
        <v>1</v>
      </c>
      <c r="Z842" s="30">
        <v>1</v>
      </c>
      <c r="AA842" s="30"/>
      <c r="AB842" s="30" t="s">
        <v>41</v>
      </c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6"/>
      <c r="AS842" s="36"/>
      <c r="AT842" s="36"/>
      <c r="AU842" s="36"/>
      <c r="AV842" s="36"/>
      <c r="AW842" s="36"/>
      <c r="AX842" s="36"/>
      <c r="AY842" s="36"/>
      <c r="AZ842" s="30"/>
      <c r="BA842" s="30"/>
      <c r="BB842" s="30"/>
      <c r="BC842" s="30"/>
      <c r="BD842" s="30" t="s">
        <v>118</v>
      </c>
      <c r="BE842" s="30" t="s">
        <v>124</v>
      </c>
      <c r="BF842" s="30"/>
      <c r="BG842" s="30"/>
      <c r="BH842" s="30"/>
      <c r="BI842" s="30"/>
      <c r="BJ842" s="30"/>
      <c r="BK842" s="27"/>
      <c r="BL842" s="27"/>
    </row>
    <row r="843" spans="1:64">
      <c r="A843" s="68" t="s">
        <v>54</v>
      </c>
      <c r="B843" s="26">
        <v>46232</v>
      </c>
      <c r="C843" s="27">
        <v>27081</v>
      </c>
      <c r="D843" s="27"/>
      <c r="E843" s="27" t="s">
        <v>58</v>
      </c>
      <c r="F843" s="27" t="s">
        <v>48</v>
      </c>
      <c r="G843" s="27" t="s">
        <v>110</v>
      </c>
      <c r="H843" s="30" t="s">
        <v>111</v>
      </c>
      <c r="I843" s="31" t="s">
        <v>2013</v>
      </c>
      <c r="J843" s="30" t="s">
        <v>2014</v>
      </c>
      <c r="K843" s="27">
        <v>25</v>
      </c>
      <c r="L843" s="27">
        <v>120</v>
      </c>
      <c r="M843" s="27"/>
      <c r="N843" s="31" t="s">
        <v>124</v>
      </c>
      <c r="O843" s="27"/>
      <c r="P843" s="30"/>
      <c r="Q843" s="30" t="s">
        <v>66</v>
      </c>
      <c r="R843" s="26">
        <v>46235</v>
      </c>
      <c r="S843" s="26">
        <v>46241</v>
      </c>
      <c r="T843" s="31"/>
      <c r="U843" s="30" t="s">
        <v>68</v>
      </c>
      <c r="V843" s="34" t="s">
        <v>70</v>
      </c>
      <c r="W843" s="27" t="s">
        <v>71</v>
      </c>
      <c r="X843" s="30">
        <v>1</v>
      </c>
      <c r="Y843" s="30">
        <v>1</v>
      </c>
      <c r="Z843" s="30">
        <v>1</v>
      </c>
      <c r="AA843" s="30"/>
      <c r="AB843" s="30" t="s">
        <v>41</v>
      </c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6"/>
      <c r="AS843" s="36"/>
      <c r="AT843" s="36"/>
      <c r="AU843" s="36"/>
      <c r="AV843" s="36"/>
      <c r="AW843" s="36"/>
      <c r="AX843" s="36"/>
      <c r="AY843" s="36"/>
      <c r="AZ843" s="30"/>
      <c r="BA843" s="30"/>
      <c r="BB843" s="30"/>
      <c r="BC843" s="30"/>
      <c r="BD843" s="30" t="s">
        <v>118</v>
      </c>
      <c r="BE843" s="30" t="s">
        <v>124</v>
      </c>
      <c r="BF843" s="30"/>
      <c r="BG843" s="30"/>
      <c r="BH843" s="30"/>
      <c r="BI843" s="30"/>
      <c r="BJ843" s="30"/>
      <c r="BK843" s="27"/>
      <c r="BL843" s="27"/>
    </row>
    <row r="844" spans="1:64">
      <c r="A844" s="68" t="s">
        <v>54</v>
      </c>
      <c r="B844" s="26">
        <v>46232</v>
      </c>
      <c r="C844" s="27">
        <v>27077</v>
      </c>
      <c r="D844" s="27"/>
      <c r="E844" s="27" t="s">
        <v>58</v>
      </c>
      <c r="F844" s="27" t="s">
        <v>48</v>
      </c>
      <c r="G844" s="27" t="s">
        <v>110</v>
      </c>
      <c r="H844" s="30" t="s">
        <v>1427</v>
      </c>
      <c r="I844" s="31" t="s">
        <v>2015</v>
      </c>
      <c r="J844" s="30" t="s">
        <v>2017</v>
      </c>
      <c r="K844" s="27">
        <v>39</v>
      </c>
      <c r="L844" s="27" t="s">
        <v>2018</v>
      </c>
      <c r="M844" s="27"/>
      <c r="N844" s="31" t="s">
        <v>846</v>
      </c>
      <c r="O844" s="27"/>
      <c r="P844" s="30"/>
      <c r="Q844" s="30" t="s">
        <v>66</v>
      </c>
      <c r="R844" s="26">
        <v>46235</v>
      </c>
      <c r="S844" s="26">
        <v>46241</v>
      </c>
      <c r="T844" s="31"/>
      <c r="U844" s="30" t="s">
        <v>68</v>
      </c>
      <c r="V844" s="34" t="s">
        <v>70</v>
      </c>
      <c r="W844" s="27" t="s">
        <v>71</v>
      </c>
      <c r="X844" s="30">
        <v>1</v>
      </c>
      <c r="Y844" s="30">
        <v>1</v>
      </c>
      <c r="Z844" s="30">
        <v>1</v>
      </c>
      <c r="AA844" s="30"/>
      <c r="AB844" s="30" t="s">
        <v>41</v>
      </c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6"/>
      <c r="AS844" s="36"/>
      <c r="AT844" s="36"/>
      <c r="AU844" s="36"/>
      <c r="AV844" s="36"/>
      <c r="AW844" s="36"/>
      <c r="AX844" s="36"/>
      <c r="AY844" s="36"/>
      <c r="AZ844" s="30"/>
      <c r="BA844" s="30"/>
      <c r="BB844" s="30"/>
      <c r="BC844" s="30"/>
      <c r="BD844" s="30" t="s">
        <v>118</v>
      </c>
      <c r="BE844" s="30" t="s">
        <v>846</v>
      </c>
      <c r="BF844" s="30"/>
      <c r="BG844" s="30"/>
      <c r="BH844" s="30"/>
      <c r="BI844" s="30"/>
      <c r="BJ844" s="30"/>
      <c r="BK844" s="27"/>
      <c r="BL844" s="27"/>
    </row>
    <row r="845" spans="1:64">
      <c r="A845" s="68" t="s">
        <v>54</v>
      </c>
      <c r="B845" s="26">
        <v>46232</v>
      </c>
      <c r="C845" s="27">
        <v>27078</v>
      </c>
      <c r="D845" s="27"/>
      <c r="E845" s="27" t="s">
        <v>58</v>
      </c>
      <c r="F845" s="27" t="s">
        <v>48</v>
      </c>
      <c r="G845" s="27" t="s">
        <v>110</v>
      </c>
      <c r="H845" s="30" t="s">
        <v>1907</v>
      </c>
      <c r="I845" s="31" t="s">
        <v>2019</v>
      </c>
      <c r="J845" s="30" t="s">
        <v>2020</v>
      </c>
      <c r="K845" s="27">
        <v>34</v>
      </c>
      <c r="L845" s="27" t="s">
        <v>611</v>
      </c>
      <c r="M845" s="27"/>
      <c r="N845" s="31" t="s">
        <v>846</v>
      </c>
      <c r="O845" s="27"/>
      <c r="P845" s="30"/>
      <c r="Q845" s="30" t="s">
        <v>66</v>
      </c>
      <c r="R845" s="26">
        <v>46235</v>
      </c>
      <c r="S845" s="26">
        <v>46241</v>
      </c>
      <c r="T845" s="31"/>
      <c r="U845" s="30" t="s">
        <v>68</v>
      </c>
      <c r="V845" s="34" t="s">
        <v>70</v>
      </c>
      <c r="W845" s="27" t="s">
        <v>71</v>
      </c>
      <c r="X845" s="30">
        <v>1</v>
      </c>
      <c r="Y845" s="30">
        <v>1</v>
      </c>
      <c r="Z845" s="30">
        <v>1</v>
      </c>
      <c r="AA845" s="30"/>
      <c r="AB845" s="30" t="s">
        <v>41</v>
      </c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6"/>
      <c r="AS845" s="36"/>
      <c r="AT845" s="36"/>
      <c r="AU845" s="36"/>
      <c r="AV845" s="36"/>
      <c r="AW845" s="36"/>
      <c r="AX845" s="36"/>
      <c r="AY845" s="36"/>
      <c r="AZ845" s="30"/>
      <c r="BA845" s="30"/>
      <c r="BB845" s="30"/>
      <c r="BC845" s="30"/>
      <c r="BD845" s="30" t="s">
        <v>118</v>
      </c>
      <c r="BE845" s="30" t="s">
        <v>846</v>
      </c>
      <c r="BF845" s="30"/>
      <c r="BG845" s="30"/>
      <c r="BH845" s="30"/>
      <c r="BI845" s="30"/>
      <c r="BJ845" s="30"/>
      <c r="BK845" s="27"/>
      <c r="BL845" s="27"/>
    </row>
    <row r="846" spans="1:64">
      <c r="A846" s="68" t="s">
        <v>54</v>
      </c>
      <c r="B846" s="26">
        <v>46232</v>
      </c>
      <c r="C846" s="27">
        <v>27076</v>
      </c>
      <c r="D846" s="27"/>
      <c r="E846" s="27" t="s">
        <v>58</v>
      </c>
      <c r="F846" s="27" t="s">
        <v>48</v>
      </c>
      <c r="G846" s="27" t="s">
        <v>110</v>
      </c>
      <c r="H846" s="30" t="s">
        <v>266</v>
      </c>
      <c r="I846" s="31" t="s">
        <v>1273</v>
      </c>
      <c r="J846" s="30" t="s">
        <v>2022</v>
      </c>
      <c r="K846" s="27">
        <v>34</v>
      </c>
      <c r="L846" s="27" t="s">
        <v>611</v>
      </c>
      <c r="M846" s="27"/>
      <c r="N846" s="31" t="s">
        <v>846</v>
      </c>
      <c r="O846" s="27"/>
      <c r="P846" s="30"/>
      <c r="Q846" s="30" t="s">
        <v>66</v>
      </c>
      <c r="R846" s="26">
        <v>46237</v>
      </c>
      <c r="S846" s="26">
        <v>46241</v>
      </c>
      <c r="T846" s="31"/>
      <c r="U846" s="30" t="s">
        <v>68</v>
      </c>
      <c r="V846" s="34" t="s">
        <v>70</v>
      </c>
      <c r="W846" s="27" t="s">
        <v>71</v>
      </c>
      <c r="X846" s="30">
        <v>1</v>
      </c>
      <c r="Y846" s="30">
        <v>1</v>
      </c>
      <c r="Z846" s="30">
        <v>1</v>
      </c>
      <c r="AA846" s="30"/>
      <c r="AB846" s="30"/>
      <c r="AC846" s="30" t="s">
        <v>846</v>
      </c>
      <c r="AD846" s="30" t="s">
        <v>41</v>
      </c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6"/>
      <c r="AS846" s="36"/>
      <c r="AT846" s="36"/>
      <c r="AU846" s="36"/>
      <c r="AV846" s="36"/>
      <c r="AW846" s="36"/>
      <c r="AX846" s="36"/>
      <c r="AY846" s="36"/>
      <c r="AZ846" s="30"/>
      <c r="BA846" s="30"/>
      <c r="BB846" s="30"/>
      <c r="BC846" s="30"/>
      <c r="BD846" s="30" t="s">
        <v>118</v>
      </c>
      <c r="BE846" s="30"/>
      <c r="BF846" s="30"/>
      <c r="BG846" s="30"/>
      <c r="BH846" s="30"/>
      <c r="BI846" s="30"/>
      <c r="BJ846" s="30"/>
      <c r="BK846" s="27"/>
      <c r="BL846" s="27"/>
    </row>
    <row r="847" spans="1:64">
      <c r="A847" s="68" t="s">
        <v>54</v>
      </c>
      <c r="B847" s="26">
        <v>46232</v>
      </c>
      <c r="C847" s="27">
        <v>27079</v>
      </c>
      <c r="D847" s="27"/>
      <c r="E847" s="27" t="s">
        <v>58</v>
      </c>
      <c r="F847" s="27" t="s">
        <v>48</v>
      </c>
      <c r="G847" s="27" t="s">
        <v>110</v>
      </c>
      <c r="H847" s="30" t="s">
        <v>613</v>
      </c>
      <c r="I847" s="31" t="s">
        <v>614</v>
      </c>
      <c r="J847" s="30" t="s">
        <v>2023</v>
      </c>
      <c r="K847" s="27">
        <v>17</v>
      </c>
      <c r="L847" s="27" t="s">
        <v>2024</v>
      </c>
      <c r="M847" s="27"/>
      <c r="N847" s="31" t="s">
        <v>124</v>
      </c>
      <c r="O847" s="27"/>
      <c r="P847" s="30"/>
      <c r="Q847" s="30" t="s">
        <v>66</v>
      </c>
      <c r="R847" s="26">
        <v>46234</v>
      </c>
      <c r="S847" s="26">
        <v>46241</v>
      </c>
      <c r="T847" s="31"/>
      <c r="U847" s="30" t="s">
        <v>68</v>
      </c>
      <c r="V847" s="34" t="s">
        <v>70</v>
      </c>
      <c r="W847" s="27" t="s">
        <v>71</v>
      </c>
      <c r="X847" s="30">
        <v>1</v>
      </c>
      <c r="Y847" s="30">
        <v>1</v>
      </c>
      <c r="Z847" s="30">
        <v>1</v>
      </c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6"/>
      <c r="AS847" s="36"/>
      <c r="AT847" s="36"/>
      <c r="AU847" s="36"/>
      <c r="AV847" s="36"/>
      <c r="AW847" s="36"/>
      <c r="AX847" s="36"/>
      <c r="AY847" s="36"/>
      <c r="AZ847" s="30"/>
      <c r="BA847" s="30"/>
      <c r="BB847" s="30"/>
      <c r="BC847" s="30"/>
      <c r="BD847" s="30" t="s">
        <v>118</v>
      </c>
      <c r="BE847" s="30" t="s">
        <v>2025</v>
      </c>
      <c r="BF847" s="30" t="s">
        <v>41</v>
      </c>
      <c r="BG847" s="30"/>
      <c r="BH847" s="30"/>
      <c r="BI847" s="30"/>
      <c r="BJ847" s="30"/>
      <c r="BK847" s="27"/>
      <c r="BL847" s="27"/>
    </row>
    <row r="848" spans="1:64">
      <c r="A848" s="68" t="s">
        <v>54</v>
      </c>
      <c r="B848" s="26">
        <v>46232</v>
      </c>
      <c r="C848" s="27"/>
      <c r="D848" s="27" t="s">
        <v>2026</v>
      </c>
      <c r="E848" s="27" t="s">
        <v>333</v>
      </c>
      <c r="F848" s="27" t="s">
        <v>334</v>
      </c>
      <c r="G848" s="27" t="s">
        <v>28</v>
      </c>
      <c r="H848" s="30" t="s">
        <v>57</v>
      </c>
      <c r="I848" s="31" t="s">
        <v>2027</v>
      </c>
      <c r="J848" s="30" t="s">
        <v>2028</v>
      </c>
      <c r="K848" s="27">
        <v>1</v>
      </c>
      <c r="L848" s="27">
        <v>4</v>
      </c>
      <c r="M848" s="27"/>
      <c r="N848" s="31" t="s">
        <v>1222</v>
      </c>
      <c r="O848" s="27"/>
      <c r="P848" s="30"/>
      <c r="Q848" s="30" t="s">
        <v>66</v>
      </c>
      <c r="R848" s="26">
        <v>46234</v>
      </c>
      <c r="S848" s="26">
        <v>46237</v>
      </c>
      <c r="T848" s="31"/>
      <c r="U848" s="30" t="s">
        <v>68</v>
      </c>
      <c r="V848" s="34" t="s">
        <v>70</v>
      </c>
      <c r="W848" s="27" t="s">
        <v>336</v>
      </c>
      <c r="X848" s="30">
        <v>1</v>
      </c>
      <c r="Y848" s="30">
        <v>1</v>
      </c>
      <c r="Z848" s="30">
        <v>1</v>
      </c>
      <c r="AA848" s="30">
        <v>1</v>
      </c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6"/>
      <c r="AS848" s="36"/>
      <c r="AT848" s="36"/>
      <c r="AU848" s="36"/>
      <c r="AV848" s="36"/>
      <c r="AW848" s="36"/>
      <c r="AX848" s="36"/>
      <c r="AY848" s="36"/>
      <c r="AZ848" s="30"/>
      <c r="BA848" s="30"/>
      <c r="BB848" s="30"/>
      <c r="BC848" s="30"/>
      <c r="BD848" s="30" t="s">
        <v>69</v>
      </c>
      <c r="BE848" s="30"/>
      <c r="BF848" s="30" t="s">
        <v>583</v>
      </c>
      <c r="BG848" s="30"/>
      <c r="BH848" s="30"/>
      <c r="BI848" s="30"/>
      <c r="BJ848" s="30"/>
      <c r="BK848" s="27"/>
      <c r="BL848" s="27"/>
    </row>
    <row r="849" spans="1:64">
      <c r="A849" s="68" t="s">
        <v>54</v>
      </c>
      <c r="B849" s="26">
        <v>46232</v>
      </c>
      <c r="C849" s="27">
        <v>29989</v>
      </c>
      <c r="D849" s="27" t="s">
        <v>2029</v>
      </c>
      <c r="E849" s="27" t="s">
        <v>101</v>
      </c>
      <c r="F849" s="27" t="s">
        <v>59</v>
      </c>
      <c r="G849" s="27" t="s">
        <v>104</v>
      </c>
      <c r="H849" s="30" t="s">
        <v>293</v>
      </c>
      <c r="I849" s="31" t="s">
        <v>745</v>
      </c>
      <c r="J849" s="30" t="s">
        <v>746</v>
      </c>
      <c r="K849" s="27">
        <v>58</v>
      </c>
      <c r="L849" s="27">
        <v>81</v>
      </c>
      <c r="M849" s="27"/>
      <c r="N849" s="31" t="s">
        <v>455</v>
      </c>
      <c r="O849" s="27"/>
      <c r="P849" s="30"/>
      <c r="Q849" s="30" t="s">
        <v>66</v>
      </c>
      <c r="R849" s="26">
        <v>46234</v>
      </c>
      <c r="S849" s="26">
        <v>46237</v>
      </c>
      <c r="T849" s="31"/>
      <c r="U849" s="30" t="s">
        <v>68</v>
      </c>
      <c r="V849" s="34" t="s">
        <v>70</v>
      </c>
      <c r="W849" s="27" t="s">
        <v>101</v>
      </c>
      <c r="X849" s="30">
        <v>1</v>
      </c>
      <c r="Y849" s="30">
        <v>1</v>
      </c>
      <c r="Z849" s="30">
        <v>1</v>
      </c>
      <c r="AA849" s="30">
        <v>1</v>
      </c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6"/>
      <c r="AS849" s="36"/>
      <c r="AT849" s="36"/>
      <c r="AU849" s="36"/>
      <c r="AV849" s="36"/>
      <c r="AW849" s="36"/>
      <c r="AX849" s="36"/>
      <c r="AY849" s="36"/>
      <c r="AZ849" s="30"/>
      <c r="BA849" s="30"/>
      <c r="BB849" s="30"/>
      <c r="BC849" s="30"/>
      <c r="BD849" s="30" t="s">
        <v>69</v>
      </c>
      <c r="BE849" s="30"/>
      <c r="BF849" s="30" t="s">
        <v>583</v>
      </c>
      <c r="BG849" s="30"/>
      <c r="BH849" s="30"/>
      <c r="BI849" s="30"/>
      <c r="BJ849" s="30"/>
      <c r="BK849" s="27"/>
      <c r="BL849" s="27"/>
    </row>
    <row r="850" spans="1:64">
      <c r="A850" s="68" t="s">
        <v>187</v>
      </c>
      <c r="B850" s="26">
        <v>46232</v>
      </c>
      <c r="C850" s="27">
        <v>29709</v>
      </c>
      <c r="D850" s="27"/>
      <c r="E850" s="27" t="s">
        <v>269</v>
      </c>
      <c r="F850" s="27" t="s">
        <v>59</v>
      </c>
      <c r="G850" s="27" t="s">
        <v>60</v>
      </c>
      <c r="H850" s="30" t="s">
        <v>300</v>
      </c>
      <c r="I850" s="31" t="s">
        <v>1448</v>
      </c>
      <c r="J850" s="39" t="s">
        <v>301</v>
      </c>
      <c r="K850" s="27">
        <v>5</v>
      </c>
      <c r="L850" s="27" t="s">
        <v>2030</v>
      </c>
      <c r="M850" s="27"/>
      <c r="N850" s="31"/>
      <c r="O850" s="27" t="s">
        <v>302</v>
      </c>
      <c r="P850" s="30"/>
      <c r="Q850" s="30" t="s">
        <v>594</v>
      </c>
      <c r="R850" s="26">
        <v>46239</v>
      </c>
      <c r="S850" s="27"/>
      <c r="T850" s="31"/>
      <c r="U850" s="30" t="s">
        <v>419</v>
      </c>
      <c r="V850" s="34" t="s">
        <v>90</v>
      </c>
      <c r="W850" s="27" t="s">
        <v>273</v>
      </c>
      <c r="X850" s="30">
        <v>1</v>
      </c>
      <c r="Y850" s="30">
        <v>1</v>
      </c>
      <c r="Z850" s="30">
        <v>1</v>
      </c>
      <c r="AA850" s="30"/>
      <c r="AB850" s="30"/>
      <c r="AC850" s="30"/>
      <c r="AD850" s="30"/>
      <c r="AE850" s="30"/>
      <c r="AF850" s="30" t="s">
        <v>90</v>
      </c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6"/>
      <c r="AS850" s="36"/>
      <c r="AT850" s="36"/>
      <c r="AU850" s="36"/>
      <c r="AV850" s="36"/>
      <c r="AW850" s="36"/>
      <c r="AX850" s="36"/>
      <c r="AY850" s="36"/>
      <c r="AZ850" s="30"/>
      <c r="BA850" s="30"/>
      <c r="BB850" s="30"/>
      <c r="BC850" s="30"/>
      <c r="BD850" s="30" t="s">
        <v>69</v>
      </c>
      <c r="BE850" s="30"/>
      <c r="BF850" s="30" t="s">
        <v>302</v>
      </c>
      <c r="BG850" s="30"/>
      <c r="BH850" s="30"/>
      <c r="BI850" s="30"/>
      <c r="BJ850" s="30"/>
      <c r="BK850" s="27"/>
      <c r="BL850" s="27"/>
    </row>
    <row r="851" spans="1:64">
      <c r="A851" s="68" t="s">
        <v>54</v>
      </c>
      <c r="B851" s="26">
        <v>46232</v>
      </c>
      <c r="C851" s="27">
        <v>30638</v>
      </c>
      <c r="D851" s="27"/>
      <c r="E851" s="27" t="s">
        <v>203</v>
      </c>
      <c r="F851" s="27" t="s">
        <v>59</v>
      </c>
      <c r="G851" s="27" t="s">
        <v>104</v>
      </c>
      <c r="H851" s="30" t="s">
        <v>60</v>
      </c>
      <c r="I851" s="31" t="s">
        <v>1292</v>
      </c>
      <c r="J851" s="30" t="s">
        <v>60</v>
      </c>
      <c r="K851" s="27">
        <v>1</v>
      </c>
      <c r="L851" s="27" t="s">
        <v>205</v>
      </c>
      <c r="M851" s="27"/>
      <c r="N851" s="31" t="s">
        <v>297</v>
      </c>
      <c r="O851" s="27"/>
      <c r="P851" s="30"/>
      <c r="Q851" s="30" t="s">
        <v>66</v>
      </c>
      <c r="R851" s="26">
        <v>46234</v>
      </c>
      <c r="S851" s="26">
        <v>46235</v>
      </c>
      <c r="T851" s="31"/>
      <c r="U851" s="30" t="s">
        <v>68</v>
      </c>
      <c r="V851" s="34" t="s">
        <v>70</v>
      </c>
      <c r="W851" s="27" t="s">
        <v>208</v>
      </c>
      <c r="X851" s="30">
        <v>1</v>
      </c>
      <c r="Y851" s="30">
        <v>1</v>
      </c>
      <c r="Z851" s="30">
        <v>1</v>
      </c>
      <c r="AA851" s="30">
        <v>1</v>
      </c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6"/>
      <c r="AS851" s="36"/>
      <c r="AT851" s="36"/>
      <c r="AU851" s="36"/>
      <c r="AV851" s="36"/>
      <c r="AW851" s="36"/>
      <c r="AX851" s="36"/>
      <c r="AY851" s="36"/>
      <c r="AZ851" s="30"/>
      <c r="BA851" s="30"/>
      <c r="BB851" s="30"/>
      <c r="BC851" s="30"/>
      <c r="BD851" s="30" t="s">
        <v>69</v>
      </c>
      <c r="BE851" s="30"/>
      <c r="BF851" s="30" t="s">
        <v>105</v>
      </c>
      <c r="BG851" s="30"/>
      <c r="BH851" s="30"/>
      <c r="BI851" s="30"/>
      <c r="BJ851" s="30"/>
      <c r="BK851" s="27"/>
      <c r="BL851" s="27"/>
    </row>
    <row r="852" spans="1:64">
      <c r="A852" s="68" t="s">
        <v>54</v>
      </c>
      <c r="B852" s="26">
        <v>46232</v>
      </c>
      <c r="C852" s="27">
        <v>30646</v>
      </c>
      <c r="D852" s="27"/>
      <c r="E852" s="27" t="s">
        <v>233</v>
      </c>
      <c r="F852" s="27" t="s">
        <v>59</v>
      </c>
      <c r="G852" s="27" t="s">
        <v>104</v>
      </c>
      <c r="H852" s="30" t="s">
        <v>409</v>
      </c>
      <c r="I852" s="31" t="s">
        <v>2031</v>
      </c>
      <c r="J852" s="30" t="s">
        <v>409</v>
      </c>
      <c r="K852" s="27">
        <v>1</v>
      </c>
      <c r="L852" s="27" t="s">
        <v>205</v>
      </c>
      <c r="M852" s="27"/>
      <c r="N852" s="31" t="s">
        <v>455</v>
      </c>
      <c r="O852" s="27"/>
      <c r="P852" s="30"/>
      <c r="Q852" s="30" t="s">
        <v>66</v>
      </c>
      <c r="R852" s="62">
        <v>46235</v>
      </c>
      <c r="S852" s="26">
        <v>46237</v>
      </c>
      <c r="T852" s="31"/>
      <c r="U852" s="30" t="s">
        <v>68</v>
      </c>
      <c r="V852" s="34" t="s">
        <v>70</v>
      </c>
      <c r="W852" s="27" t="s">
        <v>208</v>
      </c>
      <c r="X852" s="30">
        <v>1</v>
      </c>
      <c r="Y852" s="30">
        <v>1</v>
      </c>
      <c r="Z852" s="30">
        <v>1</v>
      </c>
      <c r="AA852" s="30">
        <v>1</v>
      </c>
      <c r="AB852" s="30" t="s">
        <v>41</v>
      </c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6"/>
      <c r="AS852" s="36"/>
      <c r="AT852" s="36"/>
      <c r="AU852" s="36"/>
      <c r="AV852" s="36"/>
      <c r="AW852" s="36"/>
      <c r="AX852" s="36"/>
      <c r="AY852" s="36"/>
      <c r="AZ852" s="30"/>
      <c r="BA852" s="30"/>
      <c r="BB852" s="30"/>
      <c r="BC852" s="30"/>
      <c r="BD852" s="30" t="s">
        <v>69</v>
      </c>
      <c r="BE852" s="30"/>
      <c r="BF852" s="30" t="s">
        <v>455</v>
      </c>
      <c r="BG852" s="30"/>
      <c r="BH852" s="30"/>
      <c r="BI852" s="30"/>
      <c r="BJ852" s="30"/>
      <c r="BK852" s="27"/>
      <c r="BL852" s="27"/>
    </row>
    <row r="853" spans="1:64">
      <c r="A853" s="68" t="s">
        <v>54</v>
      </c>
      <c r="B853" s="26">
        <v>46232</v>
      </c>
      <c r="C853" s="27">
        <v>30637</v>
      </c>
      <c r="D853" s="27"/>
      <c r="E853" s="27" t="s">
        <v>233</v>
      </c>
      <c r="F853" s="27" t="s">
        <v>59</v>
      </c>
      <c r="G853" s="27" t="s">
        <v>104</v>
      </c>
      <c r="H853" s="30" t="s">
        <v>169</v>
      </c>
      <c r="I853" s="31" t="s">
        <v>2032</v>
      </c>
      <c r="J853" s="30" t="s">
        <v>2033</v>
      </c>
      <c r="K853" s="27">
        <v>1</v>
      </c>
      <c r="L853" s="27" t="s">
        <v>205</v>
      </c>
      <c r="M853" s="27"/>
      <c r="N853" s="31" t="s">
        <v>516</v>
      </c>
      <c r="O853" s="27"/>
      <c r="P853" s="30"/>
      <c r="Q853" s="30" t="s">
        <v>1958</v>
      </c>
      <c r="R853" s="26">
        <v>46234</v>
      </c>
      <c r="S853" s="26">
        <v>46235</v>
      </c>
      <c r="T853" s="31"/>
      <c r="U853" s="30" t="s">
        <v>68</v>
      </c>
      <c r="V853" s="34" t="s">
        <v>70</v>
      </c>
      <c r="W853" s="27" t="s">
        <v>208</v>
      </c>
      <c r="X853" s="30">
        <v>1</v>
      </c>
      <c r="Y853" s="30">
        <v>1</v>
      </c>
      <c r="Z853" s="30">
        <v>1</v>
      </c>
      <c r="AA853" s="30">
        <v>1</v>
      </c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6"/>
      <c r="AS853" s="36"/>
      <c r="AT853" s="36"/>
      <c r="AU853" s="36"/>
      <c r="AV853" s="36"/>
      <c r="AW853" s="36"/>
      <c r="AX853" s="36"/>
      <c r="AY853" s="36"/>
      <c r="AZ853" s="30"/>
      <c r="BA853" s="30"/>
      <c r="BB853" s="30"/>
      <c r="BC853" s="30"/>
      <c r="BD853" s="30" t="s">
        <v>69</v>
      </c>
      <c r="BE853" s="30"/>
      <c r="BF853" s="30" t="s">
        <v>2036</v>
      </c>
      <c r="BG853" s="30"/>
      <c r="BH853" s="30"/>
      <c r="BI853" s="30"/>
      <c r="BJ853" s="30"/>
      <c r="BK853" s="27"/>
      <c r="BL853" s="27"/>
    </row>
    <row r="854" spans="1:64">
      <c r="A854" s="68" t="s">
        <v>54</v>
      </c>
      <c r="B854" s="26">
        <v>46232</v>
      </c>
      <c r="C854" s="27">
        <v>30633</v>
      </c>
      <c r="D854" s="27"/>
      <c r="E854" s="27" t="s">
        <v>203</v>
      </c>
      <c r="F854" s="27" t="s">
        <v>59</v>
      </c>
      <c r="G854" s="27" t="s">
        <v>104</v>
      </c>
      <c r="H854" s="30" t="s">
        <v>60</v>
      </c>
      <c r="I854" s="31" t="s">
        <v>2037</v>
      </c>
      <c r="J854" s="30" t="s">
        <v>2038</v>
      </c>
      <c r="K854" s="27">
        <v>1</v>
      </c>
      <c r="L854" s="27" t="s">
        <v>205</v>
      </c>
      <c r="M854" s="27"/>
      <c r="N854" s="31" t="s">
        <v>507</v>
      </c>
      <c r="O854" s="27"/>
      <c r="P854" s="30"/>
      <c r="Q854" s="30" t="s">
        <v>66</v>
      </c>
      <c r="R854" s="26">
        <v>46233</v>
      </c>
      <c r="S854" s="26">
        <v>46234</v>
      </c>
      <c r="T854" s="31"/>
      <c r="U854" s="30" t="s">
        <v>68</v>
      </c>
      <c r="V854" s="34" t="s">
        <v>70</v>
      </c>
      <c r="W854" s="27" t="s">
        <v>208</v>
      </c>
      <c r="X854" s="30">
        <v>1</v>
      </c>
      <c r="Y854" s="30">
        <v>1</v>
      </c>
      <c r="Z854" s="30">
        <v>1</v>
      </c>
      <c r="AA854" s="30">
        <v>1</v>
      </c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6"/>
      <c r="AS854" s="36"/>
      <c r="AT854" s="36"/>
      <c r="AU854" s="36"/>
      <c r="AV854" s="36"/>
      <c r="AW854" s="36"/>
      <c r="AX854" s="36"/>
      <c r="AY854" s="36"/>
      <c r="AZ854" s="30"/>
      <c r="BA854" s="30"/>
      <c r="BB854" s="30"/>
      <c r="BC854" s="30"/>
      <c r="BD854" s="30" t="s">
        <v>69</v>
      </c>
      <c r="BE854" s="30" t="s">
        <v>1704</v>
      </c>
      <c r="BF854" s="30"/>
      <c r="BG854" s="30"/>
      <c r="BH854" s="30"/>
      <c r="BI854" s="30"/>
      <c r="BJ854" s="30"/>
      <c r="BK854" s="27"/>
      <c r="BL854" s="27"/>
    </row>
    <row r="855" spans="1:64">
      <c r="A855" s="68" t="s">
        <v>54</v>
      </c>
      <c r="B855" s="26">
        <v>46232</v>
      </c>
      <c r="C855" s="27">
        <v>30632</v>
      </c>
      <c r="D855" s="27"/>
      <c r="E855" s="27" t="s">
        <v>203</v>
      </c>
      <c r="F855" s="27" t="s">
        <v>59</v>
      </c>
      <c r="G855" s="27" t="s">
        <v>104</v>
      </c>
      <c r="H855" s="30" t="s">
        <v>60</v>
      </c>
      <c r="I855" s="31" t="s">
        <v>752</v>
      </c>
      <c r="J855" s="30" t="s">
        <v>60</v>
      </c>
      <c r="K855" s="27">
        <v>1</v>
      </c>
      <c r="L855" s="27" t="s">
        <v>205</v>
      </c>
      <c r="M855" s="27"/>
      <c r="N855" s="31" t="s">
        <v>297</v>
      </c>
      <c r="O855" s="27"/>
      <c r="P855" s="30"/>
      <c r="Q855" s="30" t="s">
        <v>66</v>
      </c>
      <c r="R855" s="26">
        <v>46234</v>
      </c>
      <c r="S855" s="26">
        <v>46235</v>
      </c>
      <c r="T855" s="31"/>
      <c r="U855" s="30" t="s">
        <v>68</v>
      </c>
      <c r="V855" s="34" t="s">
        <v>70</v>
      </c>
      <c r="W855" s="27" t="s">
        <v>208</v>
      </c>
      <c r="X855" s="30">
        <v>1</v>
      </c>
      <c r="Y855" s="30">
        <v>1</v>
      </c>
      <c r="Z855" s="30">
        <v>1</v>
      </c>
      <c r="AA855" s="30">
        <v>1</v>
      </c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6"/>
      <c r="AS855" s="36"/>
      <c r="AT855" s="36"/>
      <c r="AU855" s="36"/>
      <c r="AV855" s="36"/>
      <c r="AW855" s="36"/>
      <c r="AX855" s="36"/>
      <c r="AY855" s="36"/>
      <c r="AZ855" s="30"/>
      <c r="BA855" s="30"/>
      <c r="BB855" s="30"/>
      <c r="BC855" s="30"/>
      <c r="BD855" s="30" t="s">
        <v>69</v>
      </c>
      <c r="BE855" s="30"/>
      <c r="BF855" s="30" t="s">
        <v>105</v>
      </c>
      <c r="BG855" s="30"/>
      <c r="BH855" s="30"/>
      <c r="BI855" s="30"/>
      <c r="BJ855" s="30"/>
      <c r="BK855" s="27"/>
      <c r="BL855" s="27"/>
    </row>
    <row r="856" spans="1:64">
      <c r="A856" s="68" t="s">
        <v>54</v>
      </c>
      <c r="B856" s="26">
        <v>46232</v>
      </c>
      <c r="C856" s="27">
        <v>30647</v>
      </c>
      <c r="D856" s="27"/>
      <c r="E856" s="27" t="s">
        <v>203</v>
      </c>
      <c r="F856" s="27" t="s">
        <v>59</v>
      </c>
      <c r="G856" s="27" t="s">
        <v>104</v>
      </c>
      <c r="H856" s="30" t="s">
        <v>378</v>
      </c>
      <c r="I856" s="31" t="s">
        <v>2039</v>
      </c>
      <c r="J856" s="30" t="s">
        <v>378</v>
      </c>
      <c r="K856" s="27">
        <v>1</v>
      </c>
      <c r="L856" s="27" t="s">
        <v>205</v>
      </c>
      <c r="M856" s="27"/>
      <c r="N856" s="31" t="s">
        <v>602</v>
      </c>
      <c r="O856" s="27"/>
      <c r="P856" s="30"/>
      <c r="Q856" s="30" t="s">
        <v>66</v>
      </c>
      <c r="R856" s="26">
        <v>46234</v>
      </c>
      <c r="S856" s="26">
        <v>46235</v>
      </c>
      <c r="T856" s="31"/>
      <c r="U856" s="30" t="s">
        <v>68</v>
      </c>
      <c r="V856" s="34" t="s">
        <v>70</v>
      </c>
      <c r="W856" s="27" t="s">
        <v>208</v>
      </c>
      <c r="X856" s="30">
        <v>1</v>
      </c>
      <c r="Y856" s="30">
        <v>1</v>
      </c>
      <c r="Z856" s="30">
        <v>1</v>
      </c>
      <c r="AA856" s="30">
        <v>1</v>
      </c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6"/>
      <c r="AS856" s="36"/>
      <c r="AT856" s="36"/>
      <c r="AU856" s="36"/>
      <c r="AV856" s="36"/>
      <c r="AW856" s="36"/>
      <c r="AX856" s="36"/>
      <c r="AY856" s="36"/>
      <c r="AZ856" s="30"/>
      <c r="BA856" s="30"/>
      <c r="BB856" s="30"/>
      <c r="BC856" s="30"/>
      <c r="BD856" s="30" t="s">
        <v>69</v>
      </c>
      <c r="BE856" s="30"/>
      <c r="BF856" s="30" t="s">
        <v>1438</v>
      </c>
      <c r="BG856" s="30"/>
      <c r="BH856" s="30"/>
      <c r="BI856" s="30"/>
      <c r="BJ856" s="30"/>
      <c r="BK856" s="27"/>
      <c r="BL856" s="27"/>
    </row>
    <row r="857" spans="1:64">
      <c r="A857" s="68" t="s">
        <v>54</v>
      </c>
      <c r="B857" s="26">
        <v>46232</v>
      </c>
      <c r="C857" s="27">
        <v>30648</v>
      </c>
      <c r="D857" s="27"/>
      <c r="E857" s="27" t="s">
        <v>203</v>
      </c>
      <c r="F857" s="27" t="s">
        <v>59</v>
      </c>
      <c r="G857" s="27" t="s">
        <v>104</v>
      </c>
      <c r="H857" s="30" t="s">
        <v>369</v>
      </c>
      <c r="I857" s="31" t="s">
        <v>2040</v>
      </c>
      <c r="J857" s="30" t="s">
        <v>369</v>
      </c>
      <c r="K857" s="27">
        <v>1</v>
      </c>
      <c r="L857" s="27" t="s">
        <v>214</v>
      </c>
      <c r="M857" s="27"/>
      <c r="N857" s="31" t="s">
        <v>1222</v>
      </c>
      <c r="O857" s="27"/>
      <c r="P857" s="30"/>
      <c r="Q857" s="30" t="s">
        <v>66</v>
      </c>
      <c r="R857" s="26">
        <v>46234</v>
      </c>
      <c r="S857" s="26">
        <v>46237</v>
      </c>
      <c r="T857" s="31"/>
      <c r="U857" s="30" t="s">
        <v>68</v>
      </c>
      <c r="V857" s="34" t="s">
        <v>70</v>
      </c>
      <c r="W857" s="27" t="s">
        <v>208</v>
      </c>
      <c r="X857" s="30">
        <v>1</v>
      </c>
      <c r="Y857" s="30">
        <v>1</v>
      </c>
      <c r="Z857" s="30">
        <v>1</v>
      </c>
      <c r="AA857" s="30">
        <v>1</v>
      </c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6"/>
      <c r="AS857" s="36"/>
      <c r="AT857" s="36"/>
      <c r="AU857" s="36"/>
      <c r="AV857" s="36"/>
      <c r="AW857" s="36"/>
      <c r="AX857" s="36"/>
      <c r="AY857" s="36"/>
      <c r="AZ857" s="30"/>
      <c r="BA857" s="30"/>
      <c r="BB857" s="30"/>
      <c r="BC857" s="30"/>
      <c r="BD857" s="30" t="s">
        <v>69</v>
      </c>
      <c r="BE857" s="30"/>
      <c r="BF857" s="30" t="s">
        <v>583</v>
      </c>
      <c r="BG857" s="30"/>
      <c r="BH857" s="30"/>
      <c r="BI857" s="30"/>
      <c r="BJ857" s="30"/>
      <c r="BK857" s="27"/>
      <c r="BL857" s="27"/>
    </row>
    <row r="858" spans="1:64">
      <c r="A858" s="68" t="s">
        <v>54</v>
      </c>
      <c r="B858" s="26">
        <v>46232</v>
      </c>
      <c r="C858" s="27">
        <v>30640</v>
      </c>
      <c r="D858" s="27"/>
      <c r="E858" s="27" t="s">
        <v>1954</v>
      </c>
      <c r="F858" s="27" t="s">
        <v>59</v>
      </c>
      <c r="G858" s="27" t="s">
        <v>104</v>
      </c>
      <c r="H858" s="30" t="s">
        <v>60</v>
      </c>
      <c r="I858" s="31" t="s">
        <v>2041</v>
      </c>
      <c r="J858" s="30" t="s">
        <v>60</v>
      </c>
      <c r="K858" s="27">
        <v>1</v>
      </c>
      <c r="L858" s="27" t="s">
        <v>205</v>
      </c>
      <c r="M858" s="27"/>
      <c r="N858" s="31" t="s">
        <v>81</v>
      </c>
      <c r="O858" s="27"/>
      <c r="P858" s="30"/>
      <c r="Q858" s="30" t="s">
        <v>2042</v>
      </c>
      <c r="R858" s="26">
        <v>46237</v>
      </c>
      <c r="S858" s="26">
        <v>46238</v>
      </c>
      <c r="T858" s="31"/>
      <c r="U858" s="30" t="s">
        <v>68</v>
      </c>
      <c r="V858" s="34" t="s">
        <v>70</v>
      </c>
      <c r="W858" s="27" t="s">
        <v>208</v>
      </c>
      <c r="X858" s="30"/>
      <c r="Y858" s="30"/>
      <c r="Z858" s="30"/>
      <c r="AA858" s="30">
        <v>1</v>
      </c>
      <c r="AB858" s="30"/>
      <c r="AC858" s="30"/>
      <c r="AD858" s="30" t="s">
        <v>2043</v>
      </c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6"/>
      <c r="AS858" s="36"/>
      <c r="AT858" s="36"/>
      <c r="AU858" s="36"/>
      <c r="AV858" s="36"/>
      <c r="AW858" s="36"/>
      <c r="AX858" s="36"/>
      <c r="AY858" s="36"/>
      <c r="AZ858" s="30"/>
      <c r="BA858" s="30"/>
      <c r="BB858" s="30"/>
      <c r="BC858" s="30"/>
      <c r="BD858" s="30" t="s">
        <v>69</v>
      </c>
      <c r="BE858" s="30"/>
      <c r="BF858" s="30" t="s">
        <v>94</v>
      </c>
      <c r="BG858" s="30"/>
      <c r="BH858" s="30"/>
      <c r="BI858" s="30"/>
      <c r="BJ858" s="30"/>
      <c r="BK858" s="27"/>
      <c r="BL858" s="27"/>
    </row>
    <row r="859" spans="1:64">
      <c r="A859" s="68" t="s">
        <v>54</v>
      </c>
      <c r="B859" s="26">
        <v>46232</v>
      </c>
      <c r="C859" s="27">
        <v>30642</v>
      </c>
      <c r="D859" s="27"/>
      <c r="E859" s="27" t="s">
        <v>203</v>
      </c>
      <c r="F859" s="27" t="s">
        <v>59</v>
      </c>
      <c r="G859" s="27" t="s">
        <v>104</v>
      </c>
      <c r="H859" s="30" t="s">
        <v>383</v>
      </c>
      <c r="I859" s="31" t="s">
        <v>1407</v>
      </c>
      <c r="J859" s="30" t="s">
        <v>383</v>
      </c>
      <c r="K859" s="27">
        <v>1</v>
      </c>
      <c r="L859" s="27" t="s">
        <v>205</v>
      </c>
      <c r="M859" s="27"/>
      <c r="N859" s="31" t="s">
        <v>384</v>
      </c>
      <c r="O859" s="27"/>
      <c r="P859" s="30"/>
      <c r="Q859" s="30" t="s">
        <v>2044</v>
      </c>
      <c r="R859" s="26">
        <v>46233</v>
      </c>
      <c r="S859" s="26">
        <v>46233</v>
      </c>
      <c r="T859" s="31"/>
      <c r="U859" s="30" t="s">
        <v>68</v>
      </c>
      <c r="V859" s="34" t="s">
        <v>70</v>
      </c>
      <c r="W859" s="27" t="s">
        <v>208</v>
      </c>
      <c r="X859" s="30"/>
      <c r="Y859" s="30"/>
      <c r="Z859" s="30"/>
      <c r="AA859" s="30">
        <v>1</v>
      </c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6"/>
      <c r="AS859" s="36"/>
      <c r="AT859" s="36"/>
      <c r="AU859" s="36"/>
      <c r="AV859" s="36"/>
      <c r="AW859" s="36"/>
      <c r="AX859" s="36"/>
      <c r="AY859" s="36"/>
      <c r="AZ859" s="30"/>
      <c r="BA859" s="30"/>
      <c r="BB859" s="30"/>
      <c r="BC859" s="30"/>
      <c r="BD859" s="30" t="s">
        <v>69</v>
      </c>
      <c r="BE859" s="30"/>
      <c r="BF859" s="30"/>
      <c r="BG859" s="30"/>
      <c r="BH859" s="30"/>
      <c r="BI859" s="30"/>
      <c r="BJ859" s="30"/>
      <c r="BK859" s="27"/>
      <c r="BL859" s="27"/>
    </row>
    <row r="860" spans="1:64">
      <c r="A860" s="68" t="s">
        <v>54</v>
      </c>
      <c r="B860" s="26">
        <v>46232</v>
      </c>
      <c r="C860" s="27">
        <v>30649</v>
      </c>
      <c r="D860" s="27"/>
      <c r="E860" s="27" t="s">
        <v>212</v>
      </c>
      <c r="F860" s="27" t="s">
        <v>59</v>
      </c>
      <c r="G860" s="27" t="s">
        <v>104</v>
      </c>
      <c r="H860" s="30" t="s">
        <v>369</v>
      </c>
      <c r="I860" s="31" t="s">
        <v>1352</v>
      </c>
      <c r="J860" s="30" t="s">
        <v>369</v>
      </c>
      <c r="K860" s="27">
        <v>1</v>
      </c>
      <c r="L860" s="27" t="s">
        <v>205</v>
      </c>
      <c r="M860" s="27"/>
      <c r="N860" s="31" t="s">
        <v>455</v>
      </c>
      <c r="O860" s="27"/>
      <c r="P860" s="30"/>
      <c r="Q860" s="30" t="s">
        <v>66</v>
      </c>
      <c r="R860" s="26">
        <v>46234</v>
      </c>
      <c r="S860" s="26">
        <v>46237</v>
      </c>
      <c r="T860" s="31"/>
      <c r="U860" s="30" t="s">
        <v>68</v>
      </c>
      <c r="V860" s="34" t="s">
        <v>70</v>
      </c>
      <c r="W860" s="27" t="s">
        <v>208</v>
      </c>
      <c r="X860" s="30">
        <v>1</v>
      </c>
      <c r="Y860" s="30">
        <v>1</v>
      </c>
      <c r="Z860" s="30">
        <v>1</v>
      </c>
      <c r="AA860" s="30">
        <v>1</v>
      </c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6"/>
      <c r="AS860" s="36"/>
      <c r="AT860" s="36"/>
      <c r="AU860" s="36"/>
      <c r="AV860" s="36"/>
      <c r="AW860" s="36"/>
      <c r="AX860" s="36"/>
      <c r="AY860" s="36"/>
      <c r="AZ860" s="30"/>
      <c r="BA860" s="30"/>
      <c r="BB860" s="30"/>
      <c r="BC860" s="30"/>
      <c r="BD860" s="30" t="s">
        <v>69</v>
      </c>
      <c r="BE860" s="30"/>
      <c r="BF860" s="30" t="s">
        <v>583</v>
      </c>
      <c r="BG860" s="30"/>
      <c r="BH860" s="30"/>
      <c r="BI860" s="30"/>
      <c r="BJ860" s="30"/>
      <c r="BK860" s="27"/>
      <c r="BL860" s="27"/>
    </row>
    <row r="861" spans="1:64">
      <c r="A861" s="68" t="s">
        <v>54</v>
      </c>
      <c r="B861" s="26">
        <v>46232</v>
      </c>
      <c r="C861" s="27">
        <v>30644</v>
      </c>
      <c r="D861" s="27"/>
      <c r="E861" s="27" t="s">
        <v>203</v>
      </c>
      <c r="F861" s="27" t="s">
        <v>59</v>
      </c>
      <c r="G861" s="27" t="s">
        <v>104</v>
      </c>
      <c r="H861" s="30" t="s">
        <v>378</v>
      </c>
      <c r="I861" s="31" t="s">
        <v>2046</v>
      </c>
      <c r="J861" s="30" t="s">
        <v>378</v>
      </c>
      <c r="K861" s="27">
        <v>1</v>
      </c>
      <c r="L861" s="27" t="s">
        <v>214</v>
      </c>
      <c r="M861" s="27"/>
      <c r="N861" s="31" t="s">
        <v>602</v>
      </c>
      <c r="O861" s="27"/>
      <c r="P861" s="30"/>
      <c r="Q861" s="30" t="s">
        <v>66</v>
      </c>
      <c r="R861" s="26">
        <v>46234</v>
      </c>
      <c r="S861" s="26">
        <v>46235</v>
      </c>
      <c r="T861" s="31"/>
      <c r="U861" s="30" t="s">
        <v>68</v>
      </c>
      <c r="V861" s="34" t="s">
        <v>70</v>
      </c>
      <c r="W861" s="27" t="s">
        <v>208</v>
      </c>
      <c r="X861" s="30">
        <v>1</v>
      </c>
      <c r="Y861" s="30">
        <v>1</v>
      </c>
      <c r="Z861" s="30">
        <v>1</v>
      </c>
      <c r="AA861" s="30">
        <v>1</v>
      </c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6"/>
      <c r="AS861" s="36"/>
      <c r="AT861" s="36"/>
      <c r="AU861" s="36"/>
      <c r="AV861" s="36"/>
      <c r="AW861" s="36"/>
      <c r="AX861" s="36"/>
      <c r="AY861" s="36"/>
      <c r="AZ861" s="30"/>
      <c r="BA861" s="30"/>
      <c r="BB861" s="30"/>
      <c r="BC861" s="30"/>
      <c r="BD861" s="30" t="s">
        <v>69</v>
      </c>
      <c r="BE861" s="30"/>
      <c r="BF861" s="30" t="s">
        <v>1438</v>
      </c>
      <c r="BG861" s="30"/>
      <c r="BH861" s="30"/>
      <c r="BI861" s="30"/>
      <c r="BJ861" s="30"/>
      <c r="BK861" s="27"/>
      <c r="BL861" s="27"/>
    </row>
    <row r="862" spans="1:64">
      <c r="A862" s="68" t="s">
        <v>54</v>
      </c>
      <c r="B862" s="26">
        <v>46232</v>
      </c>
      <c r="C862" s="27">
        <v>30645</v>
      </c>
      <c r="D862" s="27"/>
      <c r="E862" s="27" t="s">
        <v>212</v>
      </c>
      <c r="F862" s="27" t="s">
        <v>59</v>
      </c>
      <c r="G862" s="27" t="s">
        <v>104</v>
      </c>
      <c r="H862" s="30" t="s">
        <v>170</v>
      </c>
      <c r="I862" s="31" t="s">
        <v>770</v>
      </c>
      <c r="J862" s="30" t="s">
        <v>170</v>
      </c>
      <c r="K862" s="27">
        <v>1</v>
      </c>
      <c r="L862" s="27" t="s">
        <v>205</v>
      </c>
      <c r="M862" s="27"/>
      <c r="N862" s="31" t="s">
        <v>595</v>
      </c>
      <c r="O862" s="27"/>
      <c r="P862" s="30"/>
      <c r="Q862" s="30" t="s">
        <v>66</v>
      </c>
      <c r="R862" s="26">
        <v>46234</v>
      </c>
      <c r="S862" s="26">
        <v>46237</v>
      </c>
      <c r="T862" s="31"/>
      <c r="U862" s="30" t="s">
        <v>68</v>
      </c>
      <c r="V862" s="34" t="s">
        <v>70</v>
      </c>
      <c r="W862" s="27" t="s">
        <v>208</v>
      </c>
      <c r="X862" s="30">
        <v>1</v>
      </c>
      <c r="Y862" s="30">
        <v>1</v>
      </c>
      <c r="Z862" s="30">
        <v>1</v>
      </c>
      <c r="AA862" s="30">
        <v>1</v>
      </c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6"/>
      <c r="AS862" s="36"/>
      <c r="AT862" s="36"/>
      <c r="AU862" s="36"/>
      <c r="AV862" s="36"/>
      <c r="AW862" s="36"/>
      <c r="AX862" s="36"/>
      <c r="AY862" s="36"/>
      <c r="AZ862" s="30"/>
      <c r="BA862" s="30"/>
      <c r="BB862" s="30"/>
      <c r="BC862" s="30"/>
      <c r="BD862" s="30" t="s">
        <v>69</v>
      </c>
      <c r="BE862" s="30"/>
      <c r="BF862" s="30" t="s">
        <v>533</v>
      </c>
      <c r="BG862" s="30"/>
      <c r="BH862" s="30"/>
      <c r="BI862" s="30"/>
      <c r="BJ862" s="30"/>
      <c r="BK862" s="27"/>
      <c r="BL862" s="27"/>
    </row>
    <row r="863" spans="1:64">
      <c r="A863" s="68" t="s">
        <v>54</v>
      </c>
      <c r="B863" s="26">
        <v>46232</v>
      </c>
      <c r="C863" s="27">
        <v>30639</v>
      </c>
      <c r="D863" s="27"/>
      <c r="E863" s="27" t="s">
        <v>212</v>
      </c>
      <c r="F863" s="27" t="s">
        <v>59</v>
      </c>
      <c r="G863" s="27" t="s">
        <v>104</v>
      </c>
      <c r="H863" s="30" t="s">
        <v>409</v>
      </c>
      <c r="I863" s="31" t="s">
        <v>2047</v>
      </c>
      <c r="J863" s="30" t="s">
        <v>409</v>
      </c>
      <c r="K863" s="27">
        <v>1</v>
      </c>
      <c r="L863" s="27" t="s">
        <v>205</v>
      </c>
      <c r="M863" s="27"/>
      <c r="N863" s="31" t="s">
        <v>1222</v>
      </c>
      <c r="O863" s="27"/>
      <c r="P863" s="30"/>
      <c r="Q863" s="30" t="s">
        <v>66</v>
      </c>
      <c r="R863" s="62">
        <v>46235</v>
      </c>
      <c r="S863" s="26">
        <v>46237</v>
      </c>
      <c r="T863" s="31"/>
      <c r="U863" s="30" t="s">
        <v>68</v>
      </c>
      <c r="V863" s="34" t="s">
        <v>70</v>
      </c>
      <c r="W863" s="27" t="s">
        <v>208</v>
      </c>
      <c r="X863" s="30">
        <v>1</v>
      </c>
      <c r="Y863" s="30">
        <v>1</v>
      </c>
      <c r="Z863" s="30">
        <v>1</v>
      </c>
      <c r="AA863" s="30">
        <v>1</v>
      </c>
      <c r="AB863" s="30" t="s">
        <v>41</v>
      </c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6"/>
      <c r="AS863" s="36"/>
      <c r="AT863" s="36"/>
      <c r="AU863" s="36"/>
      <c r="AV863" s="36"/>
      <c r="AW863" s="36"/>
      <c r="AX863" s="36"/>
      <c r="AY863" s="36"/>
      <c r="AZ863" s="30"/>
      <c r="BA863" s="30"/>
      <c r="BB863" s="30"/>
      <c r="BC863" s="30"/>
      <c r="BD863" s="30" t="s">
        <v>69</v>
      </c>
      <c r="BE863" s="30"/>
      <c r="BF863" s="30"/>
      <c r="BG863" s="30"/>
      <c r="BH863" s="30"/>
      <c r="BI863" s="30"/>
      <c r="BJ863" s="30"/>
      <c r="BK863" s="27"/>
      <c r="BL863" s="27"/>
    </row>
    <row r="864" spans="1:64">
      <c r="A864" s="68" t="s">
        <v>54</v>
      </c>
      <c r="B864" s="26">
        <v>46232</v>
      </c>
      <c r="C864" s="27">
        <v>30635</v>
      </c>
      <c r="D864" s="27"/>
      <c r="E864" s="27" t="s">
        <v>203</v>
      </c>
      <c r="F864" s="27" t="s">
        <v>59</v>
      </c>
      <c r="G864" s="27" t="s">
        <v>104</v>
      </c>
      <c r="H864" s="30" t="s">
        <v>60</v>
      </c>
      <c r="I864" s="31" t="s">
        <v>753</v>
      </c>
      <c r="J864" s="30" t="s">
        <v>60</v>
      </c>
      <c r="K864" s="27">
        <v>1</v>
      </c>
      <c r="L864" s="27" t="s">
        <v>205</v>
      </c>
      <c r="M864" s="27"/>
      <c r="N864" s="31" t="s">
        <v>297</v>
      </c>
      <c r="O864" s="27"/>
      <c r="P864" s="30"/>
      <c r="Q864" s="30" t="s">
        <v>66</v>
      </c>
      <c r="R864" s="26">
        <v>46234</v>
      </c>
      <c r="S864" s="26">
        <v>46235</v>
      </c>
      <c r="T864" s="31"/>
      <c r="U864" s="30" t="s">
        <v>68</v>
      </c>
      <c r="V864" s="34" t="s">
        <v>70</v>
      </c>
      <c r="W864" s="27" t="s">
        <v>208</v>
      </c>
      <c r="X864" s="30">
        <v>1</v>
      </c>
      <c r="Y864" s="30">
        <v>1</v>
      </c>
      <c r="Z864" s="30">
        <v>1</v>
      </c>
      <c r="AA864" s="30">
        <v>1</v>
      </c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6"/>
      <c r="AS864" s="36"/>
      <c r="AT864" s="36"/>
      <c r="AU864" s="36"/>
      <c r="AV864" s="36"/>
      <c r="AW864" s="36"/>
      <c r="AX864" s="36"/>
      <c r="AY864" s="36"/>
      <c r="AZ864" s="30"/>
      <c r="BA864" s="30"/>
      <c r="BB864" s="30"/>
      <c r="BC864" s="30"/>
      <c r="BD864" s="30" t="s">
        <v>69</v>
      </c>
      <c r="BE864" s="30"/>
      <c r="BF864" s="30" t="s">
        <v>105</v>
      </c>
      <c r="BG864" s="30"/>
      <c r="BH864" s="30"/>
      <c r="BI864" s="30"/>
      <c r="BJ864" s="30"/>
      <c r="BK864" s="27"/>
      <c r="BL864" s="27"/>
    </row>
    <row r="865" spans="1:64">
      <c r="A865" s="68" t="s">
        <v>54</v>
      </c>
      <c r="B865" s="26">
        <v>46232</v>
      </c>
      <c r="C865" s="27">
        <v>30636</v>
      </c>
      <c r="D865" s="27"/>
      <c r="E865" s="27" t="s">
        <v>203</v>
      </c>
      <c r="F865" s="27" t="s">
        <v>59</v>
      </c>
      <c r="G865" s="27" t="s">
        <v>104</v>
      </c>
      <c r="H865" s="30" t="s">
        <v>60</v>
      </c>
      <c r="I865" s="31" t="s">
        <v>2048</v>
      </c>
      <c r="J865" s="30" t="s">
        <v>60</v>
      </c>
      <c r="K865" s="27">
        <v>1</v>
      </c>
      <c r="L865" s="27" t="s">
        <v>205</v>
      </c>
      <c r="M865" s="27"/>
      <c r="N865" s="31" t="s">
        <v>297</v>
      </c>
      <c r="O865" s="27"/>
      <c r="P865" s="30"/>
      <c r="Q865" s="30" t="s">
        <v>66</v>
      </c>
      <c r="R865" s="26">
        <v>46234</v>
      </c>
      <c r="S865" s="26">
        <v>46235</v>
      </c>
      <c r="T865" s="31"/>
      <c r="U865" s="30" t="s">
        <v>68</v>
      </c>
      <c r="V865" s="34" t="s">
        <v>70</v>
      </c>
      <c r="W865" s="27" t="s">
        <v>208</v>
      </c>
      <c r="X865" s="30"/>
      <c r="Y865" s="30"/>
      <c r="Z865" s="30"/>
      <c r="AA865" s="30">
        <v>1</v>
      </c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6"/>
      <c r="AS865" s="36"/>
      <c r="AT865" s="36"/>
      <c r="AU865" s="36"/>
      <c r="AV865" s="36"/>
      <c r="AW865" s="36"/>
      <c r="AX865" s="36"/>
      <c r="AY865" s="36"/>
      <c r="AZ865" s="30"/>
      <c r="BA865" s="30"/>
      <c r="BB865" s="30"/>
      <c r="BC865" s="30"/>
      <c r="BD865" s="30" t="s">
        <v>69</v>
      </c>
      <c r="BE865" s="30"/>
      <c r="BF865" s="30" t="s">
        <v>105</v>
      </c>
      <c r="BG865" s="30"/>
      <c r="BH865" s="30"/>
      <c r="BI865" s="30"/>
      <c r="BJ865" s="30"/>
      <c r="BK865" s="27"/>
      <c r="BL865" s="27"/>
    </row>
    <row r="866" spans="1:64">
      <c r="A866" s="68" t="s">
        <v>54</v>
      </c>
      <c r="B866" s="26">
        <v>46232</v>
      </c>
      <c r="C866" s="27">
        <v>30643</v>
      </c>
      <c r="D866" s="27"/>
      <c r="E866" s="27" t="s">
        <v>203</v>
      </c>
      <c r="F866" s="27" t="s">
        <v>59</v>
      </c>
      <c r="G866" s="27" t="s">
        <v>104</v>
      </c>
      <c r="H866" s="30" t="s">
        <v>378</v>
      </c>
      <c r="I866" s="31" t="s">
        <v>1360</v>
      </c>
      <c r="J866" s="30" t="s">
        <v>378</v>
      </c>
      <c r="K866" s="27">
        <v>1</v>
      </c>
      <c r="L866" s="27" t="s">
        <v>214</v>
      </c>
      <c r="M866" s="27"/>
      <c r="N866" s="31" t="s">
        <v>602</v>
      </c>
      <c r="O866" s="27"/>
      <c r="P866" s="30"/>
      <c r="Q866" s="30" t="s">
        <v>66</v>
      </c>
      <c r="R866" s="26">
        <v>46234</v>
      </c>
      <c r="S866" s="26">
        <v>46235</v>
      </c>
      <c r="T866" s="31"/>
      <c r="U866" s="30" t="s">
        <v>68</v>
      </c>
      <c r="V866" s="34" t="s">
        <v>70</v>
      </c>
      <c r="W866" s="27" t="s">
        <v>208</v>
      </c>
      <c r="X866" s="30">
        <v>1</v>
      </c>
      <c r="Y866" s="30">
        <v>1</v>
      </c>
      <c r="Z866" s="30">
        <v>1</v>
      </c>
      <c r="AA866" s="30">
        <v>1</v>
      </c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6"/>
      <c r="AS866" s="36"/>
      <c r="AT866" s="36"/>
      <c r="AU866" s="36"/>
      <c r="AV866" s="36"/>
      <c r="AW866" s="36"/>
      <c r="AX866" s="36"/>
      <c r="AY866" s="36"/>
      <c r="AZ866" s="30"/>
      <c r="BA866" s="30"/>
      <c r="BB866" s="30"/>
      <c r="BC866" s="30"/>
      <c r="BD866" s="30" t="s">
        <v>69</v>
      </c>
      <c r="BE866" s="30"/>
      <c r="BF866" s="30" t="s">
        <v>1438</v>
      </c>
      <c r="BG866" s="30"/>
      <c r="BH866" s="30"/>
      <c r="BI866" s="30"/>
      <c r="BJ866" s="30"/>
      <c r="BK866" s="27"/>
      <c r="BL866" s="27"/>
    </row>
    <row r="867" spans="1:64">
      <c r="A867" s="68" t="s">
        <v>54</v>
      </c>
      <c r="B867" s="26">
        <v>46232</v>
      </c>
      <c r="C867" s="27">
        <v>30641</v>
      </c>
      <c r="D867" s="27"/>
      <c r="E867" s="27" t="s">
        <v>203</v>
      </c>
      <c r="F867" s="27" t="s">
        <v>59</v>
      </c>
      <c r="G867" s="27" t="s">
        <v>104</v>
      </c>
      <c r="H867" s="30" t="s">
        <v>309</v>
      </c>
      <c r="I867" s="31" t="s">
        <v>632</v>
      </c>
      <c r="J867" s="30" t="s">
        <v>309</v>
      </c>
      <c r="K867" s="27">
        <v>1</v>
      </c>
      <c r="L867" s="27" t="s">
        <v>205</v>
      </c>
      <c r="M867" s="27"/>
      <c r="N867" s="31" t="s">
        <v>595</v>
      </c>
      <c r="O867" s="27"/>
      <c r="P867" s="30"/>
      <c r="Q867" s="30" t="s">
        <v>66</v>
      </c>
      <c r="R867" s="26">
        <v>46234</v>
      </c>
      <c r="S867" s="26">
        <v>46237</v>
      </c>
      <c r="T867" s="31"/>
      <c r="U867" s="30" t="s">
        <v>68</v>
      </c>
      <c r="V867" s="34" t="s">
        <v>70</v>
      </c>
      <c r="W867" s="27" t="s">
        <v>208</v>
      </c>
      <c r="X867" s="30">
        <v>1</v>
      </c>
      <c r="Y867" s="30">
        <v>1</v>
      </c>
      <c r="Z867" s="30">
        <v>1</v>
      </c>
      <c r="AA867" s="30">
        <v>1</v>
      </c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6"/>
      <c r="AS867" s="36"/>
      <c r="AT867" s="36"/>
      <c r="AU867" s="36"/>
      <c r="AV867" s="36"/>
      <c r="AW867" s="36"/>
      <c r="AX867" s="36"/>
      <c r="AY867" s="36"/>
      <c r="AZ867" s="30"/>
      <c r="BA867" s="30"/>
      <c r="BB867" s="30"/>
      <c r="BC867" s="30"/>
      <c r="BD867" s="30" t="s">
        <v>69</v>
      </c>
      <c r="BE867" s="30"/>
      <c r="BF867" s="30" t="s">
        <v>157</v>
      </c>
      <c r="BG867" s="30"/>
      <c r="BH867" s="30"/>
      <c r="BI867" s="30"/>
      <c r="BJ867" s="30"/>
      <c r="BK867" s="27"/>
      <c r="BL867" s="27"/>
    </row>
    <row r="868" spans="1:64">
      <c r="A868" s="68" t="s">
        <v>54</v>
      </c>
      <c r="B868" s="26">
        <v>46232</v>
      </c>
      <c r="C868" s="27">
        <v>30650</v>
      </c>
      <c r="D868" s="27"/>
      <c r="E868" s="27" t="s">
        <v>203</v>
      </c>
      <c r="F868" s="27" t="s">
        <v>59</v>
      </c>
      <c r="G868" s="27" t="s">
        <v>104</v>
      </c>
      <c r="H868" s="30" t="s">
        <v>60</v>
      </c>
      <c r="I868" s="31" t="s">
        <v>2050</v>
      </c>
      <c r="J868" s="30" t="s">
        <v>60</v>
      </c>
      <c r="K868" s="27">
        <v>1</v>
      </c>
      <c r="L868" s="27" t="s">
        <v>205</v>
      </c>
      <c r="M868" s="27"/>
      <c r="N868" s="31" t="s">
        <v>297</v>
      </c>
      <c r="O868" s="27"/>
      <c r="P868" s="30"/>
      <c r="Q868" s="30" t="s">
        <v>66</v>
      </c>
      <c r="R868" s="26">
        <v>46234</v>
      </c>
      <c r="S868" s="26">
        <v>46235</v>
      </c>
      <c r="T868" s="31"/>
      <c r="U868" s="30" t="s">
        <v>68</v>
      </c>
      <c r="V868" s="34" t="s">
        <v>70</v>
      </c>
      <c r="W868" s="27" t="s">
        <v>208</v>
      </c>
      <c r="X868" s="30">
        <v>1</v>
      </c>
      <c r="Y868" s="30">
        <v>1</v>
      </c>
      <c r="Z868" s="30">
        <v>1</v>
      </c>
      <c r="AA868" s="30">
        <v>1</v>
      </c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6"/>
      <c r="AS868" s="36"/>
      <c r="AT868" s="36"/>
      <c r="AU868" s="36"/>
      <c r="AV868" s="36"/>
      <c r="AW868" s="36"/>
      <c r="AX868" s="36"/>
      <c r="AY868" s="36"/>
      <c r="AZ868" s="30"/>
      <c r="BA868" s="30"/>
      <c r="BB868" s="30"/>
      <c r="BC868" s="30"/>
      <c r="BD868" s="30" t="s">
        <v>69</v>
      </c>
      <c r="BE868" s="30"/>
      <c r="BF868" s="30" t="s">
        <v>105</v>
      </c>
      <c r="BG868" s="30"/>
      <c r="BH868" s="30"/>
      <c r="BI868" s="30"/>
      <c r="BJ868" s="30"/>
      <c r="BK868" s="27"/>
      <c r="BL868" s="27"/>
    </row>
    <row r="869" spans="1:64">
      <c r="A869" s="68" t="s">
        <v>54</v>
      </c>
      <c r="B869" s="26">
        <v>46232</v>
      </c>
      <c r="C869" s="27">
        <v>30634</v>
      </c>
      <c r="D869" s="27"/>
      <c r="E869" s="27" t="s">
        <v>203</v>
      </c>
      <c r="F869" s="27" t="s">
        <v>59</v>
      </c>
      <c r="G869" s="27" t="s">
        <v>104</v>
      </c>
      <c r="H869" s="30" t="s">
        <v>60</v>
      </c>
      <c r="I869" s="31" t="s">
        <v>2051</v>
      </c>
      <c r="J869" s="30" t="s">
        <v>60</v>
      </c>
      <c r="K869" s="27">
        <v>1</v>
      </c>
      <c r="L869" s="27" t="s">
        <v>205</v>
      </c>
      <c r="M869" s="27"/>
      <c r="N869" s="31" t="s">
        <v>297</v>
      </c>
      <c r="O869" s="27"/>
      <c r="P869" s="30"/>
      <c r="Q869" s="30" t="s">
        <v>66</v>
      </c>
      <c r="R869" s="26">
        <v>46234</v>
      </c>
      <c r="S869" s="26">
        <v>46235</v>
      </c>
      <c r="T869" s="31"/>
      <c r="U869" s="30" t="s">
        <v>68</v>
      </c>
      <c r="V869" s="34" t="s">
        <v>70</v>
      </c>
      <c r="W869" s="27" t="s">
        <v>208</v>
      </c>
      <c r="X869" s="30"/>
      <c r="Y869" s="30"/>
      <c r="Z869" s="30"/>
      <c r="AA869" s="30">
        <v>1</v>
      </c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6"/>
      <c r="AS869" s="36"/>
      <c r="AT869" s="36"/>
      <c r="AU869" s="36"/>
      <c r="AV869" s="36"/>
      <c r="AW869" s="36"/>
      <c r="AX869" s="36"/>
      <c r="AY869" s="36"/>
      <c r="AZ869" s="30"/>
      <c r="BA869" s="30"/>
      <c r="BB869" s="30"/>
      <c r="BC869" s="30"/>
      <c r="BD869" s="30" t="s">
        <v>69</v>
      </c>
      <c r="BE869" s="30"/>
      <c r="BF869" s="30" t="s">
        <v>105</v>
      </c>
      <c r="BG869" s="30"/>
      <c r="BH869" s="30"/>
      <c r="BI869" s="30"/>
      <c r="BJ869" s="30"/>
      <c r="BK869" s="27"/>
      <c r="BL869" s="27"/>
    </row>
    <row r="870" spans="1:64">
      <c r="A870" s="68" t="s">
        <v>54</v>
      </c>
      <c r="B870" s="26">
        <v>46232</v>
      </c>
      <c r="C870" s="27"/>
      <c r="D870" s="27">
        <v>140053</v>
      </c>
      <c r="E870" s="27" t="s">
        <v>574</v>
      </c>
      <c r="F870" s="27" t="s">
        <v>59</v>
      </c>
      <c r="G870" s="27" t="s">
        <v>104</v>
      </c>
      <c r="H870" s="30" t="s">
        <v>110</v>
      </c>
      <c r="I870" s="31" t="s">
        <v>565</v>
      </c>
      <c r="J870" s="30" t="s">
        <v>110</v>
      </c>
      <c r="K870" s="27">
        <v>2</v>
      </c>
      <c r="L870" s="48">
        <v>46251</v>
      </c>
      <c r="M870" s="48">
        <v>46365</v>
      </c>
      <c r="N870" s="31" t="s">
        <v>846</v>
      </c>
      <c r="O870" s="27"/>
      <c r="P870" s="30"/>
      <c r="Q870" s="30" t="s">
        <v>566</v>
      </c>
      <c r="R870" s="62">
        <v>46237</v>
      </c>
      <c r="S870" s="27"/>
      <c r="T870" s="31"/>
      <c r="U870" s="30" t="s">
        <v>899</v>
      </c>
      <c r="V870" s="34" t="s">
        <v>900</v>
      </c>
      <c r="W870" s="27" t="s">
        <v>284</v>
      </c>
      <c r="X870" s="30">
        <v>1</v>
      </c>
      <c r="Y870" s="30">
        <v>1</v>
      </c>
      <c r="Z870" s="30">
        <v>1</v>
      </c>
      <c r="AA870" s="30"/>
      <c r="AB870" s="30"/>
      <c r="AC870" s="30" t="s">
        <v>325</v>
      </c>
      <c r="AD870" s="30" t="s">
        <v>2052</v>
      </c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6"/>
      <c r="AS870" s="36"/>
      <c r="AT870" s="36"/>
      <c r="AU870" s="36"/>
      <c r="AV870" s="36"/>
      <c r="AW870" s="36"/>
      <c r="AX870" s="36"/>
      <c r="AY870" s="36"/>
      <c r="AZ870" s="30"/>
      <c r="BA870" s="30"/>
      <c r="BB870" s="30"/>
      <c r="BC870" s="30"/>
      <c r="BD870" s="30" t="s">
        <v>69</v>
      </c>
      <c r="BE870" s="30"/>
      <c r="BF870" s="30" t="s">
        <v>866</v>
      </c>
      <c r="BG870" s="30"/>
      <c r="BH870" s="30"/>
      <c r="BI870" s="30"/>
      <c r="BJ870" s="30"/>
      <c r="BK870" s="27"/>
      <c r="BL870" s="27"/>
    </row>
    <row r="871" spans="1:64">
      <c r="A871" s="68" t="s">
        <v>54</v>
      </c>
      <c r="B871" s="26">
        <v>46232</v>
      </c>
      <c r="C871" s="27"/>
      <c r="D871" s="27">
        <v>45203</v>
      </c>
      <c r="E871" s="27" t="s">
        <v>574</v>
      </c>
      <c r="F871" s="27" t="s">
        <v>59</v>
      </c>
      <c r="G871" s="27" t="s">
        <v>104</v>
      </c>
      <c r="H871" s="30" t="s">
        <v>412</v>
      </c>
      <c r="I871" s="31" t="s">
        <v>1113</v>
      </c>
      <c r="J871" s="30" t="s">
        <v>412</v>
      </c>
      <c r="K871" s="27">
        <v>3</v>
      </c>
      <c r="L871" s="27">
        <v>23</v>
      </c>
      <c r="M871" s="27"/>
      <c r="N871" s="31" t="s">
        <v>595</v>
      </c>
      <c r="O871" s="27"/>
      <c r="P871" s="30"/>
      <c r="Q871" s="30" t="s">
        <v>1963</v>
      </c>
      <c r="R871" s="26">
        <v>46234</v>
      </c>
      <c r="S871" s="26">
        <v>46237</v>
      </c>
      <c r="T871" s="31"/>
      <c r="U871" s="30" t="s">
        <v>68</v>
      </c>
      <c r="V871" s="34" t="s">
        <v>70</v>
      </c>
      <c r="W871" s="27" t="s">
        <v>284</v>
      </c>
      <c r="X871" s="30">
        <v>1</v>
      </c>
      <c r="Y871" s="30">
        <v>1</v>
      </c>
      <c r="Z871" s="30">
        <v>1</v>
      </c>
      <c r="AA871" s="30">
        <v>1</v>
      </c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6"/>
      <c r="AS871" s="36"/>
      <c r="AT871" s="36"/>
      <c r="AU871" s="36"/>
      <c r="AV871" s="36"/>
      <c r="AW871" s="36"/>
      <c r="AX871" s="36"/>
      <c r="AY871" s="36"/>
      <c r="AZ871" s="30"/>
      <c r="BA871" s="30"/>
      <c r="BB871" s="30"/>
      <c r="BC871" s="30"/>
      <c r="BD871" s="30" t="s">
        <v>69</v>
      </c>
      <c r="BE871" s="30"/>
      <c r="BF871" s="30" t="s">
        <v>157</v>
      </c>
      <c r="BG871" s="30"/>
      <c r="BH871" s="30"/>
      <c r="BI871" s="30"/>
      <c r="BJ871" s="30"/>
      <c r="BK871" s="27"/>
      <c r="BL871" s="27"/>
    </row>
    <row r="872" spans="1:64">
      <c r="A872" s="68" t="s">
        <v>54</v>
      </c>
      <c r="B872" s="26">
        <v>46232</v>
      </c>
      <c r="C872" s="27"/>
      <c r="D872" s="27">
        <v>139973</v>
      </c>
      <c r="E872" s="27" t="s">
        <v>574</v>
      </c>
      <c r="F872" s="27" t="s">
        <v>59</v>
      </c>
      <c r="G872" s="27" t="s">
        <v>104</v>
      </c>
      <c r="H872" s="30" t="s">
        <v>106</v>
      </c>
      <c r="I872" s="31" t="s">
        <v>2053</v>
      </c>
      <c r="J872" s="30" t="s">
        <v>2054</v>
      </c>
      <c r="K872" s="27">
        <v>2</v>
      </c>
      <c r="L872" s="63">
        <v>1460</v>
      </c>
      <c r="M872" s="27"/>
      <c r="N872" s="31" t="s">
        <v>81</v>
      </c>
      <c r="O872" s="27"/>
      <c r="P872" s="30"/>
      <c r="Q872" s="30" t="s">
        <v>66</v>
      </c>
      <c r="R872" s="26">
        <v>46238</v>
      </c>
      <c r="S872" s="26">
        <v>46239</v>
      </c>
      <c r="T872" s="31"/>
      <c r="U872" s="30" t="s">
        <v>68</v>
      </c>
      <c r="V872" s="34" t="s">
        <v>70</v>
      </c>
      <c r="W872" s="27" t="s">
        <v>284</v>
      </c>
      <c r="X872" s="30">
        <v>1</v>
      </c>
      <c r="Y872" s="30">
        <v>1</v>
      </c>
      <c r="Z872" s="30">
        <v>1</v>
      </c>
      <c r="AA872" s="30">
        <v>1</v>
      </c>
      <c r="AB872" s="30"/>
      <c r="AC872" s="30"/>
      <c r="AD872" s="30"/>
      <c r="AE872" s="30" t="s">
        <v>88</v>
      </c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6"/>
      <c r="AS872" s="36"/>
      <c r="AT872" s="36"/>
      <c r="AU872" s="36"/>
      <c r="AV872" s="36"/>
      <c r="AW872" s="36"/>
      <c r="AX872" s="36"/>
      <c r="AY872" s="36"/>
      <c r="AZ872" s="30"/>
      <c r="BA872" s="30"/>
      <c r="BB872" s="30"/>
      <c r="BC872" s="30"/>
      <c r="BD872" s="30" t="s">
        <v>69</v>
      </c>
      <c r="BE872" s="30"/>
      <c r="BF872" s="30"/>
      <c r="BG872" s="30"/>
      <c r="BH872" s="30"/>
      <c r="BI872" s="30"/>
      <c r="BJ872" s="30"/>
      <c r="BK872" s="27"/>
      <c r="BL872" s="27"/>
    </row>
    <row r="873" spans="1:64">
      <c r="A873" s="68" t="s">
        <v>54</v>
      </c>
      <c r="B873" s="26">
        <v>46232</v>
      </c>
      <c r="C873" s="27"/>
      <c r="D873" s="27">
        <v>139770</v>
      </c>
      <c r="E873" s="27" t="s">
        <v>574</v>
      </c>
      <c r="F873" s="27" t="s">
        <v>48</v>
      </c>
      <c r="G873" s="27" t="s">
        <v>110</v>
      </c>
      <c r="H873" s="30" t="s">
        <v>29</v>
      </c>
      <c r="I873" s="31" t="s">
        <v>2055</v>
      </c>
      <c r="J873" s="30" t="s">
        <v>2056</v>
      </c>
      <c r="K873" s="27">
        <v>33</v>
      </c>
      <c r="L873" s="27" t="s">
        <v>2057</v>
      </c>
      <c r="M873" s="27">
        <v>579</v>
      </c>
      <c r="N873" s="31" t="s">
        <v>247</v>
      </c>
      <c r="O873" s="27"/>
      <c r="P873" s="30"/>
      <c r="Q873" s="30" t="s">
        <v>66</v>
      </c>
      <c r="R873" s="26">
        <v>46237</v>
      </c>
      <c r="S873" s="27"/>
      <c r="T873" s="31"/>
      <c r="U873" s="30" t="s">
        <v>419</v>
      </c>
      <c r="V873" s="34" t="s">
        <v>90</v>
      </c>
      <c r="W873" s="27" t="s">
        <v>284</v>
      </c>
      <c r="X873" s="30">
        <v>1</v>
      </c>
      <c r="Y873" s="30">
        <v>1</v>
      </c>
      <c r="Z873" s="30">
        <v>1</v>
      </c>
      <c r="AA873" s="30"/>
      <c r="AB873" s="30"/>
      <c r="AC873" s="30" t="s">
        <v>247</v>
      </c>
      <c r="AD873" s="30" t="s">
        <v>41</v>
      </c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6"/>
      <c r="AS873" s="36"/>
      <c r="AT873" s="36"/>
      <c r="AU873" s="36"/>
      <c r="AV873" s="36"/>
      <c r="AW873" s="36"/>
      <c r="AX873" s="36"/>
      <c r="AY873" s="36"/>
      <c r="AZ873" s="30"/>
      <c r="BA873" s="30"/>
      <c r="BB873" s="30"/>
      <c r="BC873" s="30"/>
      <c r="BD873" s="30" t="s">
        <v>115</v>
      </c>
      <c r="BE873" s="30" t="s">
        <v>321</v>
      </c>
      <c r="BF873" s="30"/>
      <c r="BG873" s="30"/>
      <c r="BH873" s="30"/>
      <c r="BI873" s="30"/>
      <c r="BJ873" s="30"/>
      <c r="BK873" s="27"/>
      <c r="BL873" s="27"/>
    </row>
    <row r="874" spans="1:64">
      <c r="A874" s="68" t="s">
        <v>54</v>
      </c>
      <c r="B874" s="26">
        <v>46232</v>
      </c>
      <c r="C874" s="27"/>
      <c r="D874" s="27">
        <v>139827</v>
      </c>
      <c r="E874" s="27" t="s">
        <v>574</v>
      </c>
      <c r="F874" s="27" t="s">
        <v>48</v>
      </c>
      <c r="G874" s="27" t="s">
        <v>110</v>
      </c>
      <c r="H874" s="30" t="s">
        <v>246</v>
      </c>
      <c r="I874" s="31" t="s">
        <v>2058</v>
      </c>
      <c r="J874" s="30" t="s">
        <v>2059</v>
      </c>
      <c r="K874" s="27">
        <v>10</v>
      </c>
      <c r="L874" s="27">
        <v>192</v>
      </c>
      <c r="M874" s="27" t="s">
        <v>2060</v>
      </c>
      <c r="N874" s="31" t="s">
        <v>115</v>
      </c>
      <c r="O874" s="27"/>
      <c r="P874" s="30"/>
      <c r="Q874" s="30" t="s">
        <v>66</v>
      </c>
      <c r="R874" s="26">
        <v>46237</v>
      </c>
      <c r="S874" s="27"/>
      <c r="T874" s="31"/>
      <c r="U874" s="30" t="s">
        <v>419</v>
      </c>
      <c r="V874" s="34" t="s">
        <v>90</v>
      </c>
      <c r="W874" s="27" t="s">
        <v>284</v>
      </c>
      <c r="X874" s="30">
        <v>1</v>
      </c>
      <c r="Y874" s="30">
        <v>1</v>
      </c>
      <c r="Z874" s="30">
        <v>1</v>
      </c>
      <c r="AA874" s="30"/>
      <c r="AB874" s="30"/>
      <c r="AC874" s="30" t="s">
        <v>115</v>
      </c>
      <c r="AD874" s="30" t="s">
        <v>41</v>
      </c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6"/>
      <c r="AS874" s="36"/>
      <c r="AT874" s="36"/>
      <c r="AU874" s="36"/>
      <c r="AV874" s="36"/>
      <c r="AW874" s="36"/>
      <c r="AX874" s="36"/>
      <c r="AY874" s="36"/>
      <c r="AZ874" s="30"/>
      <c r="BA874" s="30"/>
      <c r="BB874" s="30"/>
      <c r="BC874" s="30"/>
      <c r="BD874" s="30" t="s">
        <v>115</v>
      </c>
      <c r="BE874" s="30" t="s">
        <v>321</v>
      </c>
      <c r="BF874" s="30"/>
      <c r="BG874" s="30"/>
      <c r="BH874" s="30"/>
      <c r="BI874" s="30"/>
      <c r="BJ874" s="30"/>
      <c r="BK874" s="27"/>
      <c r="BL874" s="27"/>
    </row>
    <row r="875" spans="1:64">
      <c r="A875" s="68" t="s">
        <v>54</v>
      </c>
      <c r="B875" s="26">
        <v>46232</v>
      </c>
      <c r="C875" s="27"/>
      <c r="D875" s="27">
        <v>42282</v>
      </c>
      <c r="E875" s="27" t="s">
        <v>574</v>
      </c>
      <c r="F875" s="27" t="s">
        <v>48</v>
      </c>
      <c r="G875" s="27" t="s">
        <v>110</v>
      </c>
      <c r="H875" s="30" t="s">
        <v>29</v>
      </c>
      <c r="I875" s="31" t="s">
        <v>2061</v>
      </c>
      <c r="J875" s="30" t="s">
        <v>2062</v>
      </c>
      <c r="K875" s="27">
        <v>1</v>
      </c>
      <c r="L875" s="27">
        <v>10</v>
      </c>
      <c r="M875" s="63">
        <v>17248</v>
      </c>
      <c r="N875" s="31" t="s">
        <v>247</v>
      </c>
      <c r="O875" s="27"/>
      <c r="P875" s="30"/>
      <c r="Q875" s="30" t="s">
        <v>66</v>
      </c>
      <c r="R875" s="26">
        <v>46237</v>
      </c>
      <c r="S875" s="27"/>
      <c r="T875" s="31"/>
      <c r="U875" s="30" t="s">
        <v>419</v>
      </c>
      <c r="V875" s="34" t="s">
        <v>90</v>
      </c>
      <c r="W875" s="27" t="s">
        <v>284</v>
      </c>
      <c r="X875" s="30">
        <v>1</v>
      </c>
      <c r="Y875" s="30">
        <v>1</v>
      </c>
      <c r="Z875" s="30">
        <v>1</v>
      </c>
      <c r="AA875" s="30"/>
      <c r="AB875" s="30"/>
      <c r="AC875" s="30" t="s">
        <v>247</v>
      </c>
      <c r="AD875" s="30" t="s">
        <v>41</v>
      </c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6"/>
      <c r="AS875" s="36"/>
      <c r="AT875" s="36"/>
      <c r="AU875" s="36"/>
      <c r="AV875" s="36"/>
      <c r="AW875" s="36"/>
      <c r="AX875" s="36"/>
      <c r="AY875" s="36"/>
      <c r="AZ875" s="30"/>
      <c r="BA875" s="30"/>
      <c r="BB875" s="30"/>
      <c r="BC875" s="30"/>
      <c r="BD875" s="30" t="s">
        <v>115</v>
      </c>
      <c r="BE875" s="30" t="s">
        <v>321</v>
      </c>
      <c r="BF875" s="30"/>
      <c r="BG875" s="30"/>
      <c r="BH875" s="30"/>
      <c r="BI875" s="30"/>
      <c r="BJ875" s="30"/>
      <c r="BK875" s="27"/>
      <c r="BL875" s="27"/>
    </row>
    <row r="876" spans="1:64">
      <c r="A876" s="68" t="s">
        <v>54</v>
      </c>
      <c r="B876" s="26">
        <v>46232</v>
      </c>
      <c r="C876" s="27"/>
      <c r="D876" s="27">
        <v>138647</v>
      </c>
      <c r="E876" s="27" t="s">
        <v>574</v>
      </c>
      <c r="F876" s="27" t="s">
        <v>48</v>
      </c>
      <c r="G876" s="27" t="s">
        <v>110</v>
      </c>
      <c r="H876" s="30" t="s">
        <v>246</v>
      </c>
      <c r="I876" s="31" t="s">
        <v>2063</v>
      </c>
      <c r="J876" s="30" t="s">
        <v>2064</v>
      </c>
      <c r="K876" s="27">
        <v>5</v>
      </c>
      <c r="L876" s="27">
        <v>61</v>
      </c>
      <c r="M876" s="27" t="s">
        <v>2065</v>
      </c>
      <c r="N876" s="31" t="s">
        <v>115</v>
      </c>
      <c r="O876" s="27"/>
      <c r="P876" s="30"/>
      <c r="Q876" s="30" t="s">
        <v>66</v>
      </c>
      <c r="R876" s="26">
        <v>46237</v>
      </c>
      <c r="S876" s="27"/>
      <c r="T876" s="31"/>
      <c r="U876" s="30" t="s">
        <v>419</v>
      </c>
      <c r="V876" s="34" t="s">
        <v>90</v>
      </c>
      <c r="W876" s="27" t="s">
        <v>284</v>
      </c>
      <c r="X876" s="30">
        <v>1</v>
      </c>
      <c r="Y876" s="30">
        <v>1</v>
      </c>
      <c r="Z876" s="30">
        <v>1</v>
      </c>
      <c r="AA876" s="30"/>
      <c r="AB876" s="30"/>
      <c r="AC876" s="30" t="s">
        <v>115</v>
      </c>
      <c r="AD876" s="30" t="s">
        <v>41</v>
      </c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6"/>
      <c r="AS876" s="36"/>
      <c r="AT876" s="36"/>
      <c r="AU876" s="36"/>
      <c r="AV876" s="36"/>
      <c r="AW876" s="36"/>
      <c r="AX876" s="36"/>
      <c r="AY876" s="36"/>
      <c r="AZ876" s="30"/>
      <c r="BA876" s="30"/>
      <c r="BB876" s="30"/>
      <c r="BC876" s="30"/>
      <c r="BD876" s="30" t="s">
        <v>115</v>
      </c>
      <c r="BE876" s="30" t="s">
        <v>321</v>
      </c>
      <c r="BF876" s="30"/>
      <c r="BG876" s="30"/>
      <c r="BH876" s="30"/>
      <c r="BI876" s="30"/>
      <c r="BJ876" s="30"/>
      <c r="BK876" s="27"/>
      <c r="BL876" s="27"/>
    </row>
    <row r="877" spans="1:64">
      <c r="A877" s="68" t="s">
        <v>54</v>
      </c>
      <c r="B877" s="26">
        <v>46232</v>
      </c>
      <c r="C877" s="27"/>
      <c r="D877" s="27">
        <v>138645</v>
      </c>
      <c r="E877" s="27" t="s">
        <v>574</v>
      </c>
      <c r="F877" s="27" t="s">
        <v>48</v>
      </c>
      <c r="G877" s="27" t="s">
        <v>110</v>
      </c>
      <c r="H877" s="30" t="s">
        <v>1123</v>
      </c>
      <c r="I877" s="31" t="s">
        <v>2063</v>
      </c>
      <c r="J877" s="30" t="s">
        <v>2066</v>
      </c>
      <c r="K877" s="27">
        <v>3</v>
      </c>
      <c r="L877" s="27">
        <v>31</v>
      </c>
      <c r="M877" s="27" t="s">
        <v>2067</v>
      </c>
      <c r="N877" s="31" t="s">
        <v>504</v>
      </c>
      <c r="O877" s="27"/>
      <c r="P877" s="30"/>
      <c r="Q877" s="30" t="s">
        <v>2068</v>
      </c>
      <c r="R877" s="26">
        <v>46240</v>
      </c>
      <c r="S877" s="27"/>
      <c r="T877" s="31"/>
      <c r="U877" s="30" t="s">
        <v>899</v>
      </c>
      <c r="V877" s="34" t="s">
        <v>900</v>
      </c>
      <c r="W877" s="27" t="s">
        <v>284</v>
      </c>
      <c r="X877" s="30">
        <v>3</v>
      </c>
      <c r="Y877" s="30">
        <v>1</v>
      </c>
      <c r="Z877" s="30">
        <v>1</v>
      </c>
      <c r="AA877" s="30"/>
      <c r="AB877" s="30"/>
      <c r="AC877" s="30"/>
      <c r="AD877" s="30"/>
      <c r="AE877" s="30"/>
      <c r="AF877" s="30" t="s">
        <v>1671</v>
      </c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6"/>
      <c r="AS877" s="36"/>
      <c r="AT877" s="36"/>
      <c r="AU877" s="36"/>
      <c r="AV877" s="36"/>
      <c r="AW877" s="36"/>
      <c r="AX877" s="36"/>
      <c r="AY877" s="36"/>
      <c r="AZ877" s="30"/>
      <c r="BA877" s="30"/>
      <c r="BB877" s="30"/>
      <c r="BC877" s="30"/>
      <c r="BD877" s="30" t="s">
        <v>115</v>
      </c>
      <c r="BE877" s="30" t="s">
        <v>321</v>
      </c>
      <c r="BF877" s="30"/>
      <c r="BG877" s="30"/>
      <c r="BH877" s="30"/>
      <c r="BI877" s="30"/>
      <c r="BJ877" s="30"/>
      <c r="BK877" s="27"/>
      <c r="BL877" s="27"/>
    </row>
    <row r="878" spans="1:64">
      <c r="A878" s="68" t="s">
        <v>54</v>
      </c>
      <c r="B878" s="26">
        <v>46233</v>
      </c>
      <c r="C878" s="27"/>
      <c r="D878" s="27">
        <v>733380</v>
      </c>
      <c r="E878" s="27" t="s">
        <v>406</v>
      </c>
      <c r="F878" s="27" t="s">
        <v>59</v>
      </c>
      <c r="G878" s="27" t="s">
        <v>104</v>
      </c>
      <c r="H878" s="30" t="s">
        <v>79</v>
      </c>
      <c r="I878" s="31" t="s">
        <v>2069</v>
      </c>
      <c r="J878" s="30" t="s">
        <v>2070</v>
      </c>
      <c r="K878" s="27">
        <v>1</v>
      </c>
      <c r="L878" s="27">
        <v>2</v>
      </c>
      <c r="M878" s="27">
        <v>20</v>
      </c>
      <c r="N878" s="31" t="s">
        <v>1222</v>
      </c>
      <c r="O878" s="27"/>
      <c r="P878" s="30"/>
      <c r="Q878" s="30" t="s">
        <v>66</v>
      </c>
      <c r="R878" s="26">
        <v>46235</v>
      </c>
      <c r="S878" s="26">
        <v>46237</v>
      </c>
      <c r="T878" s="31"/>
      <c r="U878" s="30" t="s">
        <v>68</v>
      </c>
      <c r="V878" s="34" t="s">
        <v>70</v>
      </c>
      <c r="W878" s="27" t="s">
        <v>410</v>
      </c>
      <c r="X878" s="30">
        <v>1</v>
      </c>
      <c r="Y878" s="30">
        <v>1</v>
      </c>
      <c r="Z878" s="30">
        <v>1</v>
      </c>
      <c r="AA878" s="30">
        <v>1</v>
      </c>
      <c r="AB878" s="30" t="s">
        <v>41</v>
      </c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6"/>
      <c r="AS878" s="36"/>
      <c r="AT878" s="36"/>
      <c r="AU878" s="36"/>
      <c r="AV878" s="36"/>
      <c r="AW878" s="36"/>
      <c r="AX878" s="36"/>
      <c r="AY878" s="36"/>
      <c r="AZ878" s="30"/>
      <c r="BA878" s="30"/>
      <c r="BB878" s="30"/>
      <c r="BC878" s="30"/>
      <c r="BD878" s="30"/>
      <c r="BE878" s="30" t="s">
        <v>69</v>
      </c>
      <c r="BF878" s="30"/>
      <c r="BG878" s="30"/>
      <c r="BH878" s="30"/>
      <c r="BI878" s="30"/>
      <c r="BJ878" s="30"/>
      <c r="BK878" s="27"/>
      <c r="BL878" s="27"/>
    </row>
    <row r="879" spans="1:64">
      <c r="A879" s="68" t="s">
        <v>54</v>
      </c>
      <c r="B879" s="26">
        <v>46233</v>
      </c>
      <c r="C879" s="27"/>
      <c r="D879" s="27">
        <v>46813</v>
      </c>
      <c r="E879" s="27" t="s">
        <v>168</v>
      </c>
      <c r="F879" s="27" t="s">
        <v>59</v>
      </c>
      <c r="G879" s="27" t="s">
        <v>104</v>
      </c>
      <c r="H879" s="30" t="s">
        <v>170</v>
      </c>
      <c r="I879" s="31" t="s">
        <v>2071</v>
      </c>
      <c r="J879" s="30" t="s">
        <v>170</v>
      </c>
      <c r="K879" s="27">
        <v>5</v>
      </c>
      <c r="L879" s="27">
        <v>100</v>
      </c>
      <c r="M879" s="27"/>
      <c r="N879" s="31" t="s">
        <v>154</v>
      </c>
      <c r="O879" s="27"/>
      <c r="P879" s="30"/>
      <c r="Q879" s="30" t="s">
        <v>66</v>
      </c>
      <c r="R879" s="26">
        <v>46234</v>
      </c>
      <c r="S879" s="26">
        <v>46237</v>
      </c>
      <c r="T879" s="31"/>
      <c r="U879" s="30" t="s">
        <v>68</v>
      </c>
      <c r="V879" s="34" t="s">
        <v>70</v>
      </c>
      <c r="W879" s="27" t="s">
        <v>174</v>
      </c>
      <c r="X879" s="30">
        <v>1</v>
      </c>
      <c r="Y879" s="30">
        <v>1</v>
      </c>
      <c r="Z879" s="30">
        <v>1</v>
      </c>
      <c r="AA879" s="30">
        <v>1</v>
      </c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6"/>
      <c r="AS879" s="36"/>
      <c r="AT879" s="36"/>
      <c r="AU879" s="36"/>
      <c r="AV879" s="36"/>
      <c r="AW879" s="36"/>
      <c r="AX879" s="36"/>
      <c r="AY879" s="36"/>
      <c r="AZ879" s="30"/>
      <c r="BA879" s="30"/>
      <c r="BB879" s="30"/>
      <c r="BC879" s="30"/>
      <c r="BD879" s="30"/>
      <c r="BE879" s="30" t="s">
        <v>69</v>
      </c>
      <c r="BF879" s="30" t="s">
        <v>157</v>
      </c>
      <c r="BG879" s="30"/>
      <c r="BH879" s="30"/>
      <c r="BI879" s="30"/>
      <c r="BJ879" s="30"/>
      <c r="BK879" s="27"/>
      <c r="BL879" s="27"/>
    </row>
    <row r="880" spans="1:64">
      <c r="A880" s="68" t="s">
        <v>54</v>
      </c>
      <c r="B880" s="26">
        <v>46233</v>
      </c>
      <c r="C880" s="27"/>
      <c r="D880" s="27">
        <v>46814</v>
      </c>
      <c r="E880" s="27" t="s">
        <v>168</v>
      </c>
      <c r="F880" s="27" t="s">
        <v>59</v>
      </c>
      <c r="G880" s="27" t="s">
        <v>104</v>
      </c>
      <c r="H880" s="30" t="s">
        <v>189</v>
      </c>
      <c r="I880" s="31" t="s">
        <v>814</v>
      </c>
      <c r="J880" s="30" t="s">
        <v>806</v>
      </c>
      <c r="K880" s="27">
        <v>4</v>
      </c>
      <c r="L880" s="27">
        <v>315</v>
      </c>
      <c r="M880" s="27"/>
      <c r="N880" s="31" t="s">
        <v>154</v>
      </c>
      <c r="O880" s="27"/>
      <c r="P880" s="30"/>
      <c r="Q880" s="30" t="s">
        <v>66</v>
      </c>
      <c r="R880" s="26">
        <v>46235</v>
      </c>
      <c r="S880" s="26">
        <v>46237</v>
      </c>
      <c r="T880" s="31"/>
      <c r="U880" s="30" t="s">
        <v>68</v>
      </c>
      <c r="V880" s="34" t="s">
        <v>70</v>
      </c>
      <c r="W880" s="27" t="s">
        <v>174</v>
      </c>
      <c r="X880" s="30">
        <v>1</v>
      </c>
      <c r="Y880" s="30">
        <v>1</v>
      </c>
      <c r="Z880" s="30">
        <v>1</v>
      </c>
      <c r="AA880" s="30">
        <v>1</v>
      </c>
      <c r="AB880" s="30" t="s">
        <v>90</v>
      </c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6"/>
      <c r="AS880" s="36"/>
      <c r="AT880" s="36"/>
      <c r="AU880" s="36"/>
      <c r="AV880" s="36"/>
      <c r="AW880" s="36"/>
      <c r="AX880" s="36"/>
      <c r="AY880" s="36"/>
      <c r="AZ880" s="30"/>
      <c r="BA880" s="30"/>
      <c r="BB880" s="30"/>
      <c r="BC880" s="30"/>
      <c r="BD880" s="30"/>
      <c r="BE880" s="30" t="s">
        <v>69</v>
      </c>
      <c r="BF880" s="30"/>
      <c r="BG880" s="30"/>
      <c r="BH880" s="30"/>
      <c r="BI880" s="30"/>
      <c r="BJ880" s="30"/>
      <c r="BK880" s="27"/>
      <c r="BL880" s="27"/>
    </row>
    <row r="881" spans="1:64">
      <c r="A881" s="68" t="s">
        <v>54</v>
      </c>
      <c r="B881" s="26">
        <v>46233</v>
      </c>
      <c r="C881" s="27"/>
      <c r="D881" s="27">
        <v>46811</v>
      </c>
      <c r="E881" s="27" t="s">
        <v>168</v>
      </c>
      <c r="F881" s="27" t="s">
        <v>59</v>
      </c>
      <c r="G881" s="27" t="s">
        <v>104</v>
      </c>
      <c r="H881" s="30" t="s">
        <v>151</v>
      </c>
      <c r="I881" s="31" t="s">
        <v>183</v>
      </c>
      <c r="J881" s="30" t="s">
        <v>151</v>
      </c>
      <c r="K881" s="27">
        <v>7</v>
      </c>
      <c r="L881" s="27">
        <v>68</v>
      </c>
      <c r="M881" s="27"/>
      <c r="N881" s="31" t="s">
        <v>602</v>
      </c>
      <c r="O881" s="27"/>
      <c r="P881" s="30"/>
      <c r="Q881" s="30" t="s">
        <v>2072</v>
      </c>
      <c r="R881" s="26">
        <v>46234</v>
      </c>
      <c r="S881" s="26">
        <v>46235</v>
      </c>
      <c r="T881" s="31"/>
      <c r="U881" s="30" t="s">
        <v>68</v>
      </c>
      <c r="V881" s="34" t="s">
        <v>70</v>
      </c>
      <c r="W881" s="27" t="s">
        <v>174</v>
      </c>
      <c r="X881" s="30">
        <v>1</v>
      </c>
      <c r="Y881" s="30">
        <v>1</v>
      </c>
      <c r="Z881" s="30">
        <v>1</v>
      </c>
      <c r="AA881" s="30">
        <v>1</v>
      </c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6"/>
      <c r="AS881" s="36"/>
      <c r="AT881" s="36"/>
      <c r="AU881" s="36"/>
      <c r="AV881" s="36"/>
      <c r="AW881" s="36"/>
      <c r="AX881" s="36"/>
      <c r="AY881" s="36"/>
      <c r="AZ881" s="30"/>
      <c r="BA881" s="30"/>
      <c r="BB881" s="30"/>
      <c r="BC881" s="30"/>
      <c r="BD881" s="30"/>
      <c r="BE881" s="30" t="s">
        <v>69</v>
      </c>
      <c r="BF881" s="30" t="s">
        <v>1785</v>
      </c>
      <c r="BG881" s="30"/>
      <c r="BH881" s="30"/>
      <c r="BI881" s="30"/>
      <c r="BJ881" s="30"/>
      <c r="BK881" s="27"/>
      <c r="BL881" s="27"/>
    </row>
    <row r="882" spans="1:64">
      <c r="A882" s="68" t="s">
        <v>54</v>
      </c>
      <c r="B882" s="26">
        <v>46233</v>
      </c>
      <c r="C882" s="27"/>
      <c r="D882" s="27">
        <v>50013693</v>
      </c>
      <c r="E882" s="27" t="s">
        <v>333</v>
      </c>
      <c r="F882" s="27" t="s">
        <v>334</v>
      </c>
      <c r="G882" s="27" t="s">
        <v>28</v>
      </c>
      <c r="H882" s="30" t="s">
        <v>412</v>
      </c>
      <c r="I882" s="31" t="s">
        <v>2073</v>
      </c>
      <c r="J882" s="30" t="s">
        <v>732</v>
      </c>
      <c r="K882" s="27">
        <v>1</v>
      </c>
      <c r="L882" s="27">
        <v>6</v>
      </c>
      <c r="M882" s="27"/>
      <c r="N882" s="31" t="s">
        <v>595</v>
      </c>
      <c r="O882" s="27"/>
      <c r="P882" s="30"/>
      <c r="Q882" s="30" t="s">
        <v>2072</v>
      </c>
      <c r="R882" s="26">
        <v>46234</v>
      </c>
      <c r="S882" s="26">
        <v>46237</v>
      </c>
      <c r="T882" s="31"/>
      <c r="U882" s="30" t="s">
        <v>68</v>
      </c>
      <c r="V882" s="34" t="s">
        <v>70</v>
      </c>
      <c r="W882" s="27" t="s">
        <v>336</v>
      </c>
      <c r="X882" s="30">
        <v>1</v>
      </c>
      <c r="Y882" s="30">
        <v>1</v>
      </c>
      <c r="Z882" s="30">
        <v>1</v>
      </c>
      <c r="AA882" s="30">
        <v>1</v>
      </c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6"/>
      <c r="AS882" s="36"/>
      <c r="AT882" s="36"/>
      <c r="AU882" s="36"/>
      <c r="AV882" s="36"/>
      <c r="AW882" s="36"/>
      <c r="AX882" s="36"/>
      <c r="AY882" s="36"/>
      <c r="AZ882" s="30"/>
      <c r="BA882" s="30"/>
      <c r="BB882" s="30"/>
      <c r="BC882" s="30"/>
      <c r="BD882" s="30"/>
      <c r="BE882" s="30" t="s">
        <v>69</v>
      </c>
      <c r="BF882" s="30" t="s">
        <v>157</v>
      </c>
      <c r="BG882" s="30"/>
      <c r="BH882" s="30"/>
      <c r="BI882" s="30"/>
      <c r="BJ882" s="30"/>
      <c r="BK882" s="27"/>
      <c r="BL882" s="27"/>
    </row>
    <row r="883" spans="1:64">
      <c r="A883" s="68" t="s">
        <v>54</v>
      </c>
      <c r="B883" s="26">
        <v>46233</v>
      </c>
      <c r="C883" s="27"/>
      <c r="D883" s="27">
        <v>50013681</v>
      </c>
      <c r="E883" s="27" t="s">
        <v>333</v>
      </c>
      <c r="F883" s="27" t="s">
        <v>334</v>
      </c>
      <c r="G883" s="27" t="s">
        <v>28</v>
      </c>
      <c r="H883" s="30" t="s">
        <v>57</v>
      </c>
      <c r="I883" s="31" t="s">
        <v>2074</v>
      </c>
      <c r="J883" s="30" t="s">
        <v>2075</v>
      </c>
      <c r="K883" s="27">
        <v>1</v>
      </c>
      <c r="L883" s="27">
        <v>6</v>
      </c>
      <c r="M883" s="27"/>
      <c r="N883" s="31" t="s">
        <v>1222</v>
      </c>
      <c r="O883" s="27"/>
      <c r="P883" s="30"/>
      <c r="Q883" s="30" t="s">
        <v>66</v>
      </c>
      <c r="R883" s="26">
        <v>46234</v>
      </c>
      <c r="S883" s="26">
        <v>46237</v>
      </c>
      <c r="T883" s="31"/>
      <c r="U883" s="30" t="s">
        <v>68</v>
      </c>
      <c r="V883" s="34" t="s">
        <v>70</v>
      </c>
      <c r="W883" s="27" t="s">
        <v>336</v>
      </c>
      <c r="X883" s="30">
        <v>1</v>
      </c>
      <c r="Y883" s="30">
        <v>1</v>
      </c>
      <c r="Z883" s="30">
        <v>1</v>
      </c>
      <c r="AA883" s="30">
        <v>1</v>
      </c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6"/>
      <c r="AS883" s="36"/>
      <c r="AT883" s="36"/>
      <c r="AU883" s="36"/>
      <c r="AV883" s="36"/>
      <c r="AW883" s="36"/>
      <c r="AX883" s="36"/>
      <c r="AY883" s="36"/>
      <c r="AZ883" s="30"/>
      <c r="BA883" s="30"/>
      <c r="BB883" s="30"/>
      <c r="BC883" s="30"/>
      <c r="BD883" s="30"/>
      <c r="BE883" s="30" t="s">
        <v>69</v>
      </c>
      <c r="BF883" s="30" t="s">
        <v>583</v>
      </c>
      <c r="BG883" s="30"/>
      <c r="BH883" s="30"/>
      <c r="BI883" s="30"/>
      <c r="BJ883" s="30"/>
      <c r="BK883" s="27"/>
      <c r="BL883" s="27"/>
    </row>
    <row r="884" spans="1:64">
      <c r="A884" s="68" t="s">
        <v>187</v>
      </c>
      <c r="B884" s="26">
        <v>46233</v>
      </c>
      <c r="C884" s="27">
        <v>29710</v>
      </c>
      <c r="D884" s="27"/>
      <c r="E884" s="27" t="s">
        <v>269</v>
      </c>
      <c r="F884" s="27" t="s">
        <v>59</v>
      </c>
      <c r="G884" s="27" t="s">
        <v>60</v>
      </c>
      <c r="H884" s="39" t="s">
        <v>687</v>
      </c>
      <c r="I884" s="39" t="s">
        <v>591</v>
      </c>
      <c r="J884" s="39" t="s">
        <v>301</v>
      </c>
      <c r="K884" s="27">
        <v>2</v>
      </c>
      <c r="L884" s="48">
        <v>46387</v>
      </c>
      <c r="M884" s="27"/>
      <c r="N884" s="31"/>
      <c r="O884" s="27" t="s">
        <v>302</v>
      </c>
      <c r="P884" s="30"/>
      <c r="Q884" s="30"/>
      <c r="R884" s="27"/>
      <c r="S884" s="27"/>
      <c r="T884" s="59" t="s">
        <v>2076</v>
      </c>
      <c r="U884" s="30" t="s">
        <v>407</v>
      </c>
      <c r="V884" s="34" t="s">
        <v>408</v>
      </c>
      <c r="W884" s="27" t="s">
        <v>273</v>
      </c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6"/>
      <c r="AS884" s="36"/>
      <c r="AT884" s="36"/>
      <c r="AU884" s="36"/>
      <c r="AV884" s="36"/>
      <c r="AW884" s="36"/>
      <c r="AX884" s="36"/>
      <c r="AY884" s="36"/>
      <c r="AZ884" s="30"/>
      <c r="BA884" s="30"/>
      <c r="BB884" s="30"/>
      <c r="BC884" s="30"/>
      <c r="BD884" s="30"/>
      <c r="BE884" s="30" t="s">
        <v>69</v>
      </c>
      <c r="BF884" s="30"/>
      <c r="BG884" s="30"/>
      <c r="BH884" s="30"/>
      <c r="BI884" s="30"/>
      <c r="BJ884" s="30"/>
      <c r="BK884" s="27"/>
      <c r="BL884" s="27"/>
    </row>
    <row r="885" spans="1:64">
      <c r="A885" s="68" t="s">
        <v>187</v>
      </c>
      <c r="B885" s="26">
        <v>46233</v>
      </c>
      <c r="C885" s="27">
        <v>29711</v>
      </c>
      <c r="D885" s="27"/>
      <c r="E885" s="27" t="s">
        <v>269</v>
      </c>
      <c r="F885" s="27" t="s">
        <v>59</v>
      </c>
      <c r="G885" s="27" t="s">
        <v>60</v>
      </c>
      <c r="H885" s="29" t="s">
        <v>661</v>
      </c>
      <c r="I885" s="29" t="s">
        <v>597</v>
      </c>
      <c r="J885" s="29" t="s">
        <v>271</v>
      </c>
      <c r="K885" s="27">
        <v>4</v>
      </c>
      <c r="L885" s="27">
        <v>73</v>
      </c>
      <c r="M885" s="27"/>
      <c r="N885" s="31" t="s">
        <v>325</v>
      </c>
      <c r="O885" s="27"/>
      <c r="P885" s="30"/>
      <c r="Q885" s="30"/>
      <c r="R885" s="27"/>
      <c r="S885" s="27"/>
      <c r="T885" s="31"/>
      <c r="U885" s="30" t="s">
        <v>626</v>
      </c>
      <c r="V885" s="34" t="s">
        <v>627</v>
      </c>
      <c r="W885" s="27" t="s">
        <v>273</v>
      </c>
      <c r="X885" s="30"/>
      <c r="Y885" s="30"/>
      <c r="Z885" s="30"/>
      <c r="AA885" s="30"/>
      <c r="AB885" s="30"/>
      <c r="AC885" s="30" t="s">
        <v>118</v>
      </c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6"/>
      <c r="AS885" s="36"/>
      <c r="AT885" s="36"/>
      <c r="AU885" s="36"/>
      <c r="AV885" s="36"/>
      <c r="AW885" s="36"/>
      <c r="AX885" s="36"/>
      <c r="AY885" s="36"/>
      <c r="AZ885" s="30"/>
      <c r="BA885" s="30"/>
      <c r="BB885" s="30"/>
      <c r="BC885" s="30"/>
      <c r="BD885" s="30"/>
      <c r="BE885" s="30" t="s">
        <v>69</v>
      </c>
      <c r="BF885" s="30" t="s">
        <v>866</v>
      </c>
      <c r="BG885" s="30"/>
      <c r="BH885" s="30"/>
      <c r="BI885" s="30"/>
      <c r="BJ885" s="30"/>
      <c r="BK885" s="27"/>
      <c r="BL885" s="27"/>
    </row>
    <row r="886" spans="1:64">
      <c r="A886" s="68" t="s">
        <v>187</v>
      </c>
      <c r="B886" s="26">
        <v>46233</v>
      </c>
      <c r="C886" s="27">
        <v>5341</v>
      </c>
      <c r="D886" s="27"/>
      <c r="E886" s="27" t="s">
        <v>2077</v>
      </c>
      <c r="F886" s="27" t="s">
        <v>185</v>
      </c>
      <c r="G886" s="27" t="s">
        <v>60</v>
      </c>
      <c r="H886" s="30" t="s">
        <v>403</v>
      </c>
      <c r="I886" s="31" t="s">
        <v>2078</v>
      </c>
      <c r="J886" s="30" t="s">
        <v>2079</v>
      </c>
      <c r="K886" s="27">
        <v>30</v>
      </c>
      <c r="L886" s="27">
        <v>360</v>
      </c>
      <c r="M886" s="27"/>
      <c r="N886" s="31" t="s">
        <v>846</v>
      </c>
      <c r="O886" s="27"/>
      <c r="P886" s="30"/>
      <c r="Q886" s="30" t="s">
        <v>66</v>
      </c>
      <c r="R886" s="26">
        <v>46239</v>
      </c>
      <c r="S886" s="27"/>
      <c r="T886" s="31"/>
      <c r="U886" s="30" t="s">
        <v>899</v>
      </c>
      <c r="V886" s="34" t="s">
        <v>900</v>
      </c>
      <c r="W886" s="27" t="s">
        <v>354</v>
      </c>
      <c r="X886" s="30">
        <v>1</v>
      </c>
      <c r="Y886" s="30">
        <v>1</v>
      </c>
      <c r="Z886" s="30">
        <v>1</v>
      </c>
      <c r="AA886" s="30"/>
      <c r="AB886" s="30"/>
      <c r="AC886" s="30" t="s">
        <v>118</v>
      </c>
      <c r="AD886" s="30"/>
      <c r="AE886" s="30"/>
      <c r="AF886" s="30" t="s">
        <v>1283</v>
      </c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6"/>
      <c r="AS886" s="36"/>
      <c r="AT886" s="36"/>
      <c r="AU886" s="36"/>
      <c r="AV886" s="36"/>
      <c r="AW886" s="36"/>
      <c r="AX886" s="36"/>
      <c r="AY886" s="36"/>
      <c r="AZ886" s="30"/>
      <c r="BA886" s="30"/>
      <c r="BB886" s="30"/>
      <c r="BC886" s="30"/>
      <c r="BD886" s="30"/>
      <c r="BE886" s="30" t="s">
        <v>69</v>
      </c>
      <c r="BF886" s="30" t="s">
        <v>866</v>
      </c>
      <c r="BG886" s="30"/>
      <c r="BH886" s="30"/>
      <c r="BI886" s="30"/>
      <c r="BJ886" s="30"/>
      <c r="BK886" s="27"/>
      <c r="BL886" s="27"/>
    </row>
    <row r="887" spans="1:64">
      <c r="A887" s="68" t="s">
        <v>54</v>
      </c>
      <c r="B887" s="26">
        <v>46233</v>
      </c>
      <c r="C887" s="27">
        <v>29887</v>
      </c>
      <c r="D887" s="27"/>
      <c r="E887" s="27" t="s">
        <v>1453</v>
      </c>
      <c r="F887" s="27" t="s">
        <v>59</v>
      </c>
      <c r="G887" s="27" t="s">
        <v>28</v>
      </c>
      <c r="H887" s="30" t="s">
        <v>412</v>
      </c>
      <c r="I887" s="31" t="s">
        <v>2080</v>
      </c>
      <c r="J887" s="30" t="s">
        <v>2081</v>
      </c>
      <c r="K887" s="27">
        <v>18</v>
      </c>
      <c r="L887" s="27">
        <v>302</v>
      </c>
      <c r="M887" s="27"/>
      <c r="N887" s="31" t="s">
        <v>154</v>
      </c>
      <c r="O887" s="27"/>
      <c r="P887" s="30"/>
      <c r="Q887" s="30" t="s">
        <v>66</v>
      </c>
      <c r="R887" s="26">
        <v>46234</v>
      </c>
      <c r="S887" s="26">
        <v>46237</v>
      </c>
      <c r="T887" s="31"/>
      <c r="U887" s="30" t="s">
        <v>68</v>
      </c>
      <c r="V887" s="34" t="s">
        <v>70</v>
      </c>
      <c r="W887" s="27" t="s">
        <v>85</v>
      </c>
      <c r="X887" s="30">
        <v>1</v>
      </c>
      <c r="Y887" s="30">
        <v>1</v>
      </c>
      <c r="Z887" s="30">
        <v>1</v>
      </c>
      <c r="AA887" s="30">
        <v>1</v>
      </c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6"/>
      <c r="AS887" s="36"/>
      <c r="AT887" s="36"/>
      <c r="AU887" s="36"/>
      <c r="AV887" s="36"/>
      <c r="AW887" s="36"/>
      <c r="AX887" s="36"/>
      <c r="AY887" s="36"/>
      <c r="AZ887" s="30"/>
      <c r="BA887" s="30"/>
      <c r="BB887" s="30"/>
      <c r="BC887" s="30"/>
      <c r="BD887" s="30"/>
      <c r="BE887" s="30" t="s">
        <v>69</v>
      </c>
      <c r="BF887" s="30" t="s">
        <v>2083</v>
      </c>
      <c r="BG887" s="30"/>
      <c r="BH887" s="30"/>
      <c r="BI887" s="30"/>
      <c r="BJ887" s="30"/>
      <c r="BK887" s="27"/>
      <c r="BL887" s="27"/>
    </row>
    <row r="888" spans="1:64">
      <c r="A888" s="68" t="s">
        <v>54</v>
      </c>
      <c r="B888" s="26">
        <v>46233</v>
      </c>
      <c r="C888" s="27">
        <v>30651</v>
      </c>
      <c r="D888" s="27"/>
      <c r="E888" s="27" t="s">
        <v>203</v>
      </c>
      <c r="F888" s="27" t="s">
        <v>59</v>
      </c>
      <c r="G888" s="27" t="s">
        <v>104</v>
      </c>
      <c r="H888" s="30" t="s">
        <v>60</v>
      </c>
      <c r="I888" s="31" t="s">
        <v>2084</v>
      </c>
      <c r="J888" s="30" t="s">
        <v>60</v>
      </c>
      <c r="K888" s="27">
        <v>1</v>
      </c>
      <c r="L888" s="27" t="s">
        <v>205</v>
      </c>
      <c r="M888" s="27"/>
      <c r="N888" s="31" t="s">
        <v>297</v>
      </c>
      <c r="O888" s="27"/>
      <c r="P888" s="30"/>
      <c r="Q888" s="30" t="s">
        <v>66</v>
      </c>
      <c r="R888" s="26">
        <v>46234</v>
      </c>
      <c r="S888" s="26">
        <v>46235</v>
      </c>
      <c r="T888" s="31"/>
      <c r="U888" s="30" t="s">
        <v>68</v>
      </c>
      <c r="V888" s="34" t="s">
        <v>70</v>
      </c>
      <c r="W888" s="27" t="s">
        <v>208</v>
      </c>
      <c r="X888" s="30"/>
      <c r="Y888" s="30"/>
      <c r="Z888" s="30"/>
      <c r="AA888" s="30">
        <v>1</v>
      </c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6"/>
      <c r="AS888" s="36"/>
      <c r="AT888" s="36"/>
      <c r="AU888" s="36"/>
      <c r="AV888" s="36"/>
      <c r="AW888" s="36"/>
      <c r="AX888" s="36"/>
      <c r="AY888" s="36"/>
      <c r="AZ888" s="30"/>
      <c r="BA888" s="30"/>
      <c r="BB888" s="30"/>
      <c r="BC888" s="30"/>
      <c r="BD888" s="30"/>
      <c r="BE888" s="30" t="s">
        <v>69</v>
      </c>
      <c r="BF888" s="30"/>
      <c r="BG888" s="30"/>
      <c r="BH888" s="30"/>
      <c r="BI888" s="30"/>
      <c r="BJ888" s="30"/>
      <c r="BK888" s="27"/>
      <c r="BL888" s="27"/>
    </row>
    <row r="889" spans="1:64">
      <c r="A889" s="68" t="s">
        <v>54</v>
      </c>
      <c r="B889" s="26">
        <v>46233</v>
      </c>
      <c r="C889" s="27">
        <v>30652</v>
      </c>
      <c r="D889" s="27"/>
      <c r="E889" s="27" t="s">
        <v>203</v>
      </c>
      <c r="F889" s="27" t="s">
        <v>59</v>
      </c>
      <c r="G889" s="27" t="s">
        <v>104</v>
      </c>
      <c r="H889" s="30" t="s">
        <v>106</v>
      </c>
      <c r="I889" s="31" t="s">
        <v>771</v>
      </c>
      <c r="J889" s="30" t="s">
        <v>106</v>
      </c>
      <c r="K889" s="27">
        <v>1</v>
      </c>
      <c r="L889" s="27" t="s">
        <v>214</v>
      </c>
      <c r="M889" s="27"/>
      <c r="N889" s="31" t="s">
        <v>1222</v>
      </c>
      <c r="O889" s="27"/>
      <c r="P889" s="30"/>
      <c r="Q889" s="30" t="s">
        <v>66</v>
      </c>
      <c r="R889" s="62">
        <v>46235</v>
      </c>
      <c r="S889" s="26">
        <v>46237</v>
      </c>
      <c r="T889" s="31"/>
      <c r="U889" s="30" t="s">
        <v>68</v>
      </c>
      <c r="V889" s="34" t="s">
        <v>70</v>
      </c>
      <c r="W889" s="27" t="s">
        <v>208</v>
      </c>
      <c r="X889" s="30">
        <v>1</v>
      </c>
      <c r="Y889" s="30">
        <v>1</v>
      </c>
      <c r="Z889" s="30">
        <v>1</v>
      </c>
      <c r="AA889" s="30">
        <v>1</v>
      </c>
      <c r="AB889" s="30" t="s">
        <v>41</v>
      </c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6"/>
      <c r="AS889" s="36"/>
      <c r="AT889" s="36"/>
      <c r="AU889" s="36"/>
      <c r="AV889" s="36"/>
      <c r="AW889" s="36"/>
      <c r="AX889" s="36"/>
      <c r="AY889" s="36"/>
      <c r="AZ889" s="30"/>
      <c r="BA889" s="30"/>
      <c r="BB889" s="30"/>
      <c r="BC889" s="30"/>
      <c r="BD889" s="30"/>
      <c r="BE889" s="30" t="s">
        <v>69</v>
      </c>
      <c r="BF889" s="30"/>
      <c r="BG889" s="30"/>
      <c r="BH889" s="30"/>
      <c r="BI889" s="30"/>
      <c r="BJ889" s="30"/>
      <c r="BK889" s="27"/>
      <c r="BL889" s="27"/>
    </row>
    <row r="890" spans="1:64">
      <c r="A890" s="68" t="s">
        <v>54</v>
      </c>
      <c r="B890" s="26">
        <v>46233</v>
      </c>
      <c r="C890" s="27">
        <v>27086</v>
      </c>
      <c r="D890" s="27"/>
      <c r="E890" s="27" t="s">
        <v>2085</v>
      </c>
      <c r="F890" s="27" t="s">
        <v>48</v>
      </c>
      <c r="G890" s="27" t="s">
        <v>110</v>
      </c>
      <c r="H890" s="30" t="s">
        <v>28</v>
      </c>
      <c r="I890" s="31" t="s">
        <v>2086</v>
      </c>
      <c r="J890" s="30" t="s">
        <v>2087</v>
      </c>
      <c r="K890" s="27">
        <v>2</v>
      </c>
      <c r="L890" s="27">
        <v>200</v>
      </c>
      <c r="M890" s="27" t="s">
        <v>2088</v>
      </c>
      <c r="N890" s="31" t="s">
        <v>1537</v>
      </c>
      <c r="O890" s="27"/>
      <c r="P890" s="30"/>
      <c r="Q890" s="30" t="s">
        <v>66</v>
      </c>
      <c r="R890" s="26">
        <v>46238</v>
      </c>
      <c r="S890" s="26">
        <v>46238</v>
      </c>
      <c r="T890" s="31"/>
      <c r="U890" s="30" t="s">
        <v>68</v>
      </c>
      <c r="V890" s="34" t="s">
        <v>70</v>
      </c>
      <c r="W890" s="27" t="s">
        <v>2089</v>
      </c>
      <c r="X890" s="30">
        <v>1</v>
      </c>
      <c r="Y890" s="30">
        <v>1</v>
      </c>
      <c r="Z890" s="30">
        <v>1</v>
      </c>
      <c r="AA890" s="30">
        <v>1</v>
      </c>
      <c r="AB890" s="30"/>
      <c r="AC890" s="30" t="s">
        <v>69</v>
      </c>
      <c r="AD890" s="30"/>
      <c r="AE890" s="30" t="s">
        <v>2090</v>
      </c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6"/>
      <c r="AS890" s="36"/>
      <c r="AT890" s="36"/>
      <c r="AU890" s="36"/>
      <c r="AV890" s="36"/>
      <c r="AW890" s="36"/>
      <c r="AX890" s="36"/>
      <c r="AY890" s="36"/>
      <c r="AZ890" s="30"/>
      <c r="BA890" s="30"/>
      <c r="BB890" s="30"/>
      <c r="BC890" s="30"/>
      <c r="BD890" s="30"/>
      <c r="BE890" s="30"/>
      <c r="BF890" s="30" t="s">
        <v>2091</v>
      </c>
      <c r="BG890" s="30"/>
      <c r="BH890" s="30"/>
      <c r="BI890" s="30"/>
      <c r="BJ890" s="30"/>
      <c r="BK890" s="27"/>
      <c r="BL890" s="27"/>
    </row>
    <row r="891" spans="1:64">
      <c r="A891" s="68" t="s">
        <v>54</v>
      </c>
      <c r="B891" s="26">
        <v>46233</v>
      </c>
      <c r="C891" s="27">
        <v>27085</v>
      </c>
      <c r="D891" s="27"/>
      <c r="E891" s="27" t="s">
        <v>2085</v>
      </c>
      <c r="F891" s="27" t="s">
        <v>48</v>
      </c>
      <c r="G891" s="27" t="s">
        <v>110</v>
      </c>
      <c r="H891" s="30" t="s">
        <v>60</v>
      </c>
      <c r="I891" s="31" t="s">
        <v>2092</v>
      </c>
      <c r="J891" s="30" t="s">
        <v>2093</v>
      </c>
      <c r="K891" s="27">
        <v>2</v>
      </c>
      <c r="L891" s="27">
        <v>52</v>
      </c>
      <c r="M891" s="27" t="s">
        <v>2094</v>
      </c>
      <c r="N891" s="31" t="s">
        <v>81</v>
      </c>
      <c r="O891" s="27"/>
      <c r="P891" s="30"/>
      <c r="Q891" s="30" t="s">
        <v>66</v>
      </c>
      <c r="R891" s="26">
        <v>46237</v>
      </c>
      <c r="S891" s="26">
        <v>46238</v>
      </c>
      <c r="T891" s="31"/>
      <c r="U891" s="30" t="s">
        <v>68</v>
      </c>
      <c r="V891" s="34" t="s">
        <v>70</v>
      </c>
      <c r="W891" s="27" t="s">
        <v>2089</v>
      </c>
      <c r="X891" s="30">
        <v>1</v>
      </c>
      <c r="Y891" s="30">
        <v>1</v>
      </c>
      <c r="Z891" s="30">
        <v>1</v>
      </c>
      <c r="AA891" s="30">
        <v>1</v>
      </c>
      <c r="AB891" s="30"/>
      <c r="AC891" s="30" t="s">
        <v>69</v>
      </c>
      <c r="AD891" s="30" t="s">
        <v>88</v>
      </c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6"/>
      <c r="AS891" s="36"/>
      <c r="AT891" s="36"/>
      <c r="AU891" s="36"/>
      <c r="AV891" s="36"/>
      <c r="AW891" s="36"/>
      <c r="AX891" s="36"/>
      <c r="AY891" s="36"/>
      <c r="AZ891" s="30"/>
      <c r="BA891" s="30"/>
      <c r="BB891" s="30"/>
      <c r="BC891" s="30"/>
      <c r="BD891" s="30"/>
      <c r="BE891" s="30"/>
      <c r="BF891" s="30" t="s">
        <v>2091</v>
      </c>
      <c r="BG891" s="30"/>
      <c r="BH891" s="30"/>
      <c r="BI891" s="30"/>
      <c r="BJ891" s="30"/>
      <c r="BK891" s="27"/>
      <c r="BL891" s="27"/>
    </row>
    <row r="892" spans="1:64">
      <c r="A892" s="68"/>
      <c r="B892" s="26">
        <v>46233</v>
      </c>
      <c r="C892" s="27">
        <v>29714</v>
      </c>
      <c r="D892" s="27" t="s">
        <v>2095</v>
      </c>
      <c r="E892" s="27" t="s">
        <v>1453</v>
      </c>
      <c r="F892" s="27" t="s">
        <v>59</v>
      </c>
      <c r="G892" s="27" t="s">
        <v>833</v>
      </c>
      <c r="H892" s="30" t="s">
        <v>28</v>
      </c>
      <c r="I892" s="31" t="s">
        <v>842</v>
      </c>
      <c r="J892" s="30" t="s">
        <v>28</v>
      </c>
      <c r="K892" s="27">
        <v>1</v>
      </c>
      <c r="L892" s="27">
        <v>220</v>
      </c>
      <c r="M892" s="27"/>
      <c r="N892" s="31" t="s">
        <v>95</v>
      </c>
      <c r="O892" s="27"/>
      <c r="P892" s="30"/>
      <c r="Q892" s="30"/>
      <c r="R892" s="26"/>
      <c r="S892" s="26"/>
      <c r="T892" s="31"/>
      <c r="U892" s="30" t="s">
        <v>68</v>
      </c>
      <c r="V892" s="34" t="s">
        <v>70</v>
      </c>
      <c r="W892" s="27" t="s">
        <v>85</v>
      </c>
      <c r="X892" s="30">
        <v>1</v>
      </c>
      <c r="Y892" s="30">
        <v>1</v>
      </c>
      <c r="Z892" s="30">
        <v>1</v>
      </c>
      <c r="AA892" s="30">
        <v>1</v>
      </c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6"/>
      <c r="AS892" s="36"/>
      <c r="AT892" s="36"/>
      <c r="AU892" s="36"/>
      <c r="AV892" s="36"/>
      <c r="AW892" s="36"/>
      <c r="AX892" s="36"/>
      <c r="AY892" s="36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27"/>
      <c r="BL892" s="27"/>
    </row>
    <row r="893" spans="1:64">
      <c r="A893" s="68"/>
      <c r="B893" s="26">
        <v>46233</v>
      </c>
      <c r="C893" s="27">
        <v>29715</v>
      </c>
      <c r="D893" s="27" t="s">
        <v>2095</v>
      </c>
      <c r="E893" s="27" t="s">
        <v>1453</v>
      </c>
      <c r="F893" s="27" t="s">
        <v>59</v>
      </c>
      <c r="G893" s="27" t="s">
        <v>395</v>
      </c>
      <c r="H893" s="30" t="s">
        <v>28</v>
      </c>
      <c r="I893" s="31" t="s">
        <v>842</v>
      </c>
      <c r="J893" s="30" t="s">
        <v>28</v>
      </c>
      <c r="K893" s="27">
        <v>1</v>
      </c>
      <c r="L893" s="27">
        <v>414</v>
      </c>
      <c r="M893" s="27"/>
      <c r="N893" s="31" t="s">
        <v>95</v>
      </c>
      <c r="O893" s="27"/>
      <c r="P893" s="30"/>
      <c r="Q893" s="30"/>
      <c r="R893" s="26"/>
      <c r="S893" s="26"/>
      <c r="T893" s="31"/>
      <c r="U893" s="30" t="s">
        <v>68</v>
      </c>
      <c r="V893" s="34" t="s">
        <v>70</v>
      </c>
      <c r="W893" s="27" t="s">
        <v>85</v>
      </c>
      <c r="X893" s="30">
        <v>1</v>
      </c>
      <c r="Y893" s="30">
        <v>1</v>
      </c>
      <c r="Z893" s="30">
        <v>1</v>
      </c>
      <c r="AA893" s="30">
        <v>1</v>
      </c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6"/>
      <c r="AS893" s="36"/>
      <c r="AT893" s="36"/>
      <c r="AU893" s="36"/>
      <c r="AV893" s="36"/>
      <c r="AW893" s="36"/>
      <c r="AX893" s="36"/>
      <c r="AY893" s="36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27"/>
      <c r="BL893" s="27"/>
    </row>
    <row r="894" spans="1:64">
      <c r="A894" s="68" t="s">
        <v>54</v>
      </c>
      <c r="B894" s="26">
        <v>46234</v>
      </c>
      <c r="C894" s="27"/>
      <c r="D894" s="27">
        <v>50013732</v>
      </c>
      <c r="E894" s="27" t="s">
        <v>333</v>
      </c>
      <c r="F894" s="27" t="s">
        <v>334</v>
      </c>
      <c r="G894" s="27" t="s">
        <v>28</v>
      </c>
      <c r="H894" s="30" t="s">
        <v>57</v>
      </c>
      <c r="I894" s="31" t="s">
        <v>2096</v>
      </c>
      <c r="J894" s="30" t="s">
        <v>2075</v>
      </c>
      <c r="K894" s="27">
        <v>1</v>
      </c>
      <c r="L894" s="27">
        <v>11</v>
      </c>
      <c r="M894" s="27"/>
      <c r="N894" s="31" t="s">
        <v>507</v>
      </c>
      <c r="O894" s="27"/>
      <c r="P894" s="30"/>
      <c r="Q894" s="30" t="s">
        <v>66</v>
      </c>
      <c r="R894" s="26">
        <v>46235</v>
      </c>
      <c r="S894" s="26">
        <v>46237</v>
      </c>
      <c r="T894" s="31"/>
      <c r="U894" s="30" t="s">
        <v>68</v>
      </c>
      <c r="V894" s="34" t="s">
        <v>70</v>
      </c>
      <c r="W894" s="27" t="s">
        <v>336</v>
      </c>
      <c r="X894" s="30">
        <v>1</v>
      </c>
      <c r="Y894" s="30">
        <v>1</v>
      </c>
      <c r="Z894" s="30">
        <v>1</v>
      </c>
      <c r="AA894" s="30">
        <v>1</v>
      </c>
      <c r="AB894" s="30" t="s">
        <v>41</v>
      </c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6"/>
      <c r="AS894" s="36"/>
      <c r="AT894" s="36"/>
      <c r="AU894" s="36"/>
      <c r="AV894" s="36"/>
      <c r="AW894" s="36"/>
      <c r="AX894" s="36"/>
      <c r="AY894" s="36"/>
      <c r="AZ894" s="30"/>
      <c r="BA894" s="30"/>
      <c r="BB894" s="30"/>
      <c r="BC894" s="30"/>
      <c r="BD894" s="30"/>
      <c r="BE894" s="30"/>
      <c r="BF894" s="30" t="s">
        <v>507</v>
      </c>
      <c r="BG894" s="30" t="s">
        <v>41</v>
      </c>
      <c r="BH894" s="30"/>
      <c r="BI894" s="30"/>
      <c r="BJ894" s="30"/>
      <c r="BK894" s="27"/>
      <c r="BL894" s="27"/>
    </row>
    <row r="895" spans="1:64">
      <c r="A895" s="68" t="s">
        <v>54</v>
      </c>
      <c r="B895" s="26">
        <v>46234</v>
      </c>
      <c r="C895" s="27"/>
      <c r="D895" s="27">
        <v>50013758</v>
      </c>
      <c r="E895" s="27" t="s">
        <v>333</v>
      </c>
      <c r="F895" s="27" t="s">
        <v>334</v>
      </c>
      <c r="G895" s="27" t="s">
        <v>28</v>
      </c>
      <c r="H895" s="30" t="s">
        <v>412</v>
      </c>
      <c r="I895" s="31" t="s">
        <v>1169</v>
      </c>
      <c r="J895" s="30" t="s">
        <v>732</v>
      </c>
      <c r="K895" s="27">
        <v>1</v>
      </c>
      <c r="L895" s="27">
        <v>11</v>
      </c>
      <c r="M895" s="27"/>
      <c r="N895" s="31" t="s">
        <v>81</v>
      </c>
      <c r="O895" s="27"/>
      <c r="P895" s="30"/>
      <c r="Q895" s="30" t="s">
        <v>2097</v>
      </c>
      <c r="R895" s="26">
        <v>46240</v>
      </c>
      <c r="S895" s="27"/>
      <c r="T895" s="31"/>
      <c r="U895" s="30" t="s">
        <v>419</v>
      </c>
      <c r="V895" s="34" t="s">
        <v>90</v>
      </c>
      <c r="W895" s="27" t="s">
        <v>336</v>
      </c>
      <c r="X895" s="30">
        <v>1</v>
      </c>
      <c r="Y895" s="30">
        <v>1</v>
      </c>
      <c r="Z895" s="30">
        <v>1</v>
      </c>
      <c r="AA895" s="30"/>
      <c r="AB895" s="30"/>
      <c r="AC895" s="30"/>
      <c r="AD895" s="30"/>
      <c r="AE895" s="30"/>
      <c r="AF895" s="30" t="s">
        <v>81</v>
      </c>
      <c r="AG895" s="30" t="s">
        <v>41</v>
      </c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6"/>
      <c r="AS895" s="36"/>
      <c r="AT895" s="36"/>
      <c r="AU895" s="36"/>
      <c r="AV895" s="36"/>
      <c r="AW895" s="36"/>
      <c r="AX895" s="36"/>
      <c r="AY895" s="36"/>
      <c r="AZ895" s="30"/>
      <c r="BA895" s="30"/>
      <c r="BB895" s="30"/>
      <c r="BC895" s="30"/>
      <c r="BD895" s="30"/>
      <c r="BE895" s="30"/>
      <c r="BF895" s="30" t="s">
        <v>69</v>
      </c>
      <c r="BG895" s="30"/>
      <c r="BH895" s="30"/>
      <c r="BI895" s="30"/>
      <c r="BJ895" s="30"/>
      <c r="BK895" s="27"/>
      <c r="BL895" s="27"/>
    </row>
    <row r="896" spans="1:64">
      <c r="A896" s="68" t="s">
        <v>54</v>
      </c>
      <c r="B896" s="26">
        <v>46234</v>
      </c>
      <c r="C896" s="27">
        <v>29712</v>
      </c>
      <c r="D896" s="27"/>
      <c r="E896" s="27" t="s">
        <v>2098</v>
      </c>
      <c r="F896" s="27" t="s">
        <v>59</v>
      </c>
      <c r="G896" s="27" t="s">
        <v>28</v>
      </c>
      <c r="H896" s="30" t="s">
        <v>110</v>
      </c>
      <c r="I896" s="31" t="s">
        <v>2085</v>
      </c>
      <c r="J896" s="30" t="s">
        <v>2099</v>
      </c>
      <c r="K896" s="27">
        <v>3</v>
      </c>
      <c r="L896" s="27"/>
      <c r="M896" s="27"/>
      <c r="N896" s="31" t="s">
        <v>394</v>
      </c>
      <c r="O896" s="27"/>
      <c r="P896" s="30"/>
      <c r="Q896" s="30" t="s">
        <v>66</v>
      </c>
      <c r="R896" s="26">
        <v>46237</v>
      </c>
      <c r="S896" s="26">
        <v>46241</v>
      </c>
      <c r="T896" s="31"/>
      <c r="U896" s="30" t="s">
        <v>68</v>
      </c>
      <c r="V896" s="34" t="s">
        <v>70</v>
      </c>
      <c r="W896" s="27" t="s">
        <v>2089</v>
      </c>
      <c r="X896" s="30">
        <v>1</v>
      </c>
      <c r="Y896" s="30">
        <v>1</v>
      </c>
      <c r="Z896" s="30">
        <v>1</v>
      </c>
      <c r="AA896" s="30"/>
      <c r="AB896" s="30"/>
      <c r="AC896" s="30" t="s">
        <v>325</v>
      </c>
      <c r="AD896" s="30" t="s">
        <v>443</v>
      </c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6"/>
      <c r="AS896" s="36"/>
      <c r="AT896" s="36"/>
      <c r="AU896" s="36"/>
      <c r="AV896" s="36"/>
      <c r="AW896" s="36"/>
      <c r="AX896" s="36"/>
      <c r="AY896" s="36"/>
      <c r="AZ896" s="30"/>
      <c r="BA896" s="30"/>
      <c r="BB896" s="30"/>
      <c r="BC896" s="30"/>
      <c r="BD896" s="30"/>
      <c r="BE896" s="30"/>
      <c r="BF896" s="30" t="s">
        <v>2100</v>
      </c>
      <c r="BG896" s="30"/>
      <c r="BH896" s="30"/>
      <c r="BI896" s="30"/>
      <c r="BJ896" s="30"/>
      <c r="BK896" s="27"/>
      <c r="BL896" s="27">
        <v>600000</v>
      </c>
    </row>
    <row r="897" spans="1:64">
      <c r="A897" s="68" t="s">
        <v>54</v>
      </c>
      <c r="B897" s="26">
        <v>46234</v>
      </c>
      <c r="C897" s="27">
        <v>29713</v>
      </c>
      <c r="D897" s="27"/>
      <c r="E897" s="27" t="s">
        <v>2101</v>
      </c>
      <c r="F897" s="27" t="s">
        <v>59</v>
      </c>
      <c r="G897" s="27" t="s">
        <v>60</v>
      </c>
      <c r="H897" s="30" t="s">
        <v>110</v>
      </c>
      <c r="I897" s="31" t="s">
        <v>2085</v>
      </c>
      <c r="J897" s="30" t="s">
        <v>2099</v>
      </c>
      <c r="K897" s="27">
        <v>1</v>
      </c>
      <c r="L897" s="27"/>
      <c r="M897" s="27"/>
      <c r="N897" s="31" t="s">
        <v>325</v>
      </c>
      <c r="O897" s="27"/>
      <c r="P897" s="30"/>
      <c r="Q897" s="30"/>
      <c r="R897" s="27"/>
      <c r="S897" s="27"/>
      <c r="T897" s="31"/>
      <c r="U897" s="30" t="s">
        <v>626</v>
      </c>
      <c r="V897" s="34" t="s">
        <v>627</v>
      </c>
      <c r="W897" s="27" t="s">
        <v>2089</v>
      </c>
      <c r="X897" s="30"/>
      <c r="Y897" s="30"/>
      <c r="Z897" s="30"/>
      <c r="AA897" s="30"/>
      <c r="AB897" s="30"/>
      <c r="AC897" s="30"/>
      <c r="AD897" s="30" t="s">
        <v>69</v>
      </c>
      <c r="AE897" s="30" t="s">
        <v>2102</v>
      </c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6"/>
      <c r="AS897" s="36"/>
      <c r="AT897" s="36"/>
      <c r="AU897" s="36"/>
      <c r="AV897" s="36"/>
      <c r="AW897" s="36"/>
      <c r="AX897" s="36"/>
      <c r="AY897" s="36"/>
      <c r="AZ897" s="30"/>
      <c r="BA897" s="30"/>
      <c r="BB897" s="30"/>
      <c r="BC897" s="30"/>
      <c r="BD897" s="30"/>
      <c r="BE897" s="30"/>
      <c r="BF897" s="30" t="s">
        <v>69</v>
      </c>
      <c r="BG897" s="30"/>
      <c r="BH897" s="30"/>
      <c r="BI897" s="30"/>
      <c r="BJ897" s="30"/>
      <c r="BK897" s="27"/>
      <c r="BL897" s="27"/>
    </row>
    <row r="898" spans="1:64">
      <c r="A898" s="68" t="s">
        <v>54</v>
      </c>
      <c r="B898" s="26">
        <v>46234</v>
      </c>
      <c r="C898" s="27">
        <v>7450</v>
      </c>
      <c r="D898" s="27"/>
      <c r="E898" s="27" t="s">
        <v>559</v>
      </c>
      <c r="F898" s="27" t="s">
        <v>59</v>
      </c>
      <c r="G898" s="27" t="s">
        <v>28</v>
      </c>
      <c r="H898" s="30" t="s">
        <v>57</v>
      </c>
      <c r="I898" s="31" t="s">
        <v>2103</v>
      </c>
      <c r="J898" s="30" t="s">
        <v>2104</v>
      </c>
      <c r="K898" s="27">
        <v>11</v>
      </c>
      <c r="L898" s="27"/>
      <c r="M898" s="27"/>
      <c r="N898" s="31" t="s">
        <v>507</v>
      </c>
      <c r="O898" s="27"/>
      <c r="P898" s="30"/>
      <c r="Q898" s="30" t="s">
        <v>2105</v>
      </c>
      <c r="R898" s="26">
        <v>46235</v>
      </c>
      <c r="S898" s="26">
        <v>46237</v>
      </c>
      <c r="T898" s="31"/>
      <c r="U898" s="30" t="s">
        <v>68</v>
      </c>
      <c r="V898" s="34" t="s">
        <v>70</v>
      </c>
      <c r="W898" s="27" t="s">
        <v>563</v>
      </c>
      <c r="X898" s="30">
        <v>1</v>
      </c>
      <c r="Y898" s="30">
        <v>1</v>
      </c>
      <c r="Z898" s="30">
        <v>1</v>
      </c>
      <c r="AA898" s="30">
        <v>1</v>
      </c>
      <c r="AB898" s="30" t="s">
        <v>41</v>
      </c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6"/>
      <c r="AS898" s="36"/>
      <c r="AT898" s="36"/>
      <c r="AU898" s="36"/>
      <c r="AV898" s="36"/>
      <c r="AW898" s="36"/>
      <c r="AX898" s="36"/>
      <c r="AY898" s="36"/>
      <c r="AZ898" s="30"/>
      <c r="BA898" s="30"/>
      <c r="BB898" s="30"/>
      <c r="BC898" s="30"/>
      <c r="BD898" s="30"/>
      <c r="BE898" s="30"/>
      <c r="BF898" s="30" t="s">
        <v>507</v>
      </c>
      <c r="BG898" s="30"/>
      <c r="BH898" s="30"/>
      <c r="BI898" s="30"/>
      <c r="BJ898" s="30"/>
      <c r="BK898" s="27"/>
      <c r="BL898" s="27"/>
    </row>
    <row r="899" spans="1:64">
      <c r="A899" s="68" t="s">
        <v>54</v>
      </c>
      <c r="B899" s="26">
        <v>46234</v>
      </c>
      <c r="C899" s="27">
        <v>7449</v>
      </c>
      <c r="D899" s="27"/>
      <c r="E899" s="27" t="s">
        <v>559</v>
      </c>
      <c r="F899" s="27" t="s">
        <v>59</v>
      </c>
      <c r="G899" s="27" t="s">
        <v>28</v>
      </c>
      <c r="H899" s="30" t="s">
        <v>57</v>
      </c>
      <c r="I899" s="31" t="s">
        <v>2106</v>
      </c>
      <c r="J899" s="30" t="s">
        <v>2107</v>
      </c>
      <c r="K899" s="27">
        <v>10</v>
      </c>
      <c r="L899" s="27"/>
      <c r="M899" s="27"/>
      <c r="N899" s="31" t="s">
        <v>507</v>
      </c>
      <c r="O899" s="27"/>
      <c r="P899" s="30"/>
      <c r="Q899" s="30" t="s">
        <v>400</v>
      </c>
      <c r="R899" s="26">
        <v>46235</v>
      </c>
      <c r="S899" s="26">
        <v>46237</v>
      </c>
      <c r="T899" s="31"/>
      <c r="U899" s="30" t="s">
        <v>68</v>
      </c>
      <c r="V899" s="34" t="s">
        <v>70</v>
      </c>
      <c r="W899" s="27" t="s">
        <v>563</v>
      </c>
      <c r="X899" s="30">
        <v>1</v>
      </c>
      <c r="Y899" s="30">
        <v>1</v>
      </c>
      <c r="Z899" s="30">
        <v>1</v>
      </c>
      <c r="AA899" s="30">
        <v>1</v>
      </c>
      <c r="AB899" s="30" t="s">
        <v>41</v>
      </c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6"/>
      <c r="AS899" s="36"/>
      <c r="AT899" s="36"/>
      <c r="AU899" s="36"/>
      <c r="AV899" s="36"/>
      <c r="AW899" s="36"/>
      <c r="AX899" s="36"/>
      <c r="AY899" s="36"/>
      <c r="AZ899" s="30"/>
      <c r="BA899" s="30"/>
      <c r="BB899" s="30"/>
      <c r="BC899" s="30"/>
      <c r="BD899" s="30"/>
      <c r="BE899" s="30"/>
      <c r="BF899" s="30" t="s">
        <v>507</v>
      </c>
      <c r="BG899" s="30"/>
      <c r="BH899" s="30"/>
      <c r="BI899" s="30"/>
      <c r="BJ899" s="30"/>
      <c r="BK899" s="27"/>
      <c r="BL899" s="27"/>
    </row>
    <row r="900" spans="1:64">
      <c r="A900" s="68" t="s">
        <v>54</v>
      </c>
      <c r="B900" s="26">
        <v>46234</v>
      </c>
      <c r="C900" s="27">
        <v>5342</v>
      </c>
      <c r="D900" s="27"/>
      <c r="E900" s="27" t="s">
        <v>559</v>
      </c>
      <c r="F900" s="27" t="s">
        <v>59</v>
      </c>
      <c r="G900" s="27" t="s">
        <v>28</v>
      </c>
      <c r="H900" s="30" t="s">
        <v>151</v>
      </c>
      <c r="I900" s="31" t="s">
        <v>2109</v>
      </c>
      <c r="J900" s="30" t="s">
        <v>2110</v>
      </c>
      <c r="K900" s="27">
        <v>28</v>
      </c>
      <c r="L900" s="27"/>
      <c r="M900" s="27"/>
      <c r="N900" s="31" t="s">
        <v>507</v>
      </c>
      <c r="O900" s="27"/>
      <c r="P900" s="30"/>
      <c r="Q900" s="30" t="s">
        <v>66</v>
      </c>
      <c r="R900" s="26">
        <v>46235</v>
      </c>
      <c r="S900" s="26">
        <v>46237</v>
      </c>
      <c r="T900" s="31"/>
      <c r="U900" s="30" t="s">
        <v>68</v>
      </c>
      <c r="V900" s="34" t="s">
        <v>70</v>
      </c>
      <c r="W900" s="27" t="s">
        <v>563</v>
      </c>
      <c r="X900" s="30">
        <v>1</v>
      </c>
      <c r="Y900" s="30">
        <v>1</v>
      </c>
      <c r="Z900" s="30">
        <v>1</v>
      </c>
      <c r="AA900" s="30">
        <v>1</v>
      </c>
      <c r="AB900" s="30" t="s">
        <v>41</v>
      </c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6"/>
      <c r="AS900" s="36"/>
      <c r="AT900" s="36"/>
      <c r="AU900" s="36"/>
      <c r="AV900" s="36"/>
      <c r="AW900" s="36"/>
      <c r="AX900" s="36"/>
      <c r="AY900" s="36"/>
      <c r="AZ900" s="30"/>
      <c r="BA900" s="30"/>
      <c r="BB900" s="30"/>
      <c r="BC900" s="30"/>
      <c r="BD900" s="30"/>
      <c r="BE900" s="30"/>
      <c r="BF900" s="30" t="s">
        <v>507</v>
      </c>
      <c r="BG900" s="30"/>
      <c r="BH900" s="30"/>
      <c r="BI900" s="30"/>
      <c r="BJ900" s="30"/>
      <c r="BK900" s="27"/>
      <c r="BL900" s="27"/>
    </row>
    <row r="901" spans="1:64">
      <c r="A901" s="68" t="s">
        <v>54</v>
      </c>
      <c r="B901" s="26">
        <v>46234</v>
      </c>
      <c r="C901" s="27">
        <v>5343</v>
      </c>
      <c r="D901" s="27"/>
      <c r="E901" s="27" t="s">
        <v>559</v>
      </c>
      <c r="F901" s="27" t="s">
        <v>59</v>
      </c>
      <c r="G901" s="27" t="s">
        <v>28</v>
      </c>
      <c r="H901" s="30" t="s">
        <v>151</v>
      </c>
      <c r="I901" s="31" t="s">
        <v>1150</v>
      </c>
      <c r="J901" s="30" t="s">
        <v>1151</v>
      </c>
      <c r="K901" s="27">
        <v>5</v>
      </c>
      <c r="L901" s="27"/>
      <c r="M901" s="27"/>
      <c r="N901" s="31" t="s">
        <v>507</v>
      </c>
      <c r="O901" s="27"/>
      <c r="P901" s="30"/>
      <c r="Q901" s="30" t="s">
        <v>66</v>
      </c>
      <c r="R901" s="62">
        <v>46235</v>
      </c>
      <c r="S901" s="26">
        <v>46237</v>
      </c>
      <c r="T901" s="31"/>
      <c r="U901" s="30" t="s">
        <v>68</v>
      </c>
      <c r="V901" s="34" t="s">
        <v>70</v>
      </c>
      <c r="W901" s="27" t="s">
        <v>563</v>
      </c>
      <c r="X901" s="30">
        <v>1</v>
      </c>
      <c r="Y901" s="30">
        <v>1</v>
      </c>
      <c r="Z901" s="30">
        <v>1</v>
      </c>
      <c r="AA901" s="30">
        <v>1</v>
      </c>
      <c r="AB901" s="30" t="s">
        <v>41</v>
      </c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6"/>
      <c r="AS901" s="36"/>
      <c r="AT901" s="36"/>
      <c r="AU901" s="36"/>
      <c r="AV901" s="36"/>
      <c r="AW901" s="36"/>
      <c r="AX901" s="36"/>
      <c r="AY901" s="36"/>
      <c r="AZ901" s="30"/>
      <c r="BA901" s="30"/>
      <c r="BB901" s="30"/>
      <c r="BC901" s="30"/>
      <c r="BD901" s="30"/>
      <c r="BE901" s="30"/>
      <c r="BF901" s="30" t="s">
        <v>507</v>
      </c>
      <c r="BG901" s="30"/>
      <c r="BH901" s="30"/>
      <c r="BI901" s="30"/>
      <c r="BJ901" s="30"/>
      <c r="BK901" s="27"/>
      <c r="BL901" s="27"/>
    </row>
    <row r="902" spans="1:64">
      <c r="A902" s="68" t="s">
        <v>54</v>
      </c>
      <c r="B902" s="26">
        <v>46234</v>
      </c>
      <c r="C902" s="27">
        <v>5344</v>
      </c>
      <c r="D902" s="27"/>
      <c r="E902" s="27" t="s">
        <v>559</v>
      </c>
      <c r="F902" s="27" t="s">
        <v>59</v>
      </c>
      <c r="G902" s="27" t="s">
        <v>28</v>
      </c>
      <c r="H902" s="30" t="s">
        <v>151</v>
      </c>
      <c r="I902" s="31" t="s">
        <v>2111</v>
      </c>
      <c r="J902" s="30" t="s">
        <v>2112</v>
      </c>
      <c r="K902" s="27">
        <v>16</v>
      </c>
      <c r="L902" s="27"/>
      <c r="M902" s="27"/>
      <c r="N902" s="31" t="s">
        <v>507</v>
      </c>
      <c r="O902" s="27"/>
      <c r="P902" s="30"/>
      <c r="Q902" s="30" t="s">
        <v>66</v>
      </c>
      <c r="R902" s="62">
        <v>46235</v>
      </c>
      <c r="S902" s="26">
        <v>46237</v>
      </c>
      <c r="T902" s="31"/>
      <c r="U902" s="30" t="s">
        <v>68</v>
      </c>
      <c r="V902" s="34" t="s">
        <v>70</v>
      </c>
      <c r="W902" s="27" t="s">
        <v>563</v>
      </c>
      <c r="X902" s="30">
        <v>1</v>
      </c>
      <c r="Y902" s="30">
        <v>1</v>
      </c>
      <c r="Z902" s="30">
        <v>1</v>
      </c>
      <c r="AA902" s="30">
        <v>1</v>
      </c>
      <c r="AB902" s="30" t="s">
        <v>41</v>
      </c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6"/>
      <c r="AS902" s="36"/>
      <c r="AT902" s="36"/>
      <c r="AU902" s="36"/>
      <c r="AV902" s="36"/>
      <c r="AW902" s="36"/>
      <c r="AX902" s="36"/>
      <c r="AY902" s="36"/>
      <c r="AZ902" s="30"/>
      <c r="BA902" s="30"/>
      <c r="BB902" s="30"/>
      <c r="BC902" s="30"/>
      <c r="BD902" s="30"/>
      <c r="BE902" s="30"/>
      <c r="BF902" s="30" t="s">
        <v>507</v>
      </c>
      <c r="BG902" s="30"/>
      <c r="BH902" s="30"/>
      <c r="BI902" s="30"/>
      <c r="BJ902" s="30"/>
      <c r="BK902" s="27"/>
      <c r="BL902" s="27"/>
    </row>
    <row r="903" spans="1:64">
      <c r="A903" s="68" t="s">
        <v>54</v>
      </c>
      <c r="B903" s="26">
        <v>46234</v>
      </c>
      <c r="C903" s="27">
        <v>29716</v>
      </c>
      <c r="D903" s="27" t="s">
        <v>2113</v>
      </c>
      <c r="E903" s="70" t="s">
        <v>101</v>
      </c>
      <c r="F903" s="27" t="s">
        <v>59</v>
      </c>
      <c r="G903" s="70" t="s">
        <v>104</v>
      </c>
      <c r="H903" s="36" t="s">
        <v>1559</v>
      </c>
      <c r="I903" s="36" t="s">
        <v>1560</v>
      </c>
      <c r="J903" s="36" t="s">
        <v>1561</v>
      </c>
      <c r="K903" s="27">
        <v>28</v>
      </c>
      <c r="L903" s="27">
        <v>84</v>
      </c>
      <c r="M903" s="27"/>
      <c r="N903" s="31"/>
      <c r="O903" s="27"/>
      <c r="P903" s="30"/>
      <c r="Q903" s="30"/>
      <c r="R903" s="27"/>
      <c r="S903" s="27"/>
      <c r="T903" s="31"/>
      <c r="U903" s="30" t="s">
        <v>407</v>
      </c>
      <c r="V903" s="34" t="s">
        <v>408</v>
      </c>
      <c r="W903" s="27" t="s">
        <v>101</v>
      </c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6"/>
      <c r="AS903" s="36"/>
      <c r="AT903" s="36"/>
      <c r="AU903" s="36"/>
      <c r="AV903" s="36"/>
      <c r="AW903" s="36"/>
      <c r="AX903" s="36"/>
      <c r="AY903" s="36"/>
      <c r="AZ903" s="30"/>
      <c r="BA903" s="30"/>
      <c r="BB903" s="30"/>
      <c r="BC903" s="30"/>
      <c r="BD903" s="30"/>
      <c r="BE903" s="30"/>
      <c r="BF903" s="30" t="s">
        <v>69</v>
      </c>
      <c r="BG903" s="30"/>
      <c r="BH903" s="30"/>
      <c r="BI903" s="30"/>
      <c r="BJ903" s="30"/>
      <c r="BK903" s="27"/>
      <c r="BL903" s="27"/>
    </row>
    <row r="904" spans="1:64">
      <c r="A904" s="68" t="s">
        <v>54</v>
      </c>
      <c r="B904" s="26">
        <v>46234</v>
      </c>
      <c r="C904" s="27"/>
      <c r="D904" s="27">
        <v>45000</v>
      </c>
      <c r="E904" s="27" t="s">
        <v>284</v>
      </c>
      <c r="F904" s="27" t="s">
        <v>48</v>
      </c>
      <c r="G904" s="27" t="s">
        <v>110</v>
      </c>
      <c r="H904" s="30" t="s">
        <v>246</v>
      </c>
      <c r="I904" s="31" t="s">
        <v>2114</v>
      </c>
      <c r="J904" s="30" t="s">
        <v>2115</v>
      </c>
      <c r="K904" s="27">
        <v>2</v>
      </c>
      <c r="L904" s="27">
        <v>20</v>
      </c>
      <c r="M904" s="27"/>
      <c r="N904" s="31" t="s">
        <v>115</v>
      </c>
      <c r="O904" s="27"/>
      <c r="P904" s="30"/>
      <c r="Q904" s="30" t="s">
        <v>66</v>
      </c>
      <c r="R904" s="26">
        <v>46237</v>
      </c>
      <c r="S904" s="27"/>
      <c r="T904" s="31"/>
      <c r="U904" s="30" t="s">
        <v>419</v>
      </c>
      <c r="V904" s="34" t="s">
        <v>90</v>
      </c>
      <c r="W904" s="27" t="s">
        <v>284</v>
      </c>
      <c r="X904" s="30">
        <v>1</v>
      </c>
      <c r="Y904" s="30">
        <v>1</v>
      </c>
      <c r="Z904" s="30">
        <v>1</v>
      </c>
      <c r="AA904" s="30"/>
      <c r="AB904" s="30"/>
      <c r="AC904" s="30" t="s">
        <v>115</v>
      </c>
      <c r="AD904" s="30" t="s">
        <v>41</v>
      </c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6"/>
      <c r="AS904" s="36"/>
      <c r="AT904" s="36"/>
      <c r="AU904" s="36"/>
      <c r="AV904" s="36"/>
      <c r="AW904" s="36"/>
      <c r="AX904" s="36"/>
      <c r="AY904" s="36"/>
      <c r="AZ904" s="30"/>
      <c r="BA904" s="30"/>
      <c r="BB904" s="30"/>
      <c r="BC904" s="30"/>
      <c r="BD904" s="30"/>
      <c r="BE904" s="30"/>
      <c r="BF904" s="31" t="s">
        <v>2117</v>
      </c>
      <c r="BG904" s="30"/>
      <c r="BH904" s="30"/>
      <c r="BI904" s="30"/>
      <c r="BJ904" s="30"/>
      <c r="BK904" s="27"/>
      <c r="BL904" s="27"/>
    </row>
    <row r="905" spans="1:64">
      <c r="A905" s="68" t="s">
        <v>54</v>
      </c>
      <c r="B905" s="26">
        <v>46234</v>
      </c>
      <c r="C905" s="27"/>
      <c r="D905" s="27">
        <v>45358</v>
      </c>
      <c r="E905" s="27" t="s">
        <v>284</v>
      </c>
      <c r="F905" s="27" t="s">
        <v>48</v>
      </c>
      <c r="G905" s="27" t="s">
        <v>110</v>
      </c>
      <c r="H905" s="30" t="s">
        <v>29</v>
      </c>
      <c r="I905" s="31" t="s">
        <v>2118</v>
      </c>
      <c r="J905" s="30" t="s">
        <v>2119</v>
      </c>
      <c r="K905" s="27">
        <v>10</v>
      </c>
      <c r="L905" s="27">
        <v>120</v>
      </c>
      <c r="M905" s="27"/>
      <c r="N905" s="31" t="s">
        <v>247</v>
      </c>
      <c r="O905" s="27"/>
      <c r="P905" s="30"/>
      <c r="Q905" s="30" t="s">
        <v>66</v>
      </c>
      <c r="R905" s="26">
        <v>46237</v>
      </c>
      <c r="S905" s="27"/>
      <c r="T905" s="31"/>
      <c r="U905" s="30" t="s">
        <v>419</v>
      </c>
      <c r="V905" s="34" t="s">
        <v>90</v>
      </c>
      <c r="W905" s="27" t="s">
        <v>284</v>
      </c>
      <c r="X905" s="30">
        <v>1</v>
      </c>
      <c r="Y905" s="30">
        <v>1</v>
      </c>
      <c r="Z905" s="30">
        <v>1</v>
      </c>
      <c r="AA905" s="30"/>
      <c r="AB905" s="30"/>
      <c r="AC905" s="30" t="s">
        <v>247</v>
      </c>
      <c r="AD905" s="30" t="s">
        <v>41</v>
      </c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6"/>
      <c r="AS905" s="36"/>
      <c r="AT905" s="36"/>
      <c r="AU905" s="36"/>
      <c r="AV905" s="36"/>
      <c r="AW905" s="36"/>
      <c r="AX905" s="36"/>
      <c r="AY905" s="36"/>
      <c r="AZ905" s="30"/>
      <c r="BA905" s="30"/>
      <c r="BB905" s="30"/>
      <c r="BC905" s="30"/>
      <c r="BD905" s="30"/>
      <c r="BE905" s="30"/>
      <c r="BF905" s="31" t="s">
        <v>2117</v>
      </c>
      <c r="BG905" s="30"/>
      <c r="BH905" s="30"/>
      <c r="BI905" s="30"/>
      <c r="BJ905" s="30"/>
      <c r="BK905" s="27"/>
      <c r="BL905" s="27"/>
    </row>
    <row r="906" spans="1:64">
      <c r="A906" s="68" t="s">
        <v>54</v>
      </c>
      <c r="B906" s="26">
        <v>46234</v>
      </c>
      <c r="C906" s="27"/>
      <c r="D906" s="27">
        <v>45359</v>
      </c>
      <c r="E906" s="27" t="s">
        <v>284</v>
      </c>
      <c r="F906" s="27" t="s">
        <v>48</v>
      </c>
      <c r="G906" s="27" t="s">
        <v>110</v>
      </c>
      <c r="H906" s="30" t="s">
        <v>246</v>
      </c>
      <c r="I906" s="31" t="s">
        <v>1823</v>
      </c>
      <c r="J906" s="30" t="s">
        <v>2120</v>
      </c>
      <c r="K906" s="27">
        <v>21</v>
      </c>
      <c r="L906" s="27">
        <v>418</v>
      </c>
      <c r="M906" s="27"/>
      <c r="N906" s="31" t="s">
        <v>115</v>
      </c>
      <c r="O906" s="27"/>
      <c r="P906" s="30"/>
      <c r="Q906" s="30" t="s">
        <v>66</v>
      </c>
      <c r="R906" s="26">
        <v>46237</v>
      </c>
      <c r="S906" s="27"/>
      <c r="T906" s="31"/>
      <c r="U906" s="30" t="s">
        <v>419</v>
      </c>
      <c r="V906" s="34" t="s">
        <v>90</v>
      </c>
      <c r="W906" s="27" t="s">
        <v>284</v>
      </c>
      <c r="X906" s="30">
        <v>1</v>
      </c>
      <c r="Y906" s="30">
        <v>1</v>
      </c>
      <c r="Z906" s="30">
        <v>1</v>
      </c>
      <c r="AA906" s="30"/>
      <c r="AB906" s="30"/>
      <c r="AC906" s="30" t="s">
        <v>115</v>
      </c>
      <c r="AD906" s="30" t="s">
        <v>41</v>
      </c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6"/>
      <c r="AS906" s="36"/>
      <c r="AT906" s="36"/>
      <c r="AU906" s="36"/>
      <c r="AV906" s="36"/>
      <c r="AW906" s="36"/>
      <c r="AX906" s="36"/>
      <c r="AY906" s="36"/>
      <c r="AZ906" s="30"/>
      <c r="BA906" s="30"/>
      <c r="BB906" s="30"/>
      <c r="BC906" s="30"/>
      <c r="BD906" s="30"/>
      <c r="BE906" s="30"/>
      <c r="BF906" s="31" t="s">
        <v>2117</v>
      </c>
      <c r="BG906" s="30"/>
      <c r="BH906" s="30"/>
      <c r="BI906" s="30"/>
      <c r="BJ906" s="30"/>
      <c r="BK906" s="27"/>
      <c r="BL906" s="27"/>
    </row>
    <row r="907" spans="1:64">
      <c r="A907" s="68" t="s">
        <v>54</v>
      </c>
      <c r="B907" s="26">
        <v>46234</v>
      </c>
      <c r="C907" s="27"/>
      <c r="D907" s="27">
        <v>45351</v>
      </c>
      <c r="E907" s="27" t="s">
        <v>284</v>
      </c>
      <c r="F907" s="27" t="s">
        <v>48</v>
      </c>
      <c r="G907" s="27" t="s">
        <v>110</v>
      </c>
      <c r="H907" s="30" t="s">
        <v>412</v>
      </c>
      <c r="I907" s="31" t="s">
        <v>1113</v>
      </c>
      <c r="J907" s="30" t="s">
        <v>2121</v>
      </c>
      <c r="K907" s="27">
        <v>1</v>
      </c>
      <c r="L907" s="27">
        <v>20</v>
      </c>
      <c r="M907" s="27"/>
      <c r="N907" s="31" t="s">
        <v>81</v>
      </c>
      <c r="O907" s="27"/>
      <c r="P907" s="30"/>
      <c r="Q907" s="30" t="s">
        <v>596</v>
      </c>
      <c r="R907" s="26">
        <v>46240</v>
      </c>
      <c r="S907" s="27"/>
      <c r="T907" s="31"/>
      <c r="U907" s="30" t="s">
        <v>419</v>
      </c>
      <c r="V907" s="34" t="s">
        <v>90</v>
      </c>
      <c r="W907" s="27" t="s">
        <v>284</v>
      </c>
      <c r="X907" s="30">
        <v>1</v>
      </c>
      <c r="Y907" s="30">
        <v>1</v>
      </c>
      <c r="Z907" s="30">
        <v>1</v>
      </c>
      <c r="AA907" s="30"/>
      <c r="AB907" s="30"/>
      <c r="AC907" s="30" t="s">
        <v>69</v>
      </c>
      <c r="AD907" s="30"/>
      <c r="AE907" s="30"/>
      <c r="AF907" s="30" t="s">
        <v>81</v>
      </c>
      <c r="AG907" s="30" t="s">
        <v>41</v>
      </c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6"/>
      <c r="AS907" s="36"/>
      <c r="AT907" s="36"/>
      <c r="AU907" s="36"/>
      <c r="AV907" s="36"/>
      <c r="AW907" s="36"/>
      <c r="AX907" s="36"/>
      <c r="AY907" s="36"/>
      <c r="AZ907" s="30"/>
      <c r="BA907" s="30"/>
      <c r="BB907" s="30"/>
      <c r="BC907" s="30"/>
      <c r="BD907" s="30"/>
      <c r="BE907" s="30"/>
      <c r="BF907" s="31" t="s">
        <v>2122</v>
      </c>
      <c r="BG907" s="30"/>
      <c r="BH907" s="30"/>
      <c r="BI907" s="30"/>
      <c r="BJ907" s="30"/>
      <c r="BK907" s="27"/>
      <c r="BL907" s="27"/>
    </row>
    <row r="908" spans="1:64">
      <c r="A908" s="68" t="s">
        <v>54</v>
      </c>
      <c r="B908" s="26">
        <v>46234</v>
      </c>
      <c r="C908" s="27"/>
      <c r="D908" s="27">
        <v>45106</v>
      </c>
      <c r="E908" s="27" t="s">
        <v>284</v>
      </c>
      <c r="F908" s="27" t="s">
        <v>48</v>
      </c>
      <c r="G908" s="27" t="s">
        <v>110</v>
      </c>
      <c r="H908" s="30" t="s">
        <v>28</v>
      </c>
      <c r="I908" s="31" t="s">
        <v>1876</v>
      </c>
      <c r="J908" s="30" t="s">
        <v>2123</v>
      </c>
      <c r="K908" s="27">
        <v>15</v>
      </c>
      <c r="L908" s="27">
        <v>150</v>
      </c>
      <c r="M908" s="27"/>
      <c r="N908" s="31" t="s">
        <v>2124</v>
      </c>
      <c r="O908" s="27"/>
      <c r="P908" s="30"/>
      <c r="Q908" s="30" t="s">
        <v>66</v>
      </c>
      <c r="R908" s="26">
        <v>46237</v>
      </c>
      <c r="S908" s="26">
        <v>46238</v>
      </c>
      <c r="T908" s="31"/>
      <c r="U908" s="30" t="s">
        <v>68</v>
      </c>
      <c r="V908" s="34" t="s">
        <v>70</v>
      </c>
      <c r="W908" s="27" t="s">
        <v>284</v>
      </c>
      <c r="X908" s="30">
        <v>1</v>
      </c>
      <c r="Y908" s="30">
        <v>1</v>
      </c>
      <c r="Z908" s="30">
        <v>1</v>
      </c>
      <c r="AA908" s="30">
        <v>1</v>
      </c>
      <c r="AB908" s="30"/>
      <c r="AC908" s="30" t="s">
        <v>69</v>
      </c>
      <c r="AD908" s="30" t="s">
        <v>2125</v>
      </c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6"/>
      <c r="AS908" s="36"/>
      <c r="AT908" s="36"/>
      <c r="AU908" s="36"/>
      <c r="AV908" s="36"/>
      <c r="AW908" s="36"/>
      <c r="AX908" s="36"/>
      <c r="AY908" s="36"/>
      <c r="AZ908" s="30"/>
      <c r="BA908" s="30"/>
      <c r="BB908" s="30"/>
      <c r="BC908" s="30"/>
      <c r="BD908" s="30"/>
      <c r="BE908" s="30"/>
      <c r="BF908" s="31" t="s">
        <v>2117</v>
      </c>
      <c r="BG908" s="30"/>
      <c r="BH908" s="30"/>
      <c r="BI908" s="30"/>
      <c r="BJ908" s="30"/>
      <c r="BK908" s="27"/>
      <c r="BL908" s="27"/>
    </row>
    <row r="909" spans="1:64">
      <c r="A909" s="68" t="s">
        <v>54</v>
      </c>
      <c r="B909" s="26">
        <v>46234</v>
      </c>
      <c r="C909" s="27">
        <v>29461</v>
      </c>
      <c r="D909" s="27">
        <v>47090</v>
      </c>
      <c r="E909" s="27" t="s">
        <v>168</v>
      </c>
      <c r="F909" s="27" t="s">
        <v>48</v>
      </c>
      <c r="G909" s="27" t="s">
        <v>110</v>
      </c>
      <c r="H909" s="30" t="s">
        <v>130</v>
      </c>
      <c r="I909" s="31" t="s">
        <v>2126</v>
      </c>
      <c r="J909" s="30" t="s">
        <v>2127</v>
      </c>
      <c r="K909" s="27">
        <v>3</v>
      </c>
      <c r="L909" s="27">
        <v>138</v>
      </c>
      <c r="M909" s="27"/>
      <c r="N909" s="31"/>
      <c r="O909" s="27" t="s">
        <v>1347</v>
      </c>
      <c r="P909" s="30"/>
      <c r="Q909" s="30" t="s">
        <v>66</v>
      </c>
      <c r="R909" s="26">
        <v>46241</v>
      </c>
      <c r="S909" s="27"/>
      <c r="T909" s="31"/>
      <c r="U909" s="30" t="s">
        <v>419</v>
      </c>
      <c r="V909" s="34" t="s">
        <v>90</v>
      </c>
      <c r="W909" s="27" t="s">
        <v>174</v>
      </c>
      <c r="X909" s="30"/>
      <c r="Y909" s="30"/>
      <c r="Z909" s="30"/>
      <c r="AA909" s="30"/>
      <c r="AB909" s="30"/>
      <c r="AC909" s="30" t="s">
        <v>69</v>
      </c>
      <c r="AD909" s="30"/>
      <c r="AE909" s="30" t="s">
        <v>1347</v>
      </c>
      <c r="AF909" s="30"/>
      <c r="AG909" s="30"/>
      <c r="AH909" s="30" t="s">
        <v>906</v>
      </c>
      <c r="AI909" s="30"/>
      <c r="AJ909" s="30"/>
      <c r="AK909" s="30"/>
      <c r="AL909" s="30"/>
      <c r="AM909" s="30"/>
      <c r="AN909" s="30"/>
      <c r="AO909" s="30"/>
      <c r="AP909" s="30"/>
      <c r="AQ909" s="30"/>
      <c r="AR909" s="36"/>
      <c r="AS909" s="36"/>
      <c r="AT909" s="36"/>
      <c r="AU909" s="36"/>
      <c r="AV909" s="36"/>
      <c r="AW909" s="36"/>
      <c r="AX909" s="36"/>
      <c r="AY909" s="36"/>
      <c r="AZ909" s="30"/>
      <c r="BA909" s="30"/>
      <c r="BB909" s="30"/>
      <c r="BC909" s="30"/>
      <c r="BD909" s="30"/>
      <c r="BE909" s="30"/>
      <c r="BF909" s="31" t="s">
        <v>2122</v>
      </c>
      <c r="BG909" s="30"/>
      <c r="BH909" s="30"/>
      <c r="BI909" s="30"/>
      <c r="BJ909" s="30"/>
      <c r="BK909" s="27"/>
      <c r="BL909" s="27"/>
    </row>
    <row r="910" spans="1:64">
      <c r="A910" s="68" t="s">
        <v>54</v>
      </c>
      <c r="B910" s="26">
        <v>46234</v>
      </c>
      <c r="C910" s="27">
        <v>30664</v>
      </c>
      <c r="D910" s="27"/>
      <c r="E910" s="27" t="s">
        <v>203</v>
      </c>
      <c r="F910" s="27" t="s">
        <v>59</v>
      </c>
      <c r="G910" s="27" t="s">
        <v>104</v>
      </c>
      <c r="H910" s="30" t="s">
        <v>409</v>
      </c>
      <c r="I910" s="31" t="s">
        <v>463</v>
      </c>
      <c r="J910" s="30" t="s">
        <v>409</v>
      </c>
      <c r="K910" s="27">
        <v>1</v>
      </c>
      <c r="L910" s="27" t="s">
        <v>205</v>
      </c>
      <c r="M910" s="27"/>
      <c r="N910" s="31" t="s">
        <v>81</v>
      </c>
      <c r="O910" s="27"/>
      <c r="P910" s="30"/>
      <c r="Q910" s="30" t="s">
        <v>66</v>
      </c>
      <c r="R910" s="26">
        <v>46238</v>
      </c>
      <c r="S910" s="26">
        <v>46239</v>
      </c>
      <c r="T910" s="31"/>
      <c r="U910" s="30" t="s">
        <v>68</v>
      </c>
      <c r="V910" s="34" t="s">
        <v>70</v>
      </c>
      <c r="W910" s="27" t="s">
        <v>208</v>
      </c>
      <c r="X910" s="30">
        <v>2</v>
      </c>
      <c r="Y910" s="30">
        <v>1</v>
      </c>
      <c r="Z910" s="30">
        <v>2</v>
      </c>
      <c r="AA910" s="30">
        <v>1</v>
      </c>
      <c r="AB910" s="30"/>
      <c r="AC910" s="30"/>
      <c r="AD910" s="30"/>
      <c r="AE910" s="30" t="s">
        <v>2043</v>
      </c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6"/>
      <c r="AS910" s="36"/>
      <c r="AT910" s="36"/>
      <c r="AU910" s="36"/>
      <c r="AV910" s="36"/>
      <c r="AW910" s="36"/>
      <c r="AX910" s="36"/>
      <c r="AY910" s="36"/>
      <c r="AZ910" s="30"/>
      <c r="BA910" s="30"/>
      <c r="BB910" s="30"/>
      <c r="BC910" s="30"/>
      <c r="BD910" s="30"/>
      <c r="BE910" s="30"/>
      <c r="BF910" s="30" t="s">
        <v>69</v>
      </c>
      <c r="BG910" s="30"/>
      <c r="BH910" s="30"/>
      <c r="BI910" s="30"/>
      <c r="BJ910" s="30"/>
      <c r="BK910" s="27"/>
      <c r="BL910" s="27"/>
    </row>
    <row r="911" spans="1:64">
      <c r="A911" s="68" t="s">
        <v>54</v>
      </c>
      <c r="B911" s="26">
        <v>46234</v>
      </c>
      <c r="C911" s="27">
        <v>30662</v>
      </c>
      <c r="D911" s="27"/>
      <c r="E911" s="27" t="s">
        <v>203</v>
      </c>
      <c r="F911" s="27" t="s">
        <v>59</v>
      </c>
      <c r="G911" s="27" t="s">
        <v>104</v>
      </c>
      <c r="H911" s="30" t="s">
        <v>293</v>
      </c>
      <c r="I911" s="31" t="s">
        <v>775</v>
      </c>
      <c r="J911" s="30" t="s">
        <v>293</v>
      </c>
      <c r="K911" s="27">
        <v>1</v>
      </c>
      <c r="L911" s="27" t="s">
        <v>205</v>
      </c>
      <c r="M911" s="27"/>
      <c r="N911" s="31" t="s">
        <v>154</v>
      </c>
      <c r="O911" s="27"/>
      <c r="P911" s="30"/>
      <c r="Q911" s="30" t="s">
        <v>66</v>
      </c>
      <c r="R911" s="26">
        <v>46238</v>
      </c>
      <c r="S911" s="26">
        <v>46238</v>
      </c>
      <c r="T911" s="31"/>
      <c r="U911" s="30" t="s">
        <v>68</v>
      </c>
      <c r="V911" s="34" t="s">
        <v>70</v>
      </c>
      <c r="W911" s="27" t="s">
        <v>208</v>
      </c>
      <c r="X911" s="30">
        <v>1</v>
      </c>
      <c r="Y911" s="30">
        <v>1</v>
      </c>
      <c r="Z911" s="30">
        <v>1</v>
      </c>
      <c r="AA911" s="30">
        <v>1</v>
      </c>
      <c r="AB911" s="30"/>
      <c r="AC911" s="30"/>
      <c r="AD911" s="30"/>
      <c r="AE911" s="30" t="s">
        <v>157</v>
      </c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6"/>
      <c r="AS911" s="36"/>
      <c r="AT911" s="36"/>
      <c r="AU911" s="36"/>
      <c r="AV911" s="36"/>
      <c r="AW911" s="36"/>
      <c r="AX911" s="36"/>
      <c r="AY911" s="36"/>
      <c r="AZ911" s="30"/>
      <c r="BA911" s="30"/>
      <c r="BB911" s="30"/>
      <c r="BC911" s="30"/>
      <c r="BD911" s="30"/>
      <c r="BE911" s="30"/>
      <c r="BF911" s="30" t="s">
        <v>69</v>
      </c>
      <c r="BG911" s="30"/>
      <c r="BH911" s="30"/>
      <c r="BI911" s="30"/>
      <c r="BJ911" s="30"/>
      <c r="BK911" s="27"/>
      <c r="BL911" s="27"/>
    </row>
    <row r="912" spans="1:64">
      <c r="A912" s="68" t="s">
        <v>54</v>
      </c>
      <c r="B912" s="26">
        <v>46234</v>
      </c>
      <c r="C912" s="27">
        <v>30663</v>
      </c>
      <c r="D912" s="27"/>
      <c r="E912" s="27" t="s">
        <v>203</v>
      </c>
      <c r="F912" s="27" t="s">
        <v>59</v>
      </c>
      <c r="G912" s="27" t="s">
        <v>104</v>
      </c>
      <c r="H912" s="30" t="s">
        <v>378</v>
      </c>
      <c r="I912" s="31" t="s">
        <v>380</v>
      </c>
      <c r="J912" s="30" t="s">
        <v>378</v>
      </c>
      <c r="K912" s="27">
        <v>1</v>
      </c>
      <c r="L912" s="27" t="s">
        <v>205</v>
      </c>
      <c r="M912" s="27"/>
      <c r="N912" s="31" t="s">
        <v>507</v>
      </c>
      <c r="O912" s="27"/>
      <c r="P912" s="30"/>
      <c r="Q912" s="30" t="s">
        <v>66</v>
      </c>
      <c r="R912" s="62">
        <v>46235</v>
      </c>
      <c r="S912" s="26">
        <v>46237</v>
      </c>
      <c r="T912" s="31"/>
      <c r="U912" s="30" t="s">
        <v>68</v>
      </c>
      <c r="V912" s="34" t="s">
        <v>70</v>
      </c>
      <c r="W912" s="27" t="s">
        <v>208</v>
      </c>
      <c r="X912" s="30">
        <v>1</v>
      </c>
      <c r="Y912" s="30">
        <v>1</v>
      </c>
      <c r="Z912" s="30">
        <v>1</v>
      </c>
      <c r="AA912" s="30">
        <v>1</v>
      </c>
      <c r="AB912" s="30" t="s">
        <v>41</v>
      </c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6"/>
      <c r="AS912" s="36"/>
      <c r="AT912" s="36"/>
      <c r="AU912" s="36"/>
      <c r="AV912" s="36"/>
      <c r="AW912" s="36"/>
      <c r="AX912" s="36"/>
      <c r="AY912" s="36"/>
      <c r="AZ912" s="30"/>
      <c r="BA912" s="30"/>
      <c r="BB912" s="30"/>
      <c r="BC912" s="30"/>
      <c r="BD912" s="30"/>
      <c r="BE912" s="30"/>
      <c r="BF912" s="30" t="s">
        <v>507</v>
      </c>
      <c r="BG912" s="30"/>
      <c r="BH912" s="30"/>
      <c r="BI912" s="30"/>
      <c r="BJ912" s="30"/>
      <c r="BK912" s="27"/>
      <c r="BL912" s="27"/>
    </row>
    <row r="913" spans="1:64">
      <c r="A913" s="68" t="s">
        <v>54</v>
      </c>
      <c r="B913" s="26">
        <v>46234</v>
      </c>
      <c r="C913" s="27">
        <v>30668</v>
      </c>
      <c r="D913" s="27"/>
      <c r="E913" s="27" t="s">
        <v>203</v>
      </c>
      <c r="F913" s="27" t="s">
        <v>59</v>
      </c>
      <c r="G913" s="27" t="s">
        <v>104</v>
      </c>
      <c r="H913" s="30" t="s">
        <v>383</v>
      </c>
      <c r="I913" s="31" t="s">
        <v>1242</v>
      </c>
      <c r="J913" s="30" t="s">
        <v>383</v>
      </c>
      <c r="K913" s="27">
        <v>1</v>
      </c>
      <c r="L913" s="27" t="s">
        <v>205</v>
      </c>
      <c r="M913" s="27"/>
      <c r="N913" s="31" t="s">
        <v>258</v>
      </c>
      <c r="O913" s="27"/>
      <c r="P913" s="30"/>
      <c r="Q913" s="30" t="s">
        <v>2128</v>
      </c>
      <c r="R913" s="26">
        <v>46235</v>
      </c>
      <c r="S913" s="26">
        <v>46235</v>
      </c>
      <c r="T913" s="31"/>
      <c r="U913" s="30" t="s">
        <v>68</v>
      </c>
      <c r="V913" s="34" t="s">
        <v>70</v>
      </c>
      <c r="W913" s="27" t="s">
        <v>208</v>
      </c>
      <c r="X913" s="30">
        <v>1</v>
      </c>
      <c r="Y913" s="30">
        <v>1</v>
      </c>
      <c r="Z913" s="30">
        <v>1</v>
      </c>
      <c r="AA913" s="30">
        <v>1</v>
      </c>
      <c r="AB913" s="30" t="s">
        <v>260</v>
      </c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6"/>
      <c r="AS913" s="36"/>
      <c r="AT913" s="36"/>
      <c r="AU913" s="36"/>
      <c r="AV913" s="36"/>
      <c r="AW913" s="36"/>
      <c r="AX913" s="36"/>
      <c r="AY913" s="36"/>
      <c r="AZ913" s="30"/>
      <c r="BA913" s="30"/>
      <c r="BB913" s="30"/>
      <c r="BC913" s="30"/>
      <c r="BD913" s="30"/>
      <c r="BE913" s="30"/>
      <c r="BF913" s="30" t="s">
        <v>69</v>
      </c>
      <c r="BG913" s="30"/>
      <c r="BH913" s="30"/>
      <c r="BI913" s="30"/>
      <c r="BJ913" s="30"/>
      <c r="BK913" s="27"/>
      <c r="BL913" s="27"/>
    </row>
    <row r="914" spans="1:64">
      <c r="A914" s="68" t="s">
        <v>54</v>
      </c>
      <c r="B914" s="26">
        <v>46234</v>
      </c>
      <c r="C914" s="27">
        <v>30656</v>
      </c>
      <c r="D914" s="27"/>
      <c r="E914" s="27" t="s">
        <v>203</v>
      </c>
      <c r="F914" s="27" t="s">
        <v>59</v>
      </c>
      <c r="G914" s="27" t="s">
        <v>104</v>
      </c>
      <c r="H914" s="30" t="s">
        <v>862</v>
      </c>
      <c r="I914" s="31" t="s">
        <v>1399</v>
      </c>
      <c r="J914" s="30" t="s">
        <v>2129</v>
      </c>
      <c r="K914" s="27">
        <v>1</v>
      </c>
      <c r="L914" s="27" t="s">
        <v>205</v>
      </c>
      <c r="M914" s="27"/>
      <c r="N914" s="31" t="s">
        <v>507</v>
      </c>
      <c r="O914" s="27"/>
      <c r="P914" s="30"/>
      <c r="Q914" s="30" t="s">
        <v>66</v>
      </c>
      <c r="R914" s="62">
        <v>46236</v>
      </c>
      <c r="S914" s="26">
        <v>46237</v>
      </c>
      <c r="T914" s="31"/>
      <c r="U914" s="30" t="s">
        <v>68</v>
      </c>
      <c r="V914" s="34" t="s">
        <v>70</v>
      </c>
      <c r="W914" s="27" t="s">
        <v>208</v>
      </c>
      <c r="X914" s="30">
        <v>1</v>
      </c>
      <c r="Y914" s="30">
        <v>1</v>
      </c>
      <c r="Z914" s="30">
        <v>1</v>
      </c>
      <c r="AA914" s="30">
        <v>1</v>
      </c>
      <c r="AB914" s="30"/>
      <c r="AC914" s="30" t="s">
        <v>41</v>
      </c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6"/>
      <c r="AS914" s="36"/>
      <c r="AT914" s="36"/>
      <c r="AU914" s="36"/>
      <c r="AV914" s="36"/>
      <c r="AW914" s="36"/>
      <c r="AX914" s="36"/>
      <c r="AY914" s="36"/>
      <c r="AZ914" s="30"/>
      <c r="BA914" s="30"/>
      <c r="BB914" s="30"/>
      <c r="BC914" s="30"/>
      <c r="BD914" s="30"/>
      <c r="BE914" s="30"/>
      <c r="BF914" s="30" t="s">
        <v>507</v>
      </c>
      <c r="BG914" s="30"/>
      <c r="BH914" s="30"/>
      <c r="BI914" s="30"/>
      <c r="BJ914" s="30"/>
      <c r="BK914" s="27"/>
      <c r="BL914" s="27"/>
    </row>
    <row r="915" spans="1:64">
      <c r="A915" s="68" t="s">
        <v>54</v>
      </c>
      <c r="B915" s="26">
        <v>46234</v>
      </c>
      <c r="C915" s="27">
        <v>30653</v>
      </c>
      <c r="D915" s="27"/>
      <c r="E915" s="27" t="s">
        <v>203</v>
      </c>
      <c r="F915" s="27" t="s">
        <v>59</v>
      </c>
      <c r="G915" s="27" t="s">
        <v>104</v>
      </c>
      <c r="H915" s="30" t="s">
        <v>309</v>
      </c>
      <c r="I915" s="31" t="s">
        <v>632</v>
      </c>
      <c r="J915" s="30" t="s">
        <v>309</v>
      </c>
      <c r="K915" s="27">
        <v>1</v>
      </c>
      <c r="L915" s="27" t="s">
        <v>205</v>
      </c>
      <c r="M915" s="27"/>
      <c r="N915" s="31" t="s">
        <v>507</v>
      </c>
      <c r="O915" s="27"/>
      <c r="P915" s="30"/>
      <c r="Q915" s="30" t="s">
        <v>930</v>
      </c>
      <c r="R915" s="26">
        <v>46240</v>
      </c>
      <c r="S915" s="26">
        <v>46241</v>
      </c>
      <c r="T915" s="31"/>
      <c r="U915" s="30" t="s">
        <v>68</v>
      </c>
      <c r="V915" s="34" t="s">
        <v>70</v>
      </c>
      <c r="W915" s="27" t="s">
        <v>208</v>
      </c>
      <c r="X915" s="30">
        <v>3</v>
      </c>
      <c r="Y915" s="30">
        <v>1</v>
      </c>
      <c r="Z915" s="30">
        <v>1</v>
      </c>
      <c r="AA915" s="30"/>
      <c r="AB915" s="30"/>
      <c r="AC915" s="30"/>
      <c r="AD915" s="30"/>
      <c r="AE915" s="30"/>
      <c r="AF915" s="30" t="s">
        <v>507</v>
      </c>
      <c r="AG915" s="30" t="s">
        <v>41</v>
      </c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6"/>
      <c r="AS915" s="36"/>
      <c r="AT915" s="36"/>
      <c r="AU915" s="36"/>
      <c r="AV915" s="36"/>
      <c r="AW915" s="36"/>
      <c r="AX915" s="36"/>
      <c r="AY915" s="36"/>
      <c r="AZ915" s="30"/>
      <c r="BA915" s="30"/>
      <c r="BB915" s="30"/>
      <c r="BC915" s="30"/>
      <c r="BD915" s="30"/>
      <c r="BE915" s="30"/>
      <c r="BF915" s="30" t="s">
        <v>69</v>
      </c>
      <c r="BG915" s="30"/>
      <c r="BH915" s="30"/>
      <c r="BI915" s="30"/>
      <c r="BJ915" s="30"/>
      <c r="BK915" s="27"/>
      <c r="BL915" s="27"/>
    </row>
    <row r="916" spans="1:64">
      <c r="A916" s="68" t="s">
        <v>54</v>
      </c>
      <c r="B916" s="26">
        <v>46234</v>
      </c>
      <c r="C916" s="27">
        <v>30671</v>
      </c>
      <c r="D916" s="27"/>
      <c r="E916" s="27" t="s">
        <v>203</v>
      </c>
      <c r="F916" s="27" t="s">
        <v>59</v>
      </c>
      <c r="G916" s="27" t="s">
        <v>104</v>
      </c>
      <c r="H916" s="30" t="s">
        <v>383</v>
      </c>
      <c r="I916" s="31" t="s">
        <v>1407</v>
      </c>
      <c r="J916" s="30" t="s">
        <v>383</v>
      </c>
      <c r="K916" s="27">
        <v>1</v>
      </c>
      <c r="L916" s="27" t="s">
        <v>205</v>
      </c>
      <c r="M916" s="27"/>
      <c r="N916" s="31" t="s">
        <v>258</v>
      </c>
      <c r="O916" s="27"/>
      <c r="P916" s="30"/>
      <c r="Q916" s="30" t="s">
        <v>2130</v>
      </c>
      <c r="R916" s="26">
        <v>46235</v>
      </c>
      <c r="S916" s="26">
        <v>46235</v>
      </c>
      <c r="T916" s="31"/>
      <c r="U916" s="30" t="s">
        <v>68</v>
      </c>
      <c r="V916" s="34" t="s">
        <v>70</v>
      </c>
      <c r="W916" s="27" t="s">
        <v>208</v>
      </c>
      <c r="X916" s="30">
        <v>1</v>
      </c>
      <c r="Y916" s="30">
        <v>1</v>
      </c>
      <c r="Z916" s="30">
        <v>1</v>
      </c>
      <c r="AA916" s="30">
        <v>1</v>
      </c>
      <c r="AB916" s="30" t="s">
        <v>260</v>
      </c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6"/>
      <c r="AS916" s="36"/>
      <c r="AT916" s="36"/>
      <c r="AU916" s="36"/>
      <c r="AV916" s="36"/>
      <c r="AW916" s="36"/>
      <c r="AX916" s="36"/>
      <c r="AY916" s="36"/>
      <c r="AZ916" s="30"/>
      <c r="BA916" s="30"/>
      <c r="BB916" s="30"/>
      <c r="BC916" s="30"/>
      <c r="BD916" s="30"/>
      <c r="BE916" s="30"/>
      <c r="BF916" s="30" t="s">
        <v>69</v>
      </c>
      <c r="BG916" s="30"/>
      <c r="BH916" s="30"/>
      <c r="BI916" s="30"/>
      <c r="BJ916" s="30"/>
      <c r="BK916" s="27"/>
      <c r="BL916" s="27"/>
    </row>
    <row r="917" spans="1:64">
      <c r="A917" s="68" t="s">
        <v>54</v>
      </c>
      <c r="B917" s="26">
        <v>46234</v>
      </c>
      <c r="C917" s="27">
        <v>30674</v>
      </c>
      <c r="D917" s="27"/>
      <c r="E917" s="27" t="s">
        <v>233</v>
      </c>
      <c r="F917" s="27" t="s">
        <v>59</v>
      </c>
      <c r="G917" s="27" t="s">
        <v>104</v>
      </c>
      <c r="H917" s="30" t="s">
        <v>365</v>
      </c>
      <c r="I917" s="31" t="s">
        <v>2131</v>
      </c>
      <c r="J917" s="30" t="s">
        <v>365</v>
      </c>
      <c r="K917" s="27">
        <v>1</v>
      </c>
      <c r="L917" s="27" t="s">
        <v>205</v>
      </c>
      <c r="M917" s="27"/>
      <c r="N917" s="31" t="s">
        <v>81</v>
      </c>
      <c r="O917" s="27"/>
      <c r="P917" s="30"/>
      <c r="Q917" s="30" t="s">
        <v>66</v>
      </c>
      <c r="R917" s="26">
        <v>46237</v>
      </c>
      <c r="S917" s="62">
        <v>46238</v>
      </c>
      <c r="T917" s="31"/>
      <c r="U917" s="30" t="s">
        <v>68</v>
      </c>
      <c r="V917" s="34" t="s">
        <v>70</v>
      </c>
      <c r="W917" s="27" t="s">
        <v>208</v>
      </c>
      <c r="X917" s="30">
        <v>1</v>
      </c>
      <c r="Y917" s="30">
        <v>1</v>
      </c>
      <c r="Z917" s="30">
        <v>1</v>
      </c>
      <c r="AA917" s="30">
        <v>1</v>
      </c>
      <c r="AB917" s="30"/>
      <c r="AC917" s="30"/>
      <c r="AD917" s="30" t="s">
        <v>88</v>
      </c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6"/>
      <c r="AS917" s="36"/>
      <c r="AT917" s="36"/>
      <c r="AU917" s="36"/>
      <c r="AV917" s="36"/>
      <c r="AW917" s="36"/>
      <c r="AX917" s="36"/>
      <c r="AY917" s="36"/>
      <c r="AZ917" s="30"/>
      <c r="BA917" s="30"/>
      <c r="BB917" s="30"/>
      <c r="BC917" s="30"/>
      <c r="BD917" s="30"/>
      <c r="BE917" s="30"/>
      <c r="BF917" s="30" t="s">
        <v>69</v>
      </c>
      <c r="BG917" s="30"/>
      <c r="BH917" s="30"/>
      <c r="BI917" s="30"/>
      <c r="BJ917" s="30"/>
      <c r="BK917" s="27"/>
      <c r="BL917" s="27"/>
    </row>
    <row r="918" spans="1:64">
      <c r="A918" s="68" t="s">
        <v>54</v>
      </c>
      <c r="B918" s="26">
        <v>46234</v>
      </c>
      <c r="C918" s="27">
        <v>30666</v>
      </c>
      <c r="D918" s="27"/>
      <c r="E918" s="27" t="s">
        <v>212</v>
      </c>
      <c r="F918" s="27" t="s">
        <v>59</v>
      </c>
      <c r="G918" s="27" t="s">
        <v>104</v>
      </c>
      <c r="H918" s="30" t="s">
        <v>365</v>
      </c>
      <c r="I918" s="31" t="s">
        <v>2132</v>
      </c>
      <c r="J918" s="30" t="s">
        <v>365</v>
      </c>
      <c r="K918" s="27">
        <v>1</v>
      </c>
      <c r="L918" s="27" t="s">
        <v>205</v>
      </c>
      <c r="M918" s="27"/>
      <c r="N918" s="31" t="s">
        <v>81</v>
      </c>
      <c r="O918" s="27"/>
      <c r="P918" s="30"/>
      <c r="Q918" s="30" t="s">
        <v>2133</v>
      </c>
      <c r="R918" s="26">
        <v>46237</v>
      </c>
      <c r="S918" s="62">
        <v>46238</v>
      </c>
      <c r="T918" s="31"/>
      <c r="U918" s="30" t="s">
        <v>68</v>
      </c>
      <c r="V918" s="34" t="s">
        <v>70</v>
      </c>
      <c r="W918" s="27" t="s">
        <v>208</v>
      </c>
      <c r="X918" s="30"/>
      <c r="Y918" s="30"/>
      <c r="Z918" s="30"/>
      <c r="AA918" s="30">
        <v>1</v>
      </c>
      <c r="AB918" s="30"/>
      <c r="AC918" s="30"/>
      <c r="AD918" s="30" t="s">
        <v>88</v>
      </c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6"/>
      <c r="AS918" s="36"/>
      <c r="AT918" s="36"/>
      <c r="AU918" s="36"/>
      <c r="AV918" s="36"/>
      <c r="AW918" s="36"/>
      <c r="AX918" s="36"/>
      <c r="AY918" s="36"/>
      <c r="AZ918" s="30"/>
      <c r="BA918" s="30"/>
      <c r="BB918" s="30"/>
      <c r="BC918" s="30"/>
      <c r="BD918" s="30"/>
      <c r="BE918" s="30"/>
      <c r="BF918" s="30" t="s">
        <v>69</v>
      </c>
      <c r="BG918" s="30"/>
      <c r="BH918" s="30"/>
      <c r="BI918" s="30"/>
      <c r="BJ918" s="30"/>
      <c r="BK918" s="27"/>
      <c r="BL918" s="27"/>
    </row>
    <row r="919" spans="1:64">
      <c r="A919" s="68" t="s">
        <v>54</v>
      </c>
      <c r="B919" s="26">
        <v>46234</v>
      </c>
      <c r="C919" s="27">
        <v>30577</v>
      </c>
      <c r="D919" s="27"/>
      <c r="E919" s="27" t="s">
        <v>203</v>
      </c>
      <c r="F919" s="27" t="s">
        <v>59</v>
      </c>
      <c r="G919" s="27" t="s">
        <v>104</v>
      </c>
      <c r="H919" s="30" t="s">
        <v>378</v>
      </c>
      <c r="I919" s="31" t="s">
        <v>2134</v>
      </c>
      <c r="J919" s="30" t="s">
        <v>378</v>
      </c>
      <c r="K919" s="27">
        <v>1</v>
      </c>
      <c r="L919" s="27" t="s">
        <v>214</v>
      </c>
      <c r="M919" s="27"/>
      <c r="N919" s="31" t="s">
        <v>507</v>
      </c>
      <c r="O919" s="27"/>
      <c r="P919" s="30"/>
      <c r="Q919" s="30" t="s">
        <v>66</v>
      </c>
      <c r="R919" s="62">
        <v>46235</v>
      </c>
      <c r="S919" s="26">
        <v>46237</v>
      </c>
      <c r="T919" s="31"/>
      <c r="U919" s="30" t="s">
        <v>68</v>
      </c>
      <c r="V919" s="34" t="s">
        <v>70</v>
      </c>
      <c r="W919" s="27" t="s">
        <v>208</v>
      </c>
      <c r="X919" s="30">
        <v>1</v>
      </c>
      <c r="Y919" s="30">
        <v>1</v>
      </c>
      <c r="Z919" s="30">
        <v>1</v>
      </c>
      <c r="AA919" s="30">
        <v>1</v>
      </c>
      <c r="AB919" s="30" t="s">
        <v>41</v>
      </c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6"/>
      <c r="AS919" s="36"/>
      <c r="AT919" s="36"/>
      <c r="AU919" s="36"/>
      <c r="AV919" s="36"/>
      <c r="AW919" s="36"/>
      <c r="AX919" s="36"/>
      <c r="AY919" s="36"/>
      <c r="AZ919" s="30"/>
      <c r="BA919" s="30"/>
      <c r="BB919" s="30"/>
      <c r="BC919" s="30"/>
      <c r="BD919" s="30"/>
      <c r="BE919" s="30"/>
      <c r="BF919" s="30" t="s">
        <v>507</v>
      </c>
      <c r="BG919" s="30"/>
      <c r="BH919" s="30"/>
      <c r="BI919" s="30"/>
      <c r="BJ919" s="30"/>
      <c r="BK919" s="27"/>
      <c r="BL919" s="27"/>
    </row>
    <row r="920" spans="1:64">
      <c r="A920" s="68" t="s">
        <v>54</v>
      </c>
      <c r="B920" s="26">
        <v>46234</v>
      </c>
      <c r="C920" s="27">
        <v>30661</v>
      </c>
      <c r="D920" s="27"/>
      <c r="E920" s="27" t="s">
        <v>212</v>
      </c>
      <c r="F920" s="27" t="s">
        <v>59</v>
      </c>
      <c r="G920" s="27" t="s">
        <v>104</v>
      </c>
      <c r="H920" s="30" t="s">
        <v>365</v>
      </c>
      <c r="I920" s="31" t="s">
        <v>2135</v>
      </c>
      <c r="J920" s="30" t="s">
        <v>365</v>
      </c>
      <c r="K920" s="27">
        <v>1</v>
      </c>
      <c r="L920" s="27" t="s">
        <v>205</v>
      </c>
      <c r="M920" s="27"/>
      <c r="N920" s="31" t="s">
        <v>81</v>
      </c>
      <c r="O920" s="27"/>
      <c r="P920" s="30"/>
      <c r="Q920" s="30" t="s">
        <v>66</v>
      </c>
      <c r="R920" s="26">
        <v>46237</v>
      </c>
      <c r="S920" s="62">
        <v>46238</v>
      </c>
      <c r="T920" s="31"/>
      <c r="U920" s="30" t="s">
        <v>68</v>
      </c>
      <c r="V920" s="34" t="s">
        <v>70</v>
      </c>
      <c r="W920" s="27" t="s">
        <v>208</v>
      </c>
      <c r="X920" s="30">
        <v>1</v>
      </c>
      <c r="Y920" s="30">
        <v>1</v>
      </c>
      <c r="Z920" s="30">
        <v>1</v>
      </c>
      <c r="AA920" s="30">
        <v>1</v>
      </c>
      <c r="AB920" s="30"/>
      <c r="AC920" s="30"/>
      <c r="AD920" s="30" t="s">
        <v>88</v>
      </c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6"/>
      <c r="AS920" s="36"/>
      <c r="AT920" s="36"/>
      <c r="AU920" s="36"/>
      <c r="AV920" s="36"/>
      <c r="AW920" s="36"/>
      <c r="AX920" s="36"/>
      <c r="AY920" s="36"/>
      <c r="AZ920" s="30"/>
      <c r="BA920" s="30"/>
      <c r="BB920" s="30"/>
      <c r="BC920" s="30"/>
      <c r="BD920" s="30"/>
      <c r="BE920" s="30"/>
      <c r="BF920" s="30" t="s">
        <v>69</v>
      </c>
      <c r="BG920" s="30"/>
      <c r="BH920" s="30"/>
      <c r="BI920" s="30"/>
      <c r="BJ920" s="30"/>
      <c r="BK920" s="27"/>
      <c r="BL920" s="27"/>
    </row>
    <row r="921" spans="1:64">
      <c r="A921" s="68" t="s">
        <v>54</v>
      </c>
      <c r="B921" s="26">
        <v>46234</v>
      </c>
      <c r="C921" s="27">
        <v>30578</v>
      </c>
      <c r="D921" s="27"/>
      <c r="E921" s="27" t="s">
        <v>203</v>
      </c>
      <c r="F921" s="27" t="s">
        <v>59</v>
      </c>
      <c r="G921" s="27" t="s">
        <v>104</v>
      </c>
      <c r="H921" s="30" t="s">
        <v>365</v>
      </c>
      <c r="I921" s="31" t="s">
        <v>647</v>
      </c>
      <c r="J921" s="30" t="s">
        <v>365</v>
      </c>
      <c r="K921" s="27">
        <v>1</v>
      </c>
      <c r="L921" s="27" t="s">
        <v>205</v>
      </c>
      <c r="M921" s="27"/>
      <c r="N921" s="31" t="s">
        <v>81</v>
      </c>
      <c r="O921" s="27"/>
      <c r="P921" s="30"/>
      <c r="Q921" s="30" t="s">
        <v>2136</v>
      </c>
      <c r="R921" s="26">
        <v>46237</v>
      </c>
      <c r="S921" s="62">
        <v>46238</v>
      </c>
      <c r="T921" s="31"/>
      <c r="U921" s="30" t="s">
        <v>68</v>
      </c>
      <c r="V921" s="34" t="s">
        <v>70</v>
      </c>
      <c r="W921" s="27" t="s">
        <v>208</v>
      </c>
      <c r="X921" s="30"/>
      <c r="Y921" s="30"/>
      <c r="Z921" s="30"/>
      <c r="AA921" s="30">
        <v>1</v>
      </c>
      <c r="AB921" s="30"/>
      <c r="AC921" s="30"/>
      <c r="AD921" s="30" t="s">
        <v>88</v>
      </c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6"/>
      <c r="AS921" s="36"/>
      <c r="AT921" s="36"/>
      <c r="AU921" s="36"/>
      <c r="AV921" s="36"/>
      <c r="AW921" s="36"/>
      <c r="AX921" s="36"/>
      <c r="AY921" s="36"/>
      <c r="AZ921" s="30"/>
      <c r="BA921" s="30"/>
      <c r="BB921" s="30"/>
      <c r="BC921" s="30"/>
      <c r="BD921" s="30"/>
      <c r="BE921" s="30"/>
      <c r="BF921" s="30" t="s">
        <v>69</v>
      </c>
      <c r="BG921" s="30"/>
      <c r="BH921" s="30"/>
      <c r="BI921" s="30"/>
      <c r="BJ921" s="30"/>
      <c r="BK921" s="27"/>
      <c r="BL921" s="27"/>
    </row>
    <row r="922" spans="1:64">
      <c r="A922" s="68" t="s">
        <v>54</v>
      </c>
      <c r="B922" s="26">
        <v>46234</v>
      </c>
      <c r="C922" s="27">
        <v>30672</v>
      </c>
      <c r="D922" s="27"/>
      <c r="E922" s="27" t="s">
        <v>203</v>
      </c>
      <c r="F922" s="27" t="s">
        <v>59</v>
      </c>
      <c r="G922" s="27" t="s">
        <v>104</v>
      </c>
      <c r="H922" s="30" t="s">
        <v>383</v>
      </c>
      <c r="I922" s="31" t="s">
        <v>391</v>
      </c>
      <c r="J922" s="30" t="s">
        <v>383</v>
      </c>
      <c r="K922" s="27">
        <v>1</v>
      </c>
      <c r="L922" s="27" t="s">
        <v>205</v>
      </c>
      <c r="M922" s="27"/>
      <c r="N922" s="31" t="s">
        <v>258</v>
      </c>
      <c r="O922" s="27"/>
      <c r="P922" s="30"/>
      <c r="Q922" s="30" t="s">
        <v>2137</v>
      </c>
      <c r="R922" s="26">
        <v>46235</v>
      </c>
      <c r="S922" s="26">
        <v>46235</v>
      </c>
      <c r="T922" s="31"/>
      <c r="U922" s="30" t="s">
        <v>68</v>
      </c>
      <c r="V922" s="34" t="s">
        <v>70</v>
      </c>
      <c r="W922" s="27" t="s">
        <v>208</v>
      </c>
      <c r="X922" s="30">
        <v>1</v>
      </c>
      <c r="Y922" s="30">
        <v>1</v>
      </c>
      <c r="Z922" s="30">
        <v>1</v>
      </c>
      <c r="AA922" s="30">
        <v>1</v>
      </c>
      <c r="AB922" s="30" t="s">
        <v>260</v>
      </c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6"/>
      <c r="AS922" s="36"/>
      <c r="AT922" s="36"/>
      <c r="AU922" s="36"/>
      <c r="AV922" s="36"/>
      <c r="AW922" s="36"/>
      <c r="AX922" s="36"/>
      <c r="AY922" s="36"/>
      <c r="AZ922" s="30"/>
      <c r="BA922" s="30"/>
      <c r="BB922" s="30"/>
      <c r="BC922" s="30"/>
      <c r="BD922" s="30"/>
      <c r="BE922" s="30"/>
      <c r="BF922" s="30" t="s">
        <v>69</v>
      </c>
      <c r="BG922" s="30"/>
      <c r="BH922" s="30"/>
      <c r="BI922" s="30"/>
      <c r="BJ922" s="30"/>
      <c r="BK922" s="27"/>
      <c r="BL922" s="27"/>
    </row>
    <row r="923" spans="1:64">
      <c r="A923" s="68" t="s">
        <v>54</v>
      </c>
      <c r="B923" s="26">
        <v>46234</v>
      </c>
      <c r="C923" s="27">
        <v>30667</v>
      </c>
      <c r="D923" s="27"/>
      <c r="E923" s="27" t="s">
        <v>212</v>
      </c>
      <c r="F923" s="27" t="s">
        <v>59</v>
      </c>
      <c r="G923" s="27" t="s">
        <v>104</v>
      </c>
      <c r="H923" s="30" t="s">
        <v>60</v>
      </c>
      <c r="I923" s="31" t="s">
        <v>2138</v>
      </c>
      <c r="J923" s="30" t="s">
        <v>365</v>
      </c>
      <c r="K923" s="27">
        <v>1</v>
      </c>
      <c r="L923" s="27" t="s">
        <v>205</v>
      </c>
      <c r="M923" s="27"/>
      <c r="N923" s="31" t="s">
        <v>81</v>
      </c>
      <c r="O923" s="27"/>
      <c r="P923" s="30"/>
      <c r="Q923" s="30" t="s">
        <v>2139</v>
      </c>
      <c r="R923" s="26">
        <v>46237</v>
      </c>
      <c r="S923" s="26">
        <v>46238</v>
      </c>
      <c r="T923" s="31"/>
      <c r="U923" s="30" t="s">
        <v>68</v>
      </c>
      <c r="V923" s="34" t="s">
        <v>70</v>
      </c>
      <c r="W923" s="27" t="s">
        <v>208</v>
      </c>
      <c r="X923" s="30"/>
      <c r="Y923" s="30"/>
      <c r="Z923" s="30"/>
      <c r="AA923" s="30">
        <v>1</v>
      </c>
      <c r="AB923" s="30"/>
      <c r="AC923" s="30"/>
      <c r="AD923" s="30" t="s">
        <v>2043</v>
      </c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6"/>
      <c r="AS923" s="36"/>
      <c r="AT923" s="36"/>
      <c r="AU923" s="36"/>
      <c r="AV923" s="36"/>
      <c r="AW923" s="36"/>
      <c r="AX923" s="36"/>
      <c r="AY923" s="36"/>
      <c r="AZ923" s="30"/>
      <c r="BA923" s="30"/>
      <c r="BB923" s="30"/>
      <c r="BC923" s="30"/>
      <c r="BD923" s="30"/>
      <c r="BE923" s="30"/>
      <c r="BF923" s="30" t="s">
        <v>69</v>
      </c>
      <c r="BG923" s="30"/>
      <c r="BH923" s="30"/>
      <c r="BI923" s="30"/>
      <c r="BJ923" s="30"/>
      <c r="BK923" s="27"/>
      <c r="BL923" s="27"/>
    </row>
    <row r="924" spans="1:64">
      <c r="A924" s="68" t="s">
        <v>54</v>
      </c>
      <c r="B924" s="26">
        <v>46234</v>
      </c>
      <c r="C924" s="27">
        <v>30670</v>
      </c>
      <c r="D924" s="27"/>
      <c r="E924" s="27" t="s">
        <v>203</v>
      </c>
      <c r="F924" s="27" t="s">
        <v>59</v>
      </c>
      <c r="G924" s="27" t="s">
        <v>104</v>
      </c>
      <c r="H924" s="30" t="s">
        <v>378</v>
      </c>
      <c r="I924" s="31" t="s">
        <v>2140</v>
      </c>
      <c r="J924" s="30" t="s">
        <v>378</v>
      </c>
      <c r="K924" s="27">
        <v>1</v>
      </c>
      <c r="L924" s="27" t="s">
        <v>205</v>
      </c>
      <c r="M924" s="27"/>
      <c r="N924" s="31" t="s">
        <v>507</v>
      </c>
      <c r="O924" s="27"/>
      <c r="P924" s="30"/>
      <c r="Q924" s="30" t="s">
        <v>66</v>
      </c>
      <c r="R924" s="62">
        <v>46235</v>
      </c>
      <c r="S924" s="26">
        <v>46237</v>
      </c>
      <c r="T924" s="31"/>
      <c r="U924" s="30" t="s">
        <v>68</v>
      </c>
      <c r="V924" s="34" t="s">
        <v>70</v>
      </c>
      <c r="W924" s="27" t="s">
        <v>208</v>
      </c>
      <c r="X924" s="30">
        <v>1</v>
      </c>
      <c r="Y924" s="30">
        <v>1</v>
      </c>
      <c r="Z924" s="30">
        <v>1</v>
      </c>
      <c r="AA924" s="30">
        <v>1</v>
      </c>
      <c r="AB924" s="30" t="s">
        <v>41</v>
      </c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6"/>
      <c r="AS924" s="36"/>
      <c r="AT924" s="36"/>
      <c r="AU924" s="36"/>
      <c r="AV924" s="36"/>
      <c r="AW924" s="36"/>
      <c r="AX924" s="36"/>
      <c r="AY924" s="36"/>
      <c r="AZ924" s="30"/>
      <c r="BA924" s="30"/>
      <c r="BB924" s="30"/>
      <c r="BC924" s="30"/>
      <c r="BD924" s="30"/>
      <c r="BE924" s="30"/>
      <c r="BF924" s="30" t="s">
        <v>507</v>
      </c>
      <c r="BG924" s="30"/>
      <c r="BH924" s="30"/>
      <c r="BI924" s="30"/>
      <c r="BJ924" s="30"/>
      <c r="BK924" s="27"/>
      <c r="BL924" s="27"/>
    </row>
    <row r="925" spans="1:64">
      <c r="A925" s="68" t="s">
        <v>54</v>
      </c>
      <c r="B925" s="26">
        <v>46234</v>
      </c>
      <c r="C925" s="27">
        <v>30657</v>
      </c>
      <c r="D925" s="27"/>
      <c r="E925" s="27" t="s">
        <v>203</v>
      </c>
      <c r="F925" s="27" t="s">
        <v>59</v>
      </c>
      <c r="G925" s="27" t="s">
        <v>104</v>
      </c>
      <c r="H925" s="30" t="s">
        <v>365</v>
      </c>
      <c r="I925" s="31" t="s">
        <v>927</v>
      </c>
      <c r="J925" s="30" t="s">
        <v>365</v>
      </c>
      <c r="K925" s="27">
        <v>1</v>
      </c>
      <c r="L925" s="27" t="s">
        <v>205</v>
      </c>
      <c r="M925" s="27"/>
      <c r="N925" s="31" t="s">
        <v>81</v>
      </c>
      <c r="O925" s="27"/>
      <c r="P925" s="30"/>
      <c r="Q925" s="30" t="s">
        <v>66</v>
      </c>
      <c r="R925" s="26">
        <v>46237</v>
      </c>
      <c r="S925" s="62">
        <v>46238</v>
      </c>
      <c r="T925" s="31"/>
      <c r="U925" s="30" t="s">
        <v>68</v>
      </c>
      <c r="V925" s="34" t="s">
        <v>70</v>
      </c>
      <c r="W925" s="27" t="s">
        <v>208</v>
      </c>
      <c r="X925" s="30">
        <v>1</v>
      </c>
      <c r="Y925" s="30">
        <v>1</v>
      </c>
      <c r="Z925" s="30">
        <v>1</v>
      </c>
      <c r="AA925" s="30">
        <v>1</v>
      </c>
      <c r="AB925" s="30"/>
      <c r="AC925" s="30"/>
      <c r="AD925" s="30" t="s">
        <v>88</v>
      </c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6"/>
      <c r="AS925" s="36"/>
      <c r="AT925" s="36"/>
      <c r="AU925" s="36"/>
      <c r="AV925" s="36"/>
      <c r="AW925" s="36"/>
      <c r="AX925" s="36"/>
      <c r="AY925" s="36"/>
      <c r="AZ925" s="30"/>
      <c r="BA925" s="30"/>
      <c r="BB925" s="30"/>
      <c r="BC925" s="30"/>
      <c r="BD925" s="30"/>
      <c r="BE925" s="30"/>
      <c r="BF925" s="30" t="s">
        <v>69</v>
      </c>
      <c r="BG925" s="30"/>
      <c r="BH925" s="30"/>
      <c r="BI925" s="30"/>
      <c r="BJ925" s="30"/>
      <c r="BK925" s="27"/>
      <c r="BL925" s="27"/>
    </row>
    <row r="926" spans="1:64">
      <c r="A926" s="68" t="s">
        <v>54</v>
      </c>
      <c r="B926" s="26">
        <v>46234</v>
      </c>
      <c r="C926" s="27">
        <v>30654</v>
      </c>
      <c r="D926" s="27"/>
      <c r="E926" s="27" t="s">
        <v>203</v>
      </c>
      <c r="F926" s="27" t="s">
        <v>59</v>
      </c>
      <c r="G926" s="27" t="s">
        <v>104</v>
      </c>
      <c r="H926" s="30" t="s">
        <v>309</v>
      </c>
      <c r="I926" s="31" t="s">
        <v>1611</v>
      </c>
      <c r="J926" s="30" t="s">
        <v>309</v>
      </c>
      <c r="K926" s="27">
        <v>1</v>
      </c>
      <c r="L926" s="27" t="s">
        <v>205</v>
      </c>
      <c r="M926" s="27"/>
      <c r="N926" s="31" t="s">
        <v>507</v>
      </c>
      <c r="O926" s="27"/>
      <c r="P926" s="30"/>
      <c r="Q926" s="30" t="s">
        <v>930</v>
      </c>
      <c r="R926" s="26">
        <v>46240</v>
      </c>
      <c r="S926" s="26">
        <v>46241</v>
      </c>
      <c r="T926" s="31"/>
      <c r="U926" s="30" t="s">
        <v>68</v>
      </c>
      <c r="V926" s="34" t="s">
        <v>70</v>
      </c>
      <c r="W926" s="27" t="s">
        <v>208</v>
      </c>
      <c r="X926" s="30">
        <v>3</v>
      </c>
      <c r="Y926" s="30">
        <v>1</v>
      </c>
      <c r="Z926" s="30">
        <v>1</v>
      </c>
      <c r="AA926" s="30"/>
      <c r="AB926" s="30"/>
      <c r="AC926" s="30"/>
      <c r="AD926" s="30"/>
      <c r="AE926" s="30"/>
      <c r="AF926" s="30" t="s">
        <v>507</v>
      </c>
      <c r="AG926" s="30" t="s">
        <v>41</v>
      </c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6"/>
      <c r="AS926" s="36"/>
      <c r="AT926" s="36"/>
      <c r="AU926" s="36"/>
      <c r="AV926" s="36"/>
      <c r="AW926" s="36"/>
      <c r="AX926" s="36"/>
      <c r="AY926" s="36"/>
      <c r="AZ926" s="30"/>
      <c r="BA926" s="30"/>
      <c r="BB926" s="30"/>
      <c r="BC926" s="30"/>
      <c r="BD926" s="30"/>
      <c r="BE926" s="30"/>
      <c r="BF926" s="30" t="s">
        <v>69</v>
      </c>
      <c r="BG926" s="30"/>
      <c r="BH926" s="30"/>
      <c r="BI926" s="30"/>
      <c r="BJ926" s="30"/>
      <c r="BK926" s="27"/>
      <c r="BL926" s="27"/>
    </row>
    <row r="927" spans="1:64">
      <c r="A927" s="68" t="s">
        <v>54</v>
      </c>
      <c r="B927" s="26">
        <v>46234</v>
      </c>
      <c r="C927" s="27">
        <v>30660</v>
      </c>
      <c r="D927" s="27"/>
      <c r="E927" s="27" t="s">
        <v>212</v>
      </c>
      <c r="F927" s="27" t="s">
        <v>59</v>
      </c>
      <c r="G927" s="27" t="s">
        <v>104</v>
      </c>
      <c r="H927" s="30" t="s">
        <v>953</v>
      </c>
      <c r="I927" s="31" t="s">
        <v>2141</v>
      </c>
      <c r="J927" s="30" t="s">
        <v>953</v>
      </c>
      <c r="K927" s="27">
        <v>1</v>
      </c>
      <c r="L927" s="27" t="s">
        <v>205</v>
      </c>
      <c r="M927" s="27"/>
      <c r="N927" s="31" t="s">
        <v>94</v>
      </c>
      <c r="O927" s="27"/>
      <c r="P927" s="30"/>
      <c r="Q927" s="30" t="s">
        <v>66</v>
      </c>
      <c r="R927" s="26">
        <v>46240</v>
      </c>
      <c r="S927" s="26">
        <v>46241</v>
      </c>
      <c r="T927" s="31"/>
      <c r="U927" s="30" t="s">
        <v>68</v>
      </c>
      <c r="V927" s="34" t="s">
        <v>70</v>
      </c>
      <c r="W927" s="27" t="s">
        <v>208</v>
      </c>
      <c r="X927" s="30">
        <v>3</v>
      </c>
      <c r="Y927" s="30">
        <v>1</v>
      </c>
      <c r="Z927" s="30">
        <v>1</v>
      </c>
      <c r="AA927" s="30"/>
      <c r="AB927" s="30"/>
      <c r="AC927" s="30"/>
      <c r="AD927" s="30"/>
      <c r="AE927" s="30"/>
      <c r="AF927" s="30"/>
      <c r="AG927" s="30" t="s">
        <v>105</v>
      </c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6"/>
      <c r="AS927" s="36"/>
      <c r="AT927" s="36"/>
      <c r="AU927" s="36"/>
      <c r="AV927" s="36"/>
      <c r="AW927" s="36"/>
      <c r="AX927" s="36"/>
      <c r="AY927" s="36"/>
      <c r="AZ927" s="30"/>
      <c r="BA927" s="30"/>
      <c r="BB927" s="30"/>
      <c r="BC927" s="30"/>
      <c r="BD927" s="30"/>
      <c r="BE927" s="30"/>
      <c r="BF927" s="30" t="s">
        <v>69</v>
      </c>
      <c r="BG927" s="30"/>
      <c r="BH927" s="30"/>
      <c r="BI927" s="30"/>
      <c r="BJ927" s="30"/>
      <c r="BK927" s="27"/>
      <c r="BL927" s="27"/>
    </row>
    <row r="928" spans="1:64">
      <c r="A928" s="68" t="s">
        <v>54</v>
      </c>
      <c r="B928" s="26">
        <v>46234</v>
      </c>
      <c r="C928" s="27">
        <v>30658</v>
      </c>
      <c r="D928" s="27"/>
      <c r="E928" s="27" t="s">
        <v>212</v>
      </c>
      <c r="F928" s="27" t="s">
        <v>59</v>
      </c>
      <c r="G928" s="27" t="s">
        <v>104</v>
      </c>
      <c r="H928" s="30" t="s">
        <v>243</v>
      </c>
      <c r="I928" s="31" t="s">
        <v>2032</v>
      </c>
      <c r="J928" s="30" t="s">
        <v>243</v>
      </c>
      <c r="K928" s="27">
        <v>1</v>
      </c>
      <c r="L928" s="27" t="s">
        <v>205</v>
      </c>
      <c r="M928" s="27"/>
      <c r="N928" s="31" t="s">
        <v>94</v>
      </c>
      <c r="O928" s="27"/>
      <c r="P928" s="30"/>
      <c r="Q928" s="30" t="s">
        <v>2142</v>
      </c>
      <c r="R928" s="26">
        <v>46240</v>
      </c>
      <c r="S928" s="26">
        <v>46241</v>
      </c>
      <c r="T928" s="31"/>
      <c r="U928" s="30" t="s">
        <v>68</v>
      </c>
      <c r="V928" s="34" t="s">
        <v>70</v>
      </c>
      <c r="W928" s="27" t="s">
        <v>208</v>
      </c>
      <c r="X928" s="30"/>
      <c r="Y928" s="30"/>
      <c r="Z928" s="30"/>
      <c r="AA928" s="30"/>
      <c r="AB928" s="30"/>
      <c r="AC928" s="30"/>
      <c r="AD928" s="30"/>
      <c r="AE928" s="30"/>
      <c r="AF928" s="30"/>
      <c r="AG928" s="30" t="s">
        <v>105</v>
      </c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6"/>
      <c r="AS928" s="36"/>
      <c r="AT928" s="36"/>
      <c r="AU928" s="36"/>
      <c r="AV928" s="36"/>
      <c r="AW928" s="36"/>
      <c r="AX928" s="36"/>
      <c r="AY928" s="36"/>
      <c r="AZ928" s="30"/>
      <c r="BA928" s="30"/>
      <c r="BB928" s="30"/>
      <c r="BC928" s="30"/>
      <c r="BD928" s="30"/>
      <c r="BE928" s="30"/>
      <c r="BF928" s="30" t="s">
        <v>69</v>
      </c>
      <c r="BG928" s="30"/>
      <c r="BH928" s="30"/>
      <c r="BI928" s="30"/>
      <c r="BJ928" s="30"/>
      <c r="BK928" s="27"/>
      <c r="BL928" s="27"/>
    </row>
    <row r="929" spans="1:64">
      <c r="A929" s="68" t="s">
        <v>54</v>
      </c>
      <c r="B929" s="26">
        <v>46234</v>
      </c>
      <c r="C929" s="27">
        <v>30675</v>
      </c>
      <c r="D929" s="27"/>
      <c r="E929" s="27" t="s">
        <v>203</v>
      </c>
      <c r="F929" s="27" t="s">
        <v>59</v>
      </c>
      <c r="G929" s="27" t="s">
        <v>104</v>
      </c>
      <c r="H929" s="30" t="s">
        <v>378</v>
      </c>
      <c r="I929" s="31" t="s">
        <v>1401</v>
      </c>
      <c r="J929" s="30" t="s">
        <v>378</v>
      </c>
      <c r="K929" s="27">
        <v>1</v>
      </c>
      <c r="L929" s="27" t="s">
        <v>205</v>
      </c>
      <c r="M929" s="27"/>
      <c r="N929" s="31" t="s">
        <v>507</v>
      </c>
      <c r="O929" s="27"/>
      <c r="P929" s="30"/>
      <c r="Q929" s="30" t="s">
        <v>66</v>
      </c>
      <c r="R929" s="62">
        <v>46235</v>
      </c>
      <c r="S929" s="26">
        <v>46237</v>
      </c>
      <c r="T929" s="31"/>
      <c r="U929" s="30" t="s">
        <v>68</v>
      </c>
      <c r="V929" s="34" t="s">
        <v>70</v>
      </c>
      <c r="W929" s="27" t="s">
        <v>208</v>
      </c>
      <c r="X929" s="30">
        <v>1</v>
      </c>
      <c r="Y929" s="30">
        <v>1</v>
      </c>
      <c r="Z929" s="30">
        <v>1</v>
      </c>
      <c r="AA929" s="30">
        <v>1</v>
      </c>
      <c r="AB929" s="30" t="s">
        <v>41</v>
      </c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6"/>
      <c r="AS929" s="36"/>
      <c r="AT929" s="36"/>
      <c r="AU929" s="36"/>
      <c r="AV929" s="36"/>
      <c r="AW929" s="36"/>
      <c r="AX929" s="36"/>
      <c r="AY929" s="36"/>
      <c r="AZ929" s="30"/>
      <c r="BA929" s="30"/>
      <c r="BB929" s="30"/>
      <c r="BC929" s="30"/>
      <c r="BD929" s="30"/>
      <c r="BE929" s="30"/>
      <c r="BF929" s="30" t="s">
        <v>507</v>
      </c>
      <c r="BG929" s="30"/>
      <c r="BH929" s="30"/>
      <c r="BI929" s="30"/>
      <c r="BJ929" s="30"/>
      <c r="BK929" s="27"/>
      <c r="BL929" s="27"/>
    </row>
    <row r="930" spans="1:64">
      <c r="A930" s="68" t="s">
        <v>54</v>
      </c>
      <c r="B930" s="26">
        <v>46234</v>
      </c>
      <c r="C930" s="27">
        <v>30665</v>
      </c>
      <c r="D930" s="27"/>
      <c r="E930" s="27" t="s">
        <v>212</v>
      </c>
      <c r="F930" s="27" t="s">
        <v>59</v>
      </c>
      <c r="G930" s="27" t="s">
        <v>104</v>
      </c>
      <c r="H930" s="30" t="s">
        <v>309</v>
      </c>
      <c r="I930" s="31" t="s">
        <v>1608</v>
      </c>
      <c r="J930" s="30" t="s">
        <v>309</v>
      </c>
      <c r="K930" s="27">
        <v>1</v>
      </c>
      <c r="L930" s="27" t="s">
        <v>205</v>
      </c>
      <c r="M930" s="27"/>
      <c r="N930" s="31" t="s">
        <v>507</v>
      </c>
      <c r="O930" s="27"/>
      <c r="P930" s="30"/>
      <c r="Q930" s="30" t="s">
        <v>2143</v>
      </c>
      <c r="R930" s="26">
        <v>46240</v>
      </c>
      <c r="S930" s="26">
        <v>46241</v>
      </c>
      <c r="T930" s="31"/>
      <c r="U930" s="30" t="s">
        <v>68</v>
      </c>
      <c r="V930" s="34" t="s">
        <v>70</v>
      </c>
      <c r="W930" s="27" t="s">
        <v>208</v>
      </c>
      <c r="X930" s="30">
        <v>3</v>
      </c>
      <c r="Y930" s="30">
        <v>1</v>
      </c>
      <c r="Z930" s="30">
        <v>1</v>
      </c>
      <c r="AA930" s="30"/>
      <c r="AB930" s="30"/>
      <c r="AC930" s="30"/>
      <c r="AD930" s="30"/>
      <c r="AE930" s="30"/>
      <c r="AF930" s="30" t="s">
        <v>507</v>
      </c>
      <c r="AG930" s="30" t="s">
        <v>41</v>
      </c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6"/>
      <c r="AS930" s="36"/>
      <c r="AT930" s="36"/>
      <c r="AU930" s="36"/>
      <c r="AV930" s="36"/>
      <c r="AW930" s="36"/>
      <c r="AX930" s="36"/>
      <c r="AY930" s="36"/>
      <c r="AZ930" s="30"/>
      <c r="BA930" s="30"/>
      <c r="BB930" s="30"/>
      <c r="BC930" s="30"/>
      <c r="BD930" s="30"/>
      <c r="BE930" s="30"/>
      <c r="BF930" s="30" t="s">
        <v>69</v>
      </c>
      <c r="BG930" s="30"/>
      <c r="BH930" s="30"/>
      <c r="BI930" s="30"/>
      <c r="BJ930" s="30"/>
      <c r="BK930" s="27"/>
      <c r="BL930" s="27"/>
    </row>
    <row r="931" spans="1:64">
      <c r="A931" s="68" t="s">
        <v>54</v>
      </c>
      <c r="B931" s="26">
        <v>46234</v>
      </c>
      <c r="C931" s="27">
        <v>30669</v>
      </c>
      <c r="D931" s="27"/>
      <c r="E931" s="27" t="s">
        <v>203</v>
      </c>
      <c r="F931" s="27" t="s">
        <v>59</v>
      </c>
      <c r="G931" s="27" t="s">
        <v>104</v>
      </c>
      <c r="H931" s="30" t="s">
        <v>309</v>
      </c>
      <c r="I931" s="31" t="s">
        <v>222</v>
      </c>
      <c r="J931" s="30" t="s">
        <v>309</v>
      </c>
      <c r="K931" s="27">
        <v>1</v>
      </c>
      <c r="L931" s="27" t="s">
        <v>205</v>
      </c>
      <c r="M931" s="27"/>
      <c r="N931" s="31" t="s">
        <v>507</v>
      </c>
      <c r="O931" s="27"/>
      <c r="P931" s="30"/>
      <c r="Q931" s="30" t="s">
        <v>761</v>
      </c>
      <c r="R931" s="26">
        <v>46240</v>
      </c>
      <c r="S931" s="26">
        <v>46241</v>
      </c>
      <c r="T931" s="31"/>
      <c r="U931" s="30" t="s">
        <v>68</v>
      </c>
      <c r="V931" s="34" t="s">
        <v>70</v>
      </c>
      <c r="W931" s="27" t="s">
        <v>208</v>
      </c>
      <c r="X931" s="30">
        <v>3</v>
      </c>
      <c r="Y931" s="30">
        <v>1</v>
      </c>
      <c r="Z931" s="30">
        <v>1</v>
      </c>
      <c r="AA931" s="30">
        <v>1</v>
      </c>
      <c r="AB931" s="30"/>
      <c r="AC931" s="30"/>
      <c r="AD931" s="30"/>
      <c r="AE931" s="30"/>
      <c r="AF931" s="30" t="s">
        <v>507</v>
      </c>
      <c r="AG931" s="30" t="s">
        <v>41</v>
      </c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6"/>
      <c r="AS931" s="36"/>
      <c r="AT931" s="36"/>
      <c r="AU931" s="36"/>
      <c r="AV931" s="36"/>
      <c r="AW931" s="36"/>
      <c r="AX931" s="36"/>
      <c r="AY931" s="36"/>
      <c r="AZ931" s="30"/>
      <c r="BA931" s="30"/>
      <c r="BB931" s="30"/>
      <c r="BC931" s="30"/>
      <c r="BD931" s="30"/>
      <c r="BE931" s="30"/>
      <c r="BF931" s="30" t="s">
        <v>69</v>
      </c>
      <c r="BG931" s="30"/>
      <c r="BH931" s="30"/>
      <c r="BI931" s="30"/>
      <c r="BJ931" s="30"/>
      <c r="BK931" s="27"/>
      <c r="BL931" s="27"/>
    </row>
    <row r="932" spans="1:64">
      <c r="A932" s="68" t="s">
        <v>54</v>
      </c>
      <c r="B932" s="26">
        <v>46234</v>
      </c>
      <c r="C932" s="27">
        <v>30673</v>
      </c>
      <c r="D932" s="27"/>
      <c r="E932" s="27" t="s">
        <v>212</v>
      </c>
      <c r="F932" s="27" t="s">
        <v>59</v>
      </c>
      <c r="G932" s="27" t="s">
        <v>104</v>
      </c>
      <c r="H932" s="30" t="s">
        <v>383</v>
      </c>
      <c r="I932" s="31" t="s">
        <v>2144</v>
      </c>
      <c r="J932" s="30" t="s">
        <v>383</v>
      </c>
      <c r="K932" s="27">
        <v>1</v>
      </c>
      <c r="L932" s="27" t="s">
        <v>205</v>
      </c>
      <c r="M932" s="27"/>
      <c r="N932" s="31" t="s">
        <v>258</v>
      </c>
      <c r="O932" s="27"/>
      <c r="P932" s="30"/>
      <c r="Q932" s="30" t="s">
        <v>385</v>
      </c>
      <c r="R932" s="26">
        <v>46235</v>
      </c>
      <c r="S932" s="26">
        <v>46235</v>
      </c>
      <c r="T932" s="31"/>
      <c r="U932" s="30" t="s">
        <v>68</v>
      </c>
      <c r="V932" s="34" t="s">
        <v>70</v>
      </c>
      <c r="W932" s="27" t="s">
        <v>208</v>
      </c>
      <c r="X932" s="30">
        <v>1</v>
      </c>
      <c r="Y932" s="30">
        <v>1</v>
      </c>
      <c r="Z932" s="30">
        <v>1</v>
      </c>
      <c r="AA932" s="30">
        <v>1</v>
      </c>
      <c r="AB932" s="30" t="s">
        <v>260</v>
      </c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6"/>
      <c r="AS932" s="36"/>
      <c r="AT932" s="36"/>
      <c r="AU932" s="36"/>
      <c r="AV932" s="36"/>
      <c r="AW932" s="36"/>
      <c r="AX932" s="36"/>
      <c r="AY932" s="36"/>
      <c r="AZ932" s="30"/>
      <c r="BA932" s="30"/>
      <c r="BB932" s="30"/>
      <c r="BC932" s="30"/>
      <c r="BD932" s="30"/>
      <c r="BE932" s="30"/>
      <c r="BF932" s="30" t="s">
        <v>69</v>
      </c>
      <c r="BG932" s="30"/>
      <c r="BH932" s="30"/>
      <c r="BI932" s="30"/>
      <c r="BJ932" s="30"/>
      <c r="BK932" s="27"/>
      <c r="BL932" s="27"/>
    </row>
    <row r="933" spans="1:64">
      <c r="A933" s="68" t="s">
        <v>54</v>
      </c>
      <c r="B933" s="26">
        <v>46234</v>
      </c>
      <c r="C933" s="27">
        <v>30659</v>
      </c>
      <c r="D933" s="27"/>
      <c r="E933" s="27" t="s">
        <v>212</v>
      </c>
      <c r="F933" s="27" t="s">
        <v>59</v>
      </c>
      <c r="G933" s="27" t="s">
        <v>104</v>
      </c>
      <c r="H933" s="30" t="s">
        <v>243</v>
      </c>
      <c r="I933" s="31" t="s">
        <v>2145</v>
      </c>
      <c r="J933" s="30" t="s">
        <v>243</v>
      </c>
      <c r="K933" s="27">
        <v>1</v>
      </c>
      <c r="L933" s="27" t="s">
        <v>205</v>
      </c>
      <c r="M933" s="27"/>
      <c r="N933" s="31" t="s">
        <v>94</v>
      </c>
      <c r="O933" s="27"/>
      <c r="P933" s="30"/>
      <c r="Q933" s="30" t="s">
        <v>1052</v>
      </c>
      <c r="R933" s="26">
        <v>46240</v>
      </c>
      <c r="S933" s="26">
        <v>46241</v>
      </c>
      <c r="T933" s="31"/>
      <c r="U933" s="30" t="s">
        <v>68</v>
      </c>
      <c r="V933" s="34" t="s">
        <v>70</v>
      </c>
      <c r="W933" s="27" t="s">
        <v>208</v>
      </c>
      <c r="X933" s="30"/>
      <c r="Y933" s="30"/>
      <c r="Z933" s="30"/>
      <c r="AA933" s="30"/>
      <c r="AB933" s="30"/>
      <c r="AC933" s="30"/>
      <c r="AD933" s="30"/>
      <c r="AE933" s="30"/>
      <c r="AF933" s="30"/>
      <c r="AG933" s="30" t="s">
        <v>94</v>
      </c>
      <c r="AH933" s="30" t="s">
        <v>90</v>
      </c>
      <c r="AI933" s="30"/>
      <c r="AJ933" s="30"/>
      <c r="AK933" s="30"/>
      <c r="AL933" s="30"/>
      <c r="AM933" s="30"/>
      <c r="AN933" s="30"/>
      <c r="AO933" s="30"/>
      <c r="AP933" s="30"/>
      <c r="AQ933" s="30"/>
      <c r="AR933" s="36"/>
      <c r="AS933" s="36"/>
      <c r="AT933" s="36"/>
      <c r="AU933" s="36"/>
      <c r="AV933" s="36"/>
      <c r="AW933" s="36"/>
      <c r="AX933" s="36"/>
      <c r="AY933" s="36"/>
      <c r="AZ933" s="30"/>
      <c r="BA933" s="30"/>
      <c r="BB933" s="30"/>
      <c r="BC933" s="30"/>
      <c r="BD933" s="30"/>
      <c r="BE933" s="30"/>
      <c r="BF933" s="30" t="s">
        <v>69</v>
      </c>
      <c r="BG933" s="30"/>
      <c r="BH933" s="30"/>
      <c r="BI933" s="30"/>
      <c r="BJ933" s="30"/>
      <c r="BK933" s="27"/>
      <c r="BL933" s="27"/>
    </row>
    <row r="934" spans="1:64">
      <c r="A934" s="68" t="s">
        <v>54</v>
      </c>
      <c r="B934" s="26">
        <v>46234</v>
      </c>
      <c r="C934" s="27">
        <v>30579</v>
      </c>
      <c r="D934" s="27"/>
      <c r="E934" s="27" t="s">
        <v>212</v>
      </c>
      <c r="F934" s="27" t="s">
        <v>59</v>
      </c>
      <c r="G934" s="27" t="s">
        <v>104</v>
      </c>
      <c r="H934" s="30" t="s">
        <v>378</v>
      </c>
      <c r="I934" s="31" t="s">
        <v>2146</v>
      </c>
      <c r="J934" s="30" t="s">
        <v>378</v>
      </c>
      <c r="K934" s="27">
        <v>1</v>
      </c>
      <c r="L934" s="27" t="s">
        <v>214</v>
      </c>
      <c r="M934" s="27"/>
      <c r="N934" s="31" t="s">
        <v>507</v>
      </c>
      <c r="O934" s="27"/>
      <c r="P934" s="30"/>
      <c r="Q934" s="30" t="s">
        <v>66</v>
      </c>
      <c r="R934" s="62">
        <v>46235</v>
      </c>
      <c r="S934" s="26">
        <v>46237</v>
      </c>
      <c r="T934" s="31"/>
      <c r="U934" s="30" t="s">
        <v>68</v>
      </c>
      <c r="V934" s="34" t="s">
        <v>70</v>
      </c>
      <c r="W934" s="27" t="s">
        <v>208</v>
      </c>
      <c r="X934" s="30">
        <v>1</v>
      </c>
      <c r="Y934" s="30">
        <v>1</v>
      </c>
      <c r="Z934" s="30">
        <v>1</v>
      </c>
      <c r="AA934" s="30">
        <v>1</v>
      </c>
      <c r="AB934" s="30" t="s">
        <v>41</v>
      </c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6"/>
      <c r="AS934" s="36"/>
      <c r="AT934" s="36"/>
      <c r="AU934" s="36"/>
      <c r="AV934" s="36"/>
      <c r="AW934" s="36"/>
      <c r="AX934" s="36"/>
      <c r="AY934" s="36"/>
      <c r="AZ934" s="30"/>
      <c r="BA934" s="30"/>
      <c r="BB934" s="30"/>
      <c r="BC934" s="30"/>
      <c r="BD934" s="30"/>
      <c r="BE934" s="30"/>
      <c r="BF934" s="30" t="s">
        <v>507</v>
      </c>
      <c r="BG934" s="30"/>
      <c r="BH934" s="30"/>
      <c r="BI934" s="30"/>
      <c r="BJ934" s="30"/>
      <c r="BK934" s="27"/>
      <c r="BL934" s="27"/>
    </row>
    <row r="935" spans="1:64">
      <c r="A935" s="68" t="s">
        <v>54</v>
      </c>
      <c r="B935" s="26">
        <v>46234</v>
      </c>
      <c r="C935" s="27">
        <v>30576</v>
      </c>
      <c r="D935" s="27"/>
      <c r="E935" s="27" t="s">
        <v>212</v>
      </c>
      <c r="F935" s="27" t="s">
        <v>59</v>
      </c>
      <c r="G935" s="27" t="s">
        <v>104</v>
      </c>
      <c r="H935" s="30" t="s">
        <v>383</v>
      </c>
      <c r="I935" s="31" t="s">
        <v>874</v>
      </c>
      <c r="J935" s="30" t="s">
        <v>383</v>
      </c>
      <c r="K935" s="27">
        <v>1</v>
      </c>
      <c r="L935" s="27" t="s">
        <v>205</v>
      </c>
      <c r="M935" s="27"/>
      <c r="N935" s="31" t="s">
        <v>258</v>
      </c>
      <c r="O935" s="27"/>
      <c r="P935" s="30"/>
      <c r="Q935" s="30" t="s">
        <v>2147</v>
      </c>
      <c r="R935" s="26">
        <v>46235</v>
      </c>
      <c r="S935" s="26">
        <v>46235</v>
      </c>
      <c r="T935" s="31"/>
      <c r="U935" s="30" t="s">
        <v>68</v>
      </c>
      <c r="V935" s="34" t="s">
        <v>70</v>
      </c>
      <c r="W935" s="27" t="s">
        <v>208</v>
      </c>
      <c r="X935" s="30">
        <v>1</v>
      </c>
      <c r="Y935" s="30">
        <v>1</v>
      </c>
      <c r="Z935" s="30">
        <v>1</v>
      </c>
      <c r="AA935" s="30">
        <v>1</v>
      </c>
      <c r="AB935" s="30" t="s">
        <v>260</v>
      </c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6"/>
      <c r="AS935" s="36"/>
      <c r="AT935" s="36"/>
      <c r="AU935" s="36"/>
      <c r="AV935" s="36"/>
      <c r="AW935" s="36"/>
      <c r="AX935" s="36"/>
      <c r="AY935" s="36"/>
      <c r="AZ935" s="30"/>
      <c r="BA935" s="30"/>
      <c r="BB935" s="30"/>
      <c r="BC935" s="30"/>
      <c r="BD935" s="30"/>
      <c r="BE935" s="30"/>
      <c r="BF935" s="30" t="s">
        <v>69</v>
      </c>
      <c r="BG935" s="30"/>
      <c r="BH935" s="30"/>
      <c r="BI935" s="30"/>
      <c r="BJ935" s="30"/>
      <c r="BK935" s="27"/>
      <c r="BL935" s="27"/>
    </row>
    <row r="936" spans="1:64">
      <c r="A936" s="68" t="s">
        <v>187</v>
      </c>
      <c r="B936" s="26">
        <v>46234</v>
      </c>
      <c r="C936" s="27">
        <v>30655</v>
      </c>
      <c r="D936" s="27"/>
      <c r="E936" s="27" t="s">
        <v>203</v>
      </c>
      <c r="F936" s="27" t="s">
        <v>59</v>
      </c>
      <c r="G936" s="27" t="s">
        <v>104</v>
      </c>
      <c r="H936" s="30" t="s">
        <v>538</v>
      </c>
      <c r="I936" s="31" t="s">
        <v>2148</v>
      </c>
      <c r="J936" s="30" t="s">
        <v>538</v>
      </c>
      <c r="K936" s="27">
        <v>1</v>
      </c>
      <c r="L936" s="27" t="s">
        <v>205</v>
      </c>
      <c r="M936" s="27"/>
      <c r="N936" s="31" t="s">
        <v>154</v>
      </c>
      <c r="O936" s="27"/>
      <c r="P936" s="30"/>
      <c r="Q936" s="30" t="s">
        <v>645</v>
      </c>
      <c r="R936" s="26">
        <v>46240</v>
      </c>
      <c r="S936" s="26">
        <v>46241</v>
      </c>
      <c r="T936" s="31"/>
      <c r="U936" s="30" t="s">
        <v>68</v>
      </c>
      <c r="V936" s="34" t="s">
        <v>70</v>
      </c>
      <c r="W936" s="27" t="s">
        <v>208</v>
      </c>
      <c r="X936" s="30">
        <v>1</v>
      </c>
      <c r="Y936" s="30">
        <v>1</v>
      </c>
      <c r="Z936" s="30">
        <v>1</v>
      </c>
      <c r="AA936" s="30"/>
      <c r="AB936" s="30"/>
      <c r="AC936" s="30"/>
      <c r="AD936" s="30"/>
      <c r="AE936" s="30"/>
      <c r="AF936" s="30"/>
      <c r="AG936" s="30" t="s">
        <v>157</v>
      </c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6"/>
      <c r="AS936" s="36"/>
      <c r="AT936" s="36"/>
      <c r="AU936" s="36"/>
      <c r="AV936" s="36"/>
      <c r="AW936" s="36"/>
      <c r="AX936" s="36"/>
      <c r="AY936" s="36"/>
      <c r="AZ936" s="30"/>
      <c r="BA936" s="30"/>
      <c r="BB936" s="30"/>
      <c r="BC936" s="30"/>
      <c r="BD936" s="30"/>
      <c r="BE936" s="30"/>
      <c r="BF936" s="30" t="s">
        <v>69</v>
      </c>
      <c r="BG936" s="30"/>
      <c r="BH936" s="30"/>
      <c r="BI936" s="30"/>
      <c r="BJ936" s="30"/>
      <c r="BK936" s="27"/>
      <c r="BL936" s="27"/>
    </row>
    <row r="937" spans="1:64">
      <c r="A937" s="68" t="s">
        <v>54</v>
      </c>
      <c r="B937" s="26">
        <v>46234</v>
      </c>
      <c r="C937" s="27">
        <v>29990</v>
      </c>
      <c r="D937" s="27"/>
      <c r="E937" s="27" t="s">
        <v>497</v>
      </c>
      <c r="F937" s="27" t="s">
        <v>59</v>
      </c>
      <c r="G937" s="27" t="s">
        <v>104</v>
      </c>
      <c r="H937" s="30" t="s">
        <v>2149</v>
      </c>
      <c r="I937" s="31" t="s">
        <v>2150</v>
      </c>
      <c r="J937" s="30" t="s">
        <v>2151</v>
      </c>
      <c r="K937" s="27" t="s">
        <v>2152</v>
      </c>
      <c r="L937" s="27"/>
      <c r="M937" s="27"/>
      <c r="N937" s="31"/>
      <c r="O937" s="27" t="s">
        <v>2153</v>
      </c>
      <c r="P937" s="30"/>
      <c r="Q937" s="30"/>
      <c r="R937" s="27"/>
      <c r="S937" s="27"/>
      <c r="T937" s="31"/>
      <c r="U937" s="30" t="s">
        <v>626</v>
      </c>
      <c r="V937" s="34" t="s">
        <v>627</v>
      </c>
      <c r="W937" s="27" t="s">
        <v>497</v>
      </c>
      <c r="X937" s="30"/>
      <c r="Y937" s="30"/>
      <c r="Z937" s="30"/>
      <c r="AA937" s="30"/>
      <c r="AB937" s="30"/>
      <c r="AC937" s="30"/>
      <c r="AD937" s="30"/>
      <c r="AE937" s="30" t="s">
        <v>2154</v>
      </c>
      <c r="AF937" s="30"/>
      <c r="AG937" s="30"/>
      <c r="AH937" s="30"/>
      <c r="AI937" s="30" t="s">
        <v>2155</v>
      </c>
      <c r="AJ937" s="30"/>
      <c r="AK937" s="30"/>
      <c r="AL937" s="30"/>
      <c r="AM937" s="30"/>
      <c r="AN937" s="30"/>
      <c r="AO937" s="30"/>
      <c r="AP937" s="30"/>
      <c r="AQ937" s="30"/>
      <c r="AR937" s="36"/>
      <c r="AS937" s="36"/>
      <c r="AT937" s="36"/>
      <c r="AU937" s="36"/>
      <c r="AV937" s="36" t="s">
        <v>2156</v>
      </c>
      <c r="AW937" s="36"/>
      <c r="AX937" s="36"/>
      <c r="AY937" s="36"/>
      <c r="AZ937" s="30"/>
      <c r="BA937" s="30"/>
      <c r="BB937" s="30"/>
      <c r="BC937" s="30"/>
      <c r="BD937" s="30"/>
      <c r="BE937" s="30"/>
      <c r="BF937" s="30" t="s">
        <v>69</v>
      </c>
      <c r="BG937" s="30"/>
      <c r="BH937" s="30"/>
      <c r="BI937" s="30"/>
      <c r="BJ937" s="30"/>
      <c r="BK937" s="27"/>
      <c r="BL937" s="27"/>
    </row>
    <row r="938" spans="1:64">
      <c r="A938" s="68" t="s">
        <v>54</v>
      </c>
      <c r="B938" s="26">
        <v>46234</v>
      </c>
      <c r="C938" s="27"/>
      <c r="D938" s="27">
        <v>44997</v>
      </c>
      <c r="E938" s="27" t="s">
        <v>284</v>
      </c>
      <c r="F938" s="27" t="s">
        <v>48</v>
      </c>
      <c r="G938" s="27" t="s">
        <v>110</v>
      </c>
      <c r="H938" s="30" t="s">
        <v>1091</v>
      </c>
      <c r="I938" s="31" t="s">
        <v>2157</v>
      </c>
      <c r="J938" s="30" t="s">
        <v>2158</v>
      </c>
      <c r="K938" s="27">
        <v>1</v>
      </c>
      <c r="L938" s="27">
        <v>13</v>
      </c>
      <c r="M938" s="27">
        <v>28.32</v>
      </c>
      <c r="N938" s="31" t="s">
        <v>115</v>
      </c>
      <c r="O938" s="27"/>
      <c r="P938" s="30"/>
      <c r="Q938" s="30" t="s">
        <v>66</v>
      </c>
      <c r="R938" s="26">
        <v>46237</v>
      </c>
      <c r="S938" s="27"/>
      <c r="T938" s="31"/>
      <c r="U938" s="30" t="s">
        <v>419</v>
      </c>
      <c r="V938" s="34" t="s">
        <v>90</v>
      </c>
      <c r="W938" s="27" t="s">
        <v>284</v>
      </c>
      <c r="X938" s="30">
        <v>1</v>
      </c>
      <c r="Y938" s="30">
        <v>1</v>
      </c>
      <c r="Z938" s="30">
        <v>1</v>
      </c>
      <c r="AA938" s="30"/>
      <c r="AB938" s="30"/>
      <c r="AC938" s="30" t="s">
        <v>115</v>
      </c>
      <c r="AD938" s="30" t="s">
        <v>41</v>
      </c>
      <c r="AE938" s="30"/>
      <c r="AF938" s="30"/>
      <c r="AG938" s="30"/>
      <c r="AH938" s="30"/>
      <c r="AI938" s="61"/>
      <c r="AJ938" s="30"/>
      <c r="AK938" s="30"/>
      <c r="AL938" s="30"/>
      <c r="AM938" s="30"/>
      <c r="AN938" s="30"/>
      <c r="AO938" s="30"/>
      <c r="AP938" s="30"/>
      <c r="AQ938" s="30"/>
      <c r="AR938" s="36"/>
      <c r="AS938" s="36"/>
      <c r="AT938" s="36"/>
      <c r="AU938" s="36"/>
      <c r="AV938" s="61"/>
      <c r="AW938" s="36"/>
      <c r="AX938" s="36"/>
      <c r="AY938" s="36"/>
      <c r="AZ938" s="30"/>
      <c r="BA938" s="30"/>
      <c r="BB938" s="30"/>
      <c r="BC938" s="30"/>
      <c r="BD938" s="30"/>
      <c r="BE938" s="30"/>
      <c r="BF938" s="30" t="s">
        <v>2159</v>
      </c>
      <c r="BG938" s="30"/>
      <c r="BH938" s="30"/>
      <c r="BI938" s="30"/>
      <c r="BJ938" s="30"/>
      <c r="BK938" s="27"/>
      <c r="BL938" s="27"/>
    </row>
    <row r="939" spans="1:64">
      <c r="A939" s="68" t="s">
        <v>54</v>
      </c>
      <c r="B939" s="26">
        <v>46234</v>
      </c>
      <c r="C939" s="27"/>
      <c r="D939" s="27">
        <v>45406</v>
      </c>
      <c r="E939" s="27" t="s">
        <v>284</v>
      </c>
      <c r="F939" s="27" t="s">
        <v>48</v>
      </c>
      <c r="G939" s="27" t="s">
        <v>110</v>
      </c>
      <c r="H939" s="30" t="s">
        <v>309</v>
      </c>
      <c r="I939" s="31" t="s">
        <v>2160</v>
      </c>
      <c r="J939" s="30" t="s">
        <v>2161</v>
      </c>
      <c r="K939" s="27">
        <v>1</v>
      </c>
      <c r="L939" s="27">
        <v>7</v>
      </c>
      <c r="M939" s="27">
        <v>2.75</v>
      </c>
      <c r="N939" s="31" t="s">
        <v>507</v>
      </c>
      <c r="O939" s="27"/>
      <c r="P939" s="30"/>
      <c r="Q939" s="30" t="s">
        <v>2162</v>
      </c>
      <c r="R939" s="26">
        <v>46240</v>
      </c>
      <c r="S939" s="26">
        <v>46241</v>
      </c>
      <c r="T939" s="31"/>
      <c r="U939" s="30" t="s">
        <v>68</v>
      </c>
      <c r="V939" s="34" t="s">
        <v>70</v>
      </c>
      <c r="W939" s="27" t="s">
        <v>284</v>
      </c>
      <c r="X939" s="30">
        <v>1</v>
      </c>
      <c r="Y939" s="30">
        <v>1</v>
      </c>
      <c r="Z939" s="30">
        <v>1</v>
      </c>
      <c r="AA939" s="30"/>
      <c r="AB939" s="30"/>
      <c r="AC939" s="30" t="s">
        <v>69</v>
      </c>
      <c r="AD939" s="30"/>
      <c r="AE939" s="30"/>
      <c r="AF939" s="30" t="s">
        <v>507</v>
      </c>
      <c r="AG939" s="30" t="s">
        <v>41</v>
      </c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6"/>
      <c r="AS939" s="36"/>
      <c r="AT939" s="36"/>
      <c r="AU939" s="36"/>
      <c r="AV939" s="36"/>
      <c r="AW939" s="36"/>
      <c r="AX939" s="36"/>
      <c r="AY939" s="36"/>
      <c r="AZ939" s="30"/>
      <c r="BA939" s="30"/>
      <c r="BB939" s="30"/>
      <c r="BC939" s="30"/>
      <c r="BD939" s="30"/>
      <c r="BE939" s="30"/>
      <c r="BF939" s="30" t="s">
        <v>2159</v>
      </c>
      <c r="BG939" s="30"/>
      <c r="BH939" s="30"/>
      <c r="BI939" s="30"/>
      <c r="BJ939" s="30"/>
      <c r="BK939" s="27"/>
      <c r="BL939" s="27"/>
    </row>
    <row r="940" spans="1:64">
      <c r="A940" s="68" t="s">
        <v>54</v>
      </c>
      <c r="B940" s="26">
        <v>46234</v>
      </c>
      <c r="C940" s="27"/>
      <c r="D940" s="27">
        <v>42281</v>
      </c>
      <c r="E940" s="27" t="s">
        <v>284</v>
      </c>
      <c r="F940" s="27" t="s">
        <v>48</v>
      </c>
      <c r="G940" s="27" t="s">
        <v>110</v>
      </c>
      <c r="H940" s="30" t="s">
        <v>767</v>
      </c>
      <c r="I940" s="31" t="s">
        <v>2163</v>
      </c>
      <c r="J940" s="30" t="s">
        <v>2164</v>
      </c>
      <c r="K940" s="27">
        <v>1</v>
      </c>
      <c r="L940" s="27">
        <v>76</v>
      </c>
      <c r="M940" s="27">
        <v>128.63999999999999</v>
      </c>
      <c r="N940" s="31" t="s">
        <v>507</v>
      </c>
      <c r="O940" s="27"/>
      <c r="P940" s="30"/>
      <c r="Q940" s="30" t="s">
        <v>66</v>
      </c>
      <c r="R940" s="26">
        <v>46238</v>
      </c>
      <c r="S940" s="26">
        <v>46239</v>
      </c>
      <c r="T940" s="31"/>
      <c r="U940" s="30" t="s">
        <v>68</v>
      </c>
      <c r="V940" s="34" t="s">
        <v>70</v>
      </c>
      <c r="W940" s="27" t="s">
        <v>284</v>
      </c>
      <c r="X940" s="30">
        <v>1</v>
      </c>
      <c r="Y940" s="30">
        <v>1</v>
      </c>
      <c r="Z940" s="30">
        <v>1</v>
      </c>
      <c r="AA940" s="30">
        <v>1</v>
      </c>
      <c r="AB940" s="30"/>
      <c r="AC940" s="30" t="s">
        <v>69</v>
      </c>
      <c r="AD940" s="30"/>
      <c r="AE940" s="30" t="s">
        <v>509</v>
      </c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6"/>
      <c r="AS940" s="36"/>
      <c r="AT940" s="36"/>
      <c r="AU940" s="36"/>
      <c r="AV940" s="36"/>
      <c r="AW940" s="36"/>
      <c r="AX940" s="36"/>
      <c r="AY940" s="36"/>
      <c r="AZ940" s="30"/>
      <c r="BA940" s="30"/>
      <c r="BB940" s="30"/>
      <c r="BC940" s="30"/>
      <c r="BD940" s="30"/>
      <c r="BE940" s="30"/>
      <c r="BF940" s="30" t="s">
        <v>2159</v>
      </c>
      <c r="BG940" s="30"/>
      <c r="BH940" s="30"/>
      <c r="BI940" s="30"/>
      <c r="BJ940" s="30"/>
      <c r="BK940" s="27"/>
      <c r="BL940" s="27"/>
    </row>
    <row r="941" spans="1:64">
      <c r="A941" s="68" t="s">
        <v>54</v>
      </c>
      <c r="B941" s="26">
        <v>46234</v>
      </c>
      <c r="C941" s="27"/>
      <c r="D941" s="27">
        <v>44994</v>
      </c>
      <c r="E941" s="27" t="s">
        <v>284</v>
      </c>
      <c r="F941" s="27" t="s">
        <v>48</v>
      </c>
      <c r="G941" s="27" t="s">
        <v>110</v>
      </c>
      <c r="H941" s="30" t="s">
        <v>294</v>
      </c>
      <c r="I941" s="31" t="s">
        <v>2165</v>
      </c>
      <c r="J941" s="30" t="s">
        <v>2166</v>
      </c>
      <c r="K941" s="27">
        <v>1</v>
      </c>
      <c r="L941" s="27">
        <v>110</v>
      </c>
      <c r="M941" s="27">
        <v>101.673</v>
      </c>
      <c r="N941" s="31" t="s">
        <v>81</v>
      </c>
      <c r="O941" s="27"/>
      <c r="P941" s="30"/>
      <c r="Q941" s="30" t="s">
        <v>66</v>
      </c>
      <c r="R941" s="26">
        <v>46237</v>
      </c>
      <c r="S941" s="62">
        <v>46238</v>
      </c>
      <c r="T941" s="31"/>
      <c r="U941" s="30" t="s">
        <v>68</v>
      </c>
      <c r="V941" s="34" t="s">
        <v>70</v>
      </c>
      <c r="W941" s="27" t="s">
        <v>284</v>
      </c>
      <c r="X941" s="30">
        <v>1</v>
      </c>
      <c r="Y941" s="30">
        <v>1</v>
      </c>
      <c r="Z941" s="30">
        <v>1</v>
      </c>
      <c r="AA941" s="30">
        <v>1</v>
      </c>
      <c r="AB941" s="30"/>
      <c r="AC941" s="30" t="s">
        <v>69</v>
      </c>
      <c r="AD941" s="30" t="s">
        <v>88</v>
      </c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6"/>
      <c r="AS941" s="36"/>
      <c r="AT941" s="36"/>
      <c r="AU941" s="36"/>
      <c r="AV941" s="36"/>
      <c r="AW941" s="36"/>
      <c r="AX941" s="36"/>
      <c r="AY941" s="36"/>
      <c r="AZ941" s="30"/>
      <c r="BA941" s="30"/>
      <c r="BB941" s="30"/>
      <c r="BC941" s="30"/>
      <c r="BD941" s="30"/>
      <c r="BE941" s="30"/>
      <c r="BF941" s="30" t="s">
        <v>2159</v>
      </c>
      <c r="BG941" s="30"/>
      <c r="BH941" s="30"/>
      <c r="BI941" s="30"/>
      <c r="BJ941" s="30"/>
      <c r="BK941" s="27"/>
      <c r="BL941" s="27"/>
    </row>
    <row r="942" spans="1:64">
      <c r="A942" s="68" t="s">
        <v>54</v>
      </c>
      <c r="B942" s="26">
        <v>46234</v>
      </c>
      <c r="C942" s="27"/>
      <c r="D942" s="27">
        <v>45105</v>
      </c>
      <c r="E942" s="27" t="s">
        <v>284</v>
      </c>
      <c r="F942" s="27" t="s">
        <v>48</v>
      </c>
      <c r="G942" s="27" t="s">
        <v>110</v>
      </c>
      <c r="H942" s="30" t="s">
        <v>383</v>
      </c>
      <c r="I942" s="31" t="s">
        <v>1876</v>
      </c>
      <c r="J942" s="30" t="s">
        <v>2167</v>
      </c>
      <c r="K942" s="27">
        <v>5</v>
      </c>
      <c r="L942" s="27">
        <v>1109</v>
      </c>
      <c r="M942" s="27"/>
      <c r="N942" s="31" t="s">
        <v>2124</v>
      </c>
      <c r="O942" s="27"/>
      <c r="P942" s="30"/>
      <c r="Q942" s="30" t="s">
        <v>66</v>
      </c>
      <c r="R942" s="26">
        <v>46237</v>
      </c>
      <c r="S942" s="62">
        <v>46238</v>
      </c>
      <c r="T942" s="31"/>
      <c r="U942" s="30" t="s">
        <v>68</v>
      </c>
      <c r="V942" s="34" t="s">
        <v>70</v>
      </c>
      <c r="W942" s="27" t="s">
        <v>284</v>
      </c>
      <c r="X942" s="30">
        <v>1</v>
      </c>
      <c r="Y942" s="30">
        <v>1</v>
      </c>
      <c r="Z942" s="30">
        <v>1</v>
      </c>
      <c r="AA942" s="30">
        <v>1</v>
      </c>
      <c r="AB942" s="30"/>
      <c r="AC942" s="30" t="s">
        <v>69</v>
      </c>
      <c r="AD942" s="30" t="s">
        <v>2125</v>
      </c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6"/>
      <c r="AS942" s="36"/>
      <c r="AT942" s="36"/>
      <c r="AU942" s="36"/>
      <c r="AV942" s="36"/>
      <c r="AW942" s="36"/>
      <c r="AX942" s="36"/>
      <c r="AY942" s="36"/>
      <c r="AZ942" s="30"/>
      <c r="BA942" s="30"/>
      <c r="BB942" s="30"/>
      <c r="BC942" s="30"/>
      <c r="BD942" s="30"/>
      <c r="BE942" s="30"/>
      <c r="BF942" s="30" t="s">
        <v>2159</v>
      </c>
      <c r="BG942" s="30"/>
      <c r="BH942" s="30"/>
      <c r="BI942" s="30"/>
      <c r="BJ942" s="30"/>
      <c r="BK942" s="27"/>
      <c r="BL942" s="27"/>
    </row>
    <row r="943" spans="1:64">
      <c r="A943" s="68" t="s">
        <v>54</v>
      </c>
      <c r="B943" s="26">
        <v>46234</v>
      </c>
      <c r="C943" s="27"/>
      <c r="D943" s="27">
        <v>45044</v>
      </c>
      <c r="E943" s="27" t="s">
        <v>284</v>
      </c>
      <c r="F943" s="27" t="s">
        <v>48</v>
      </c>
      <c r="G943" s="27" t="s">
        <v>110</v>
      </c>
      <c r="H943" s="30" t="s">
        <v>104</v>
      </c>
      <c r="I943" s="31" t="s">
        <v>2168</v>
      </c>
      <c r="J943" s="30" t="s">
        <v>2169</v>
      </c>
      <c r="K943" s="27">
        <v>3</v>
      </c>
      <c r="L943" s="27">
        <v>33</v>
      </c>
      <c r="M943" s="27">
        <v>21.64</v>
      </c>
      <c r="N943" s="31" t="s">
        <v>507</v>
      </c>
      <c r="O943" s="27"/>
      <c r="P943" s="30"/>
      <c r="Q943" s="30" t="s">
        <v>66</v>
      </c>
      <c r="R943" s="26">
        <v>46237</v>
      </c>
      <c r="S943" s="26">
        <v>46238</v>
      </c>
      <c r="T943" s="31"/>
      <c r="U943" s="30" t="s">
        <v>68</v>
      </c>
      <c r="V943" s="34" t="s">
        <v>70</v>
      </c>
      <c r="W943" s="27" t="s">
        <v>284</v>
      </c>
      <c r="X943" s="30">
        <v>1</v>
      </c>
      <c r="Y943" s="30">
        <v>1</v>
      </c>
      <c r="Z943" s="30">
        <v>1</v>
      </c>
      <c r="AA943" s="30">
        <v>1</v>
      </c>
      <c r="AB943" s="30"/>
      <c r="AC943" s="30" t="s">
        <v>69</v>
      </c>
      <c r="AD943" s="30" t="s">
        <v>509</v>
      </c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6"/>
      <c r="AS943" s="36"/>
      <c r="AT943" s="36"/>
      <c r="AU943" s="36"/>
      <c r="AV943" s="36"/>
      <c r="AW943" s="36"/>
      <c r="AX943" s="36"/>
      <c r="AY943" s="36"/>
      <c r="AZ943" s="30"/>
      <c r="BA943" s="30"/>
      <c r="BB943" s="30"/>
      <c r="BC943" s="30"/>
      <c r="BD943" s="30"/>
      <c r="BE943" s="30"/>
      <c r="BF943" s="30" t="s">
        <v>2159</v>
      </c>
      <c r="BG943" s="30"/>
      <c r="BH943" s="30"/>
      <c r="BI943" s="30"/>
      <c r="BJ943" s="30"/>
      <c r="BK943" s="27"/>
      <c r="BL943" s="27"/>
    </row>
    <row r="944" spans="1:64">
      <c r="A944" s="68" t="s">
        <v>54</v>
      </c>
      <c r="B944" s="26">
        <v>46234</v>
      </c>
      <c r="C944" s="27"/>
      <c r="D944" s="27">
        <v>139950</v>
      </c>
      <c r="E944" s="27" t="s">
        <v>284</v>
      </c>
      <c r="F944" s="27" t="s">
        <v>48</v>
      </c>
      <c r="G944" s="27" t="s">
        <v>110</v>
      </c>
      <c r="H944" s="30" t="s">
        <v>383</v>
      </c>
      <c r="I944" s="31" t="s">
        <v>2170</v>
      </c>
      <c r="J944" s="30" t="s">
        <v>2171</v>
      </c>
      <c r="K944" s="27">
        <v>5</v>
      </c>
      <c r="L944" s="27">
        <v>40</v>
      </c>
      <c r="M944" s="27">
        <v>42.04</v>
      </c>
      <c r="N944" s="31" t="s">
        <v>154</v>
      </c>
      <c r="O944" s="27"/>
      <c r="P944" s="30"/>
      <c r="Q944" s="30" t="s">
        <v>2172</v>
      </c>
      <c r="R944" s="26">
        <v>46237</v>
      </c>
      <c r="S944" s="26">
        <v>46238</v>
      </c>
      <c r="T944" s="31"/>
      <c r="U944" s="30" t="s">
        <v>68</v>
      </c>
      <c r="V944" s="34" t="s">
        <v>70</v>
      </c>
      <c r="W944" s="27" t="s">
        <v>284</v>
      </c>
      <c r="X944" s="30">
        <v>1</v>
      </c>
      <c r="Y944" s="30">
        <v>1</v>
      </c>
      <c r="Z944" s="30">
        <v>1</v>
      </c>
      <c r="AA944" s="30">
        <v>1</v>
      </c>
      <c r="AB944" s="30"/>
      <c r="AC944" s="30" t="s">
        <v>69</v>
      </c>
      <c r="AD944" s="30" t="s">
        <v>157</v>
      </c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6"/>
      <c r="AS944" s="36"/>
      <c r="AT944" s="36"/>
      <c r="AU944" s="36"/>
      <c r="AV944" s="36"/>
      <c r="AW944" s="36"/>
      <c r="AX944" s="36"/>
      <c r="AY944" s="36"/>
      <c r="AZ944" s="30"/>
      <c r="BA944" s="30"/>
      <c r="BB944" s="30"/>
      <c r="BC944" s="30"/>
      <c r="BD944" s="30"/>
      <c r="BE944" s="30"/>
      <c r="BF944" s="30" t="s">
        <v>2159</v>
      </c>
      <c r="BG944" s="30"/>
      <c r="BH944" s="30"/>
      <c r="BI944" s="30"/>
      <c r="BJ944" s="30"/>
      <c r="BK944" s="27"/>
      <c r="BL944" s="27"/>
    </row>
    <row r="945" spans="1:64" ht="15" customHeight="1">
      <c r="A945" s="77" t="s">
        <v>30</v>
      </c>
      <c r="B945" s="78" t="s">
        <v>31</v>
      </c>
      <c r="C945" s="79" t="s">
        <v>2</v>
      </c>
      <c r="D945" s="77" t="s">
        <v>34</v>
      </c>
      <c r="E945" s="77" t="s">
        <v>35</v>
      </c>
      <c r="F945" s="77" t="s">
        <v>36</v>
      </c>
      <c r="G945" s="77" t="s">
        <v>37</v>
      </c>
      <c r="H945" s="77" t="s">
        <v>38</v>
      </c>
      <c r="I945" s="77" t="s">
        <v>39</v>
      </c>
      <c r="J945" s="77" t="s">
        <v>6</v>
      </c>
      <c r="K945" s="77" t="s">
        <v>8</v>
      </c>
      <c r="L945" s="77" t="s">
        <v>40</v>
      </c>
      <c r="M945" s="77" t="s">
        <v>10</v>
      </c>
      <c r="N945" s="77" t="s">
        <v>11</v>
      </c>
      <c r="O945" s="77" t="s">
        <v>2173</v>
      </c>
      <c r="P945" s="77" t="s">
        <v>42</v>
      </c>
      <c r="Q945" s="77" t="s">
        <v>43</v>
      </c>
      <c r="R945" s="77" t="s">
        <v>23</v>
      </c>
      <c r="S945" s="77" t="s">
        <v>44</v>
      </c>
      <c r="T945" s="77" t="s">
        <v>24</v>
      </c>
      <c r="U945" s="77" t="s">
        <v>25</v>
      </c>
      <c r="V945" s="77" t="s">
        <v>26</v>
      </c>
      <c r="W945" s="77" t="s">
        <v>16</v>
      </c>
      <c r="X945" s="78" t="s">
        <v>45</v>
      </c>
      <c r="Y945" s="77" t="s">
        <v>46</v>
      </c>
      <c r="Z945" s="77" t="s">
        <v>47</v>
      </c>
      <c r="AA945" s="77" t="s">
        <v>30</v>
      </c>
      <c r="AB945" s="78" t="s">
        <v>31</v>
      </c>
      <c r="AC945" s="79" t="s">
        <v>2</v>
      </c>
      <c r="AD945" s="77" t="s">
        <v>34</v>
      </c>
      <c r="AE945" s="77" t="s">
        <v>35</v>
      </c>
      <c r="AF945" s="77" t="s">
        <v>36</v>
      </c>
      <c r="AG945" s="77" t="s">
        <v>37</v>
      </c>
      <c r="AH945" s="77" t="s">
        <v>38</v>
      </c>
      <c r="AI945" s="77" t="s">
        <v>39</v>
      </c>
      <c r="AJ945" s="77" t="s">
        <v>6</v>
      </c>
      <c r="AK945" s="77" t="s">
        <v>8</v>
      </c>
      <c r="AL945" s="77" t="s">
        <v>40</v>
      </c>
      <c r="AM945" s="77" t="s">
        <v>10</v>
      </c>
      <c r="AN945" s="77" t="s">
        <v>11</v>
      </c>
      <c r="AO945" s="77" t="s">
        <v>2173</v>
      </c>
      <c r="AP945" s="77" t="s">
        <v>42</v>
      </c>
      <c r="AQ945" s="77" t="s">
        <v>43</v>
      </c>
      <c r="AR945" s="77" t="s">
        <v>23</v>
      </c>
      <c r="AS945" s="77" t="s">
        <v>44</v>
      </c>
      <c r="AT945" s="77" t="s">
        <v>24</v>
      </c>
      <c r="AU945" s="77" t="s">
        <v>25</v>
      </c>
      <c r="AV945" s="77" t="s">
        <v>26</v>
      </c>
      <c r="AW945" s="77" t="s">
        <v>16</v>
      </c>
      <c r="AX945" s="78" t="s">
        <v>45</v>
      </c>
      <c r="AY945" s="77" t="s">
        <v>46</v>
      </c>
      <c r="AZ945" s="77" t="s">
        <v>47</v>
      </c>
      <c r="BA945" s="80"/>
      <c r="BB945" s="80"/>
      <c r="BC945" s="80"/>
      <c r="BD945" s="80"/>
      <c r="BE945" s="80"/>
      <c r="BF945" s="80"/>
      <c r="BG945" s="80"/>
      <c r="BH945" s="80"/>
      <c r="BI945" s="80"/>
      <c r="BJ945" s="80"/>
      <c r="BK945" s="80"/>
      <c r="BL945" s="80"/>
    </row>
    <row r="946" spans="1:64">
      <c r="A946" s="19" t="s">
        <v>2174</v>
      </c>
      <c r="B946" s="33">
        <v>46204</v>
      </c>
      <c r="C946" s="20"/>
      <c r="D946" s="19" t="s">
        <v>59</v>
      </c>
      <c r="E946" s="19" t="s">
        <v>1875</v>
      </c>
      <c r="F946" s="19" t="s">
        <v>2175</v>
      </c>
      <c r="G946" s="19" t="s">
        <v>51</v>
      </c>
      <c r="H946" s="40" t="s">
        <v>194</v>
      </c>
      <c r="I946" s="24" t="s">
        <v>554</v>
      </c>
      <c r="J946" s="46" t="s">
        <v>28</v>
      </c>
      <c r="K946" s="24" t="s">
        <v>130</v>
      </c>
      <c r="L946" s="24" t="s">
        <v>2176</v>
      </c>
      <c r="M946" s="19"/>
      <c r="N946" s="28"/>
      <c r="O946" s="33"/>
      <c r="P946" s="19" t="s">
        <v>196</v>
      </c>
      <c r="Q946" s="12" t="s">
        <v>89</v>
      </c>
      <c r="R946" s="19"/>
      <c r="S946" s="24" t="s">
        <v>65</v>
      </c>
      <c r="T946" s="19"/>
      <c r="U946" s="19"/>
      <c r="V946" s="19"/>
      <c r="W946" s="19" t="s">
        <v>67</v>
      </c>
      <c r="X946" s="32">
        <v>46209</v>
      </c>
      <c r="Y946" s="24"/>
      <c r="Z946" s="24"/>
    </row>
    <row r="947" spans="1:64">
      <c r="A947" s="19" t="s">
        <v>2174</v>
      </c>
      <c r="B947" s="33">
        <v>46204</v>
      </c>
      <c r="C947" s="19"/>
      <c r="D947" s="19" t="s">
        <v>59</v>
      </c>
      <c r="E947" s="19" t="s">
        <v>373</v>
      </c>
      <c r="F947" s="19" t="s">
        <v>1066</v>
      </c>
      <c r="G947" s="19" t="s">
        <v>2177</v>
      </c>
      <c r="H947" s="40" t="s">
        <v>2178</v>
      </c>
      <c r="I947" s="24" t="s">
        <v>374</v>
      </c>
      <c r="J947" s="24" t="s">
        <v>375</v>
      </c>
      <c r="K947" s="24" t="s">
        <v>2179</v>
      </c>
      <c r="L947" s="24" t="s">
        <v>2180</v>
      </c>
      <c r="M947" s="19"/>
      <c r="N947" s="19"/>
      <c r="O947" s="19"/>
      <c r="P947" s="19" t="s">
        <v>2181</v>
      </c>
      <c r="Q947" s="12" t="s">
        <v>89</v>
      </c>
      <c r="R947" s="24"/>
      <c r="S947" s="24" t="s">
        <v>65</v>
      </c>
      <c r="T947" s="19"/>
      <c r="U947" s="19"/>
      <c r="V947" s="19"/>
      <c r="W947" s="19" t="s">
        <v>67</v>
      </c>
      <c r="X947" s="32">
        <v>46209</v>
      </c>
      <c r="Y947" s="19"/>
      <c r="Z947" s="19"/>
    </row>
    <row r="948" spans="1:64">
      <c r="A948" s="19" t="s">
        <v>2174</v>
      </c>
      <c r="B948" s="81">
        <v>46204</v>
      </c>
      <c r="C948" s="49"/>
      <c r="D948" s="49" t="s">
        <v>59</v>
      </c>
      <c r="E948" s="49" t="s">
        <v>71</v>
      </c>
      <c r="F948" s="49" t="s">
        <v>237</v>
      </c>
      <c r="G948" s="49" t="s">
        <v>98</v>
      </c>
      <c r="H948" s="82" t="s">
        <v>238</v>
      </c>
      <c r="I948" s="83" t="s">
        <v>2182</v>
      </c>
      <c r="J948" s="83" t="s">
        <v>60</v>
      </c>
      <c r="K948" s="83" t="s">
        <v>2183</v>
      </c>
      <c r="L948" s="83" t="s">
        <v>130</v>
      </c>
      <c r="M948" s="49"/>
      <c r="N948" s="49"/>
      <c r="O948" s="49"/>
      <c r="P948" s="49" t="s">
        <v>241</v>
      </c>
      <c r="Q948" s="84" t="s">
        <v>1441</v>
      </c>
      <c r="R948" s="83"/>
      <c r="S948" s="83" t="s">
        <v>65</v>
      </c>
      <c r="T948" s="49"/>
      <c r="U948" s="49"/>
      <c r="V948" s="49"/>
      <c r="W948" s="49" t="s">
        <v>67</v>
      </c>
      <c r="X948" s="81">
        <v>46207</v>
      </c>
      <c r="Y948" s="84" t="s">
        <v>2184</v>
      </c>
      <c r="Z948" s="49"/>
    </row>
    <row r="949" spans="1:64">
      <c r="A949" s="19" t="s">
        <v>2174</v>
      </c>
      <c r="B949" s="81">
        <v>46204</v>
      </c>
      <c r="C949" s="49"/>
      <c r="D949" s="49" t="s">
        <v>59</v>
      </c>
      <c r="E949" s="49" t="s">
        <v>1159</v>
      </c>
      <c r="F949" s="49" t="s">
        <v>368</v>
      </c>
      <c r="G949" s="49" t="s">
        <v>1764</v>
      </c>
      <c r="H949" s="82" t="s">
        <v>128</v>
      </c>
      <c r="I949" s="83" t="s">
        <v>2049</v>
      </c>
      <c r="J949" s="83" t="s">
        <v>144</v>
      </c>
      <c r="K949" s="83" t="s">
        <v>2185</v>
      </c>
      <c r="L949" s="83" t="s">
        <v>135</v>
      </c>
      <c r="M949" s="49"/>
      <c r="N949" s="49"/>
      <c r="O949" s="49"/>
      <c r="P949" s="49" t="s">
        <v>132</v>
      </c>
      <c r="Q949" s="84" t="s">
        <v>89</v>
      </c>
      <c r="R949" s="83"/>
      <c r="S949" s="83" t="s">
        <v>65</v>
      </c>
      <c r="T949" s="49"/>
      <c r="U949" s="49"/>
      <c r="V949" s="49"/>
      <c r="W949" s="49" t="s">
        <v>67</v>
      </c>
      <c r="X949" s="81">
        <v>46204</v>
      </c>
      <c r="Y949" s="49"/>
      <c r="Z949" s="49"/>
    </row>
    <row r="950" spans="1:64">
      <c r="A950" s="19" t="s">
        <v>2174</v>
      </c>
      <c r="B950" s="81">
        <v>46204</v>
      </c>
      <c r="C950" s="49"/>
      <c r="D950" s="49" t="s">
        <v>59</v>
      </c>
      <c r="E950" s="49" t="s">
        <v>230</v>
      </c>
      <c r="F950" s="49" t="s">
        <v>216</v>
      </c>
      <c r="G950" s="49" t="s">
        <v>127</v>
      </c>
      <c r="H950" s="82" t="s">
        <v>2186</v>
      </c>
      <c r="I950" s="85" t="s">
        <v>231</v>
      </c>
      <c r="J950" s="86" t="s">
        <v>232</v>
      </c>
      <c r="K950" s="83" t="s">
        <v>2187</v>
      </c>
      <c r="L950" s="83" t="s">
        <v>104</v>
      </c>
      <c r="M950" s="49"/>
      <c r="N950" s="49"/>
      <c r="O950" s="49"/>
      <c r="P950" s="49" t="s">
        <v>218</v>
      </c>
      <c r="Q950" s="84" t="s">
        <v>1441</v>
      </c>
      <c r="R950" s="83"/>
      <c r="S950" s="83" t="s">
        <v>65</v>
      </c>
      <c r="T950" s="49"/>
      <c r="U950" s="49"/>
      <c r="V950" s="49"/>
      <c r="W950" s="49" t="s">
        <v>67</v>
      </c>
      <c r="X950" s="81">
        <v>46205</v>
      </c>
      <c r="Y950" s="49"/>
      <c r="Z950" s="49"/>
    </row>
    <row r="951" spans="1:64">
      <c r="A951" s="19" t="s">
        <v>2174</v>
      </c>
      <c r="B951" s="33">
        <v>46204</v>
      </c>
      <c r="C951" s="19"/>
      <c r="D951" s="19" t="s">
        <v>59</v>
      </c>
      <c r="E951" s="19" t="s">
        <v>497</v>
      </c>
      <c r="F951" s="19" t="s">
        <v>2188</v>
      </c>
      <c r="G951" s="19" t="s">
        <v>127</v>
      </c>
      <c r="H951" s="40" t="s">
        <v>221</v>
      </c>
      <c r="I951" s="24" t="s">
        <v>2189</v>
      </c>
      <c r="J951" s="24" t="s">
        <v>104</v>
      </c>
      <c r="K951" s="24" t="s">
        <v>1219</v>
      </c>
      <c r="L951" s="24" t="s">
        <v>104</v>
      </c>
      <c r="M951" s="19"/>
      <c r="N951" s="19"/>
      <c r="O951" s="19"/>
      <c r="P951" s="19" t="s">
        <v>573</v>
      </c>
      <c r="Q951" s="12" t="s">
        <v>89</v>
      </c>
      <c r="R951" s="24"/>
      <c r="S951" s="24" t="s">
        <v>65</v>
      </c>
      <c r="T951" s="19"/>
      <c r="U951" s="19"/>
      <c r="V951" s="19"/>
      <c r="W951" s="19" t="s">
        <v>67</v>
      </c>
      <c r="X951" s="32">
        <v>46205</v>
      </c>
      <c r="Y951" s="19"/>
      <c r="Z951" s="19"/>
    </row>
    <row r="952" spans="1:64">
      <c r="A952" s="19" t="s">
        <v>2174</v>
      </c>
      <c r="B952" s="33">
        <v>46204</v>
      </c>
      <c r="C952" s="19"/>
      <c r="D952" s="19" t="s">
        <v>59</v>
      </c>
      <c r="E952" s="19" t="s">
        <v>497</v>
      </c>
      <c r="F952" s="19" t="s">
        <v>255</v>
      </c>
      <c r="G952" s="19" t="s">
        <v>127</v>
      </c>
      <c r="H952" s="40" t="s">
        <v>2190</v>
      </c>
      <c r="I952" s="24" t="s">
        <v>2189</v>
      </c>
      <c r="J952" s="24" t="s">
        <v>104</v>
      </c>
      <c r="K952" s="24" t="s">
        <v>1219</v>
      </c>
      <c r="L952" s="24" t="s">
        <v>104</v>
      </c>
      <c r="M952" s="19"/>
      <c r="N952" s="19"/>
      <c r="O952" s="19"/>
      <c r="P952" s="19" t="s">
        <v>2191</v>
      </c>
      <c r="Q952" s="12" t="s">
        <v>89</v>
      </c>
      <c r="R952" s="24"/>
      <c r="S952" s="24" t="s">
        <v>65</v>
      </c>
      <c r="T952" s="19"/>
      <c r="U952" s="19"/>
      <c r="V952" s="19"/>
      <c r="W952" s="19" t="s">
        <v>67</v>
      </c>
      <c r="X952" s="32">
        <v>46205</v>
      </c>
      <c r="Y952" s="19"/>
      <c r="Z952" s="19"/>
    </row>
    <row r="953" spans="1:64">
      <c r="A953" s="19" t="s">
        <v>2174</v>
      </c>
      <c r="B953" s="33">
        <v>46204</v>
      </c>
      <c r="C953" s="40" t="s">
        <v>2192</v>
      </c>
      <c r="D953" s="19" t="s">
        <v>48</v>
      </c>
      <c r="E953" s="19" t="s">
        <v>2001</v>
      </c>
      <c r="F953" s="19" t="s">
        <v>74</v>
      </c>
      <c r="G953" s="19" t="s">
        <v>51</v>
      </c>
      <c r="H953" s="40" t="s">
        <v>2194</v>
      </c>
      <c r="I953" s="24" t="s">
        <v>2195</v>
      </c>
      <c r="J953" s="24" t="s">
        <v>110</v>
      </c>
      <c r="K953" s="24" t="s">
        <v>2196</v>
      </c>
      <c r="L953" s="24" t="s">
        <v>2197</v>
      </c>
      <c r="M953" s="19"/>
      <c r="N953" s="19"/>
      <c r="O953" s="19"/>
      <c r="P953" s="19" t="s">
        <v>2198</v>
      </c>
      <c r="Q953" s="12" t="s">
        <v>1441</v>
      </c>
      <c r="R953" s="24"/>
      <c r="S953" s="24" t="s">
        <v>65</v>
      </c>
      <c r="T953" s="19"/>
      <c r="U953" s="19"/>
      <c r="V953" s="19"/>
      <c r="W953" s="19" t="s">
        <v>67</v>
      </c>
      <c r="X953" s="32">
        <v>46209</v>
      </c>
      <c r="Y953" s="12" t="s">
        <v>2200</v>
      </c>
      <c r="Z953" s="19"/>
    </row>
    <row r="954" spans="1:64">
      <c r="A954" s="19" t="s">
        <v>2174</v>
      </c>
      <c r="B954" s="197">
        <v>46204</v>
      </c>
      <c r="C954" s="19"/>
      <c r="D954" s="184" t="s">
        <v>48</v>
      </c>
      <c r="E954" s="184" t="s">
        <v>71</v>
      </c>
      <c r="F954" s="184" t="s">
        <v>2201</v>
      </c>
      <c r="G954" s="184" t="s">
        <v>173</v>
      </c>
      <c r="H954" s="184" t="s">
        <v>2202</v>
      </c>
      <c r="I954" s="191" t="s">
        <v>1370</v>
      </c>
      <c r="J954" s="191" t="s">
        <v>110</v>
      </c>
      <c r="K954" s="24" t="s">
        <v>2203</v>
      </c>
      <c r="L954" s="24" t="s">
        <v>1775</v>
      </c>
      <c r="M954" s="19"/>
      <c r="N954" s="19"/>
      <c r="O954" s="19"/>
      <c r="P954" s="184" t="s">
        <v>2204</v>
      </c>
      <c r="Q954" s="12" t="s">
        <v>1441</v>
      </c>
      <c r="R954" s="24"/>
      <c r="S954" s="24" t="s">
        <v>65</v>
      </c>
      <c r="T954" s="19"/>
      <c r="U954" s="19"/>
      <c r="V954" s="19"/>
      <c r="W954" s="19" t="s">
        <v>67</v>
      </c>
      <c r="X954" s="32">
        <v>46210</v>
      </c>
      <c r="Y954" s="12" t="s">
        <v>2205</v>
      </c>
      <c r="Z954" s="19"/>
    </row>
    <row r="955" spans="1:64">
      <c r="A955" s="19" t="s">
        <v>2174</v>
      </c>
      <c r="B955" s="185"/>
      <c r="C955" s="19"/>
      <c r="D955" s="186"/>
      <c r="E955" s="185"/>
      <c r="F955" s="185"/>
      <c r="G955" s="185"/>
      <c r="H955" s="185"/>
      <c r="I955" s="185"/>
      <c r="J955" s="185"/>
      <c r="K955" s="24" t="s">
        <v>2206</v>
      </c>
      <c r="L955" s="24" t="s">
        <v>2207</v>
      </c>
      <c r="M955" s="19"/>
      <c r="N955" s="19"/>
      <c r="O955" s="19"/>
      <c r="P955" s="186"/>
      <c r="Q955" s="12" t="s">
        <v>1441</v>
      </c>
      <c r="R955" s="24"/>
      <c r="S955" s="24" t="s">
        <v>65</v>
      </c>
      <c r="T955" s="19"/>
      <c r="U955" s="19"/>
      <c r="V955" s="19"/>
      <c r="W955" s="19" t="s">
        <v>67</v>
      </c>
      <c r="X955" s="32">
        <v>46213</v>
      </c>
      <c r="Y955" s="12" t="s">
        <v>2208</v>
      </c>
      <c r="Z955" s="19"/>
    </row>
    <row r="956" spans="1:64">
      <c r="A956" s="19" t="s">
        <v>2174</v>
      </c>
      <c r="B956" s="197">
        <v>46204</v>
      </c>
      <c r="C956" s="19"/>
      <c r="D956" s="184" t="s">
        <v>48</v>
      </c>
      <c r="E956" s="184" t="s">
        <v>71</v>
      </c>
      <c r="F956" s="184" t="s">
        <v>2201</v>
      </c>
      <c r="G956" s="184" t="s">
        <v>173</v>
      </c>
      <c r="H956" s="184" t="s">
        <v>2202</v>
      </c>
      <c r="I956" s="191" t="s">
        <v>1370</v>
      </c>
      <c r="J956" s="191" t="s">
        <v>110</v>
      </c>
      <c r="K956" s="47" t="s">
        <v>2209</v>
      </c>
      <c r="L956" s="47" t="s">
        <v>330</v>
      </c>
      <c r="M956" s="19"/>
      <c r="N956" s="19"/>
      <c r="O956" s="19"/>
      <c r="P956" s="184" t="s">
        <v>458</v>
      </c>
      <c r="Q956" s="12" t="s">
        <v>1441</v>
      </c>
      <c r="R956" s="24"/>
      <c r="S956" s="24" t="s">
        <v>65</v>
      </c>
      <c r="T956" s="19"/>
      <c r="U956" s="19"/>
      <c r="V956" s="19"/>
      <c r="W956" s="19" t="s">
        <v>67</v>
      </c>
      <c r="X956" s="32">
        <v>46209</v>
      </c>
      <c r="Y956" s="12" t="s">
        <v>2210</v>
      </c>
      <c r="Z956" s="19"/>
    </row>
    <row r="957" spans="1:64">
      <c r="A957" s="19" t="s">
        <v>2174</v>
      </c>
      <c r="B957" s="185"/>
      <c r="C957" s="19"/>
      <c r="D957" s="186"/>
      <c r="E957" s="185"/>
      <c r="F957" s="185"/>
      <c r="G957" s="185"/>
      <c r="H957" s="185"/>
      <c r="I957" s="185"/>
      <c r="J957" s="185"/>
      <c r="K957" s="47" t="s">
        <v>2211</v>
      </c>
      <c r="L957" s="47" t="s">
        <v>388</v>
      </c>
      <c r="M957" s="19"/>
      <c r="N957" s="19"/>
      <c r="O957" s="19"/>
      <c r="P957" s="186"/>
      <c r="Q957" s="12" t="s">
        <v>1441</v>
      </c>
      <c r="R957" s="24"/>
      <c r="S957" s="24" t="s">
        <v>65</v>
      </c>
      <c r="T957" s="19"/>
      <c r="U957" s="19"/>
      <c r="V957" s="19"/>
      <c r="W957" s="19" t="s">
        <v>67</v>
      </c>
      <c r="X957" s="32">
        <v>46209</v>
      </c>
      <c r="Y957" s="12" t="s">
        <v>2212</v>
      </c>
      <c r="Z957" s="19"/>
    </row>
    <row r="958" spans="1:64">
      <c r="A958" s="19" t="s">
        <v>2174</v>
      </c>
      <c r="B958" s="33">
        <v>46204</v>
      </c>
      <c r="C958" s="40" t="s">
        <v>2213</v>
      </c>
      <c r="D958" s="19" t="s">
        <v>59</v>
      </c>
      <c r="E958" s="19" t="s">
        <v>621</v>
      </c>
      <c r="F958" s="19" t="s">
        <v>2214</v>
      </c>
      <c r="G958" s="19" t="s">
        <v>51</v>
      </c>
      <c r="H958" s="40" t="s">
        <v>161</v>
      </c>
      <c r="I958" s="24" t="s">
        <v>2215</v>
      </c>
      <c r="J958" s="24" t="s">
        <v>110</v>
      </c>
      <c r="K958" s="24" t="s">
        <v>2216</v>
      </c>
      <c r="L958" s="24" t="s">
        <v>104</v>
      </c>
      <c r="M958" s="19"/>
      <c r="N958" s="19"/>
      <c r="O958" s="19"/>
      <c r="P958" s="19" t="s">
        <v>166</v>
      </c>
      <c r="Q958" s="12" t="s">
        <v>1441</v>
      </c>
      <c r="R958" s="24"/>
      <c r="S958" s="24" t="s">
        <v>65</v>
      </c>
      <c r="T958" s="19"/>
      <c r="U958" s="19"/>
      <c r="V958" s="19"/>
      <c r="W958" s="19" t="s">
        <v>67</v>
      </c>
      <c r="X958" s="32">
        <v>46209</v>
      </c>
      <c r="Y958" s="12" t="s">
        <v>2217</v>
      </c>
      <c r="Z958" s="87" t="s">
        <v>2218</v>
      </c>
    </row>
    <row r="959" spans="1:64">
      <c r="A959" s="19" t="s">
        <v>2174</v>
      </c>
      <c r="B959" s="33">
        <v>46204</v>
      </c>
      <c r="C959" s="19"/>
      <c r="D959" s="19" t="s">
        <v>48</v>
      </c>
      <c r="E959" s="19" t="s">
        <v>284</v>
      </c>
      <c r="F959" s="19" t="s">
        <v>1821</v>
      </c>
      <c r="G959" s="19" t="s">
        <v>98</v>
      </c>
      <c r="H959" s="40" t="s">
        <v>2219</v>
      </c>
      <c r="I959" s="24" t="s">
        <v>2220</v>
      </c>
      <c r="J959" s="24" t="s">
        <v>2221</v>
      </c>
      <c r="K959" s="24" t="s">
        <v>2222</v>
      </c>
      <c r="L959" s="24" t="s">
        <v>110</v>
      </c>
      <c r="M959" s="19"/>
      <c r="N959" s="19"/>
      <c r="O959" s="19"/>
      <c r="P959" s="19" t="s">
        <v>2224</v>
      </c>
      <c r="Q959" s="12" t="s">
        <v>1441</v>
      </c>
      <c r="R959" s="24"/>
      <c r="S959" s="24" t="s">
        <v>65</v>
      </c>
      <c r="T959" s="19"/>
      <c r="U959" s="19"/>
      <c r="V959" s="19"/>
      <c r="W959" s="19" t="s">
        <v>67</v>
      </c>
      <c r="X959" s="32">
        <v>46209</v>
      </c>
      <c r="Y959" s="19"/>
      <c r="Z959" s="19"/>
    </row>
    <row r="960" spans="1:64">
      <c r="A960" s="19" t="s">
        <v>2174</v>
      </c>
      <c r="B960" s="197">
        <v>46204</v>
      </c>
      <c r="C960" s="192" t="s">
        <v>2225</v>
      </c>
      <c r="D960" s="184" t="s">
        <v>48</v>
      </c>
      <c r="E960" s="184" t="s">
        <v>49</v>
      </c>
      <c r="F960" s="184" t="s">
        <v>2226</v>
      </c>
      <c r="G960" s="184" t="s">
        <v>51</v>
      </c>
      <c r="H960" s="192" t="s">
        <v>2227</v>
      </c>
      <c r="I960" s="193" t="s">
        <v>53</v>
      </c>
      <c r="J960" s="181" t="s">
        <v>55</v>
      </c>
      <c r="K960" s="24" t="s">
        <v>2228</v>
      </c>
      <c r="L960" s="24" t="s">
        <v>2229</v>
      </c>
      <c r="M960" s="184">
        <f>67+7+20+3+95+325+11+336</f>
        <v>864</v>
      </c>
      <c r="N960" s="194">
        <f>502.5+22.32+127.92+10.8+410.4+2399.52+46.8+2449.556</f>
        <v>5969.8160000000007</v>
      </c>
      <c r="O960" s="19"/>
      <c r="P960" s="19" t="s">
        <v>593</v>
      </c>
      <c r="Q960" s="12" t="s">
        <v>1441</v>
      </c>
      <c r="R960" s="24"/>
      <c r="S960" s="191" t="s">
        <v>65</v>
      </c>
      <c r="T960" s="19"/>
      <c r="U960" s="19"/>
      <c r="V960" s="19"/>
      <c r="W960" s="187" t="s">
        <v>67</v>
      </c>
      <c r="X960" s="188"/>
      <c r="Y960" s="184"/>
      <c r="Z960" s="19"/>
    </row>
    <row r="961" spans="1:26">
      <c r="A961" s="19" t="s">
        <v>2174</v>
      </c>
      <c r="B961" s="185"/>
      <c r="C961" s="185"/>
      <c r="D961" s="185"/>
      <c r="E961" s="185"/>
      <c r="F961" s="185"/>
      <c r="G961" s="185"/>
      <c r="H961" s="185"/>
      <c r="I961" s="185"/>
      <c r="J961" s="182"/>
      <c r="K961" s="24" t="s">
        <v>2230</v>
      </c>
      <c r="L961" s="24" t="s">
        <v>2229</v>
      </c>
      <c r="M961" s="185"/>
      <c r="N961" s="185"/>
      <c r="O961" s="19"/>
      <c r="P961" s="19" t="s">
        <v>593</v>
      </c>
      <c r="Q961" s="12" t="s">
        <v>1441</v>
      </c>
      <c r="R961" s="24"/>
      <c r="S961" s="185"/>
      <c r="T961" s="19"/>
      <c r="U961" s="19"/>
      <c r="V961" s="19"/>
      <c r="W961" s="189"/>
      <c r="X961" s="182"/>
      <c r="Y961" s="185"/>
      <c r="Z961" s="19"/>
    </row>
    <row r="962" spans="1:26">
      <c r="A962" s="19" t="s">
        <v>2174</v>
      </c>
      <c r="B962" s="186"/>
      <c r="C962" s="186"/>
      <c r="D962" s="186"/>
      <c r="E962" s="186"/>
      <c r="F962" s="186"/>
      <c r="G962" s="186"/>
      <c r="H962" s="186"/>
      <c r="I962" s="186"/>
      <c r="J962" s="183"/>
      <c r="K962" s="24" t="s">
        <v>2231</v>
      </c>
      <c r="L962" s="24" t="s">
        <v>2229</v>
      </c>
      <c r="M962" s="186"/>
      <c r="N962" s="186"/>
      <c r="O962" s="19"/>
      <c r="P962" s="19" t="s">
        <v>593</v>
      </c>
      <c r="Q962" s="12" t="s">
        <v>1441</v>
      </c>
      <c r="R962" s="24"/>
      <c r="S962" s="186"/>
      <c r="T962" s="19"/>
      <c r="U962" s="19"/>
      <c r="V962" s="19"/>
      <c r="W962" s="190"/>
      <c r="X962" s="183"/>
      <c r="Y962" s="186"/>
      <c r="Z962" s="19"/>
    </row>
    <row r="963" spans="1:26">
      <c r="A963" s="19" t="s">
        <v>2174</v>
      </c>
      <c r="B963" s="33">
        <v>46204</v>
      </c>
      <c r="C963" s="19"/>
      <c r="D963" s="19" t="s">
        <v>59</v>
      </c>
      <c r="E963" s="19" t="s">
        <v>96</v>
      </c>
      <c r="F963" s="19" t="s">
        <v>305</v>
      </c>
      <c r="G963" s="19" t="s">
        <v>98</v>
      </c>
      <c r="H963" s="40" t="s">
        <v>75</v>
      </c>
      <c r="I963" s="19" t="s">
        <v>100</v>
      </c>
      <c r="J963" s="60" t="s">
        <v>102</v>
      </c>
      <c r="K963" s="24" t="s">
        <v>2232</v>
      </c>
      <c r="L963" s="24" t="s">
        <v>2233</v>
      </c>
      <c r="M963" s="19"/>
      <c r="N963" s="19"/>
      <c r="O963" s="19"/>
      <c r="P963" s="19" t="s">
        <v>83</v>
      </c>
      <c r="Q963" s="12" t="s">
        <v>1441</v>
      </c>
      <c r="R963" s="24"/>
      <c r="S963" s="24" t="s">
        <v>65</v>
      </c>
      <c r="T963" s="19"/>
      <c r="U963" s="19"/>
      <c r="V963" s="19"/>
      <c r="W963" s="19" t="s">
        <v>67</v>
      </c>
      <c r="X963" s="32">
        <v>46206</v>
      </c>
      <c r="Y963" s="19"/>
      <c r="Z963" s="19"/>
    </row>
    <row r="964" spans="1:26">
      <c r="A964" s="19" t="s">
        <v>2174</v>
      </c>
      <c r="B964" s="81">
        <v>46205</v>
      </c>
      <c r="C964" s="49"/>
      <c r="D964" s="49" t="s">
        <v>59</v>
      </c>
      <c r="E964" s="49" t="s">
        <v>2234</v>
      </c>
      <c r="F964" s="49" t="s">
        <v>2235</v>
      </c>
      <c r="G964" s="49" t="s">
        <v>173</v>
      </c>
      <c r="H964" s="82" t="s">
        <v>405</v>
      </c>
      <c r="I964" s="83" t="s">
        <v>2236</v>
      </c>
      <c r="J964" s="83" t="s">
        <v>28</v>
      </c>
      <c r="K964" s="83" t="s">
        <v>2237</v>
      </c>
      <c r="L964" s="83" t="s">
        <v>28</v>
      </c>
      <c r="M964" s="49"/>
      <c r="N964" s="49"/>
      <c r="O964" s="49"/>
      <c r="P964" s="49" t="s">
        <v>335</v>
      </c>
      <c r="Q964" s="84" t="s">
        <v>89</v>
      </c>
      <c r="R964" s="83"/>
      <c r="S964" s="83" t="s">
        <v>65</v>
      </c>
      <c r="T964" s="49"/>
      <c r="U964" s="49"/>
      <c r="V964" s="49"/>
      <c r="W964" s="49" t="s">
        <v>67</v>
      </c>
      <c r="X964" s="81">
        <v>46205</v>
      </c>
      <c r="Y964" s="49"/>
      <c r="Z964" s="49"/>
    </row>
    <row r="965" spans="1:26">
      <c r="A965" s="19" t="s">
        <v>2174</v>
      </c>
      <c r="B965" s="33">
        <v>46205</v>
      </c>
      <c r="C965" s="19"/>
      <c r="D965" s="19" t="s">
        <v>59</v>
      </c>
      <c r="E965" s="19" t="s">
        <v>101</v>
      </c>
      <c r="F965" s="19" t="s">
        <v>2238</v>
      </c>
      <c r="G965" s="19" t="s">
        <v>127</v>
      </c>
      <c r="H965" s="40" t="s">
        <v>1894</v>
      </c>
      <c r="I965" s="24" t="s">
        <v>2239</v>
      </c>
      <c r="J965" s="24" t="s">
        <v>130</v>
      </c>
      <c r="K965" s="24" t="s">
        <v>2240</v>
      </c>
      <c r="L965" s="24" t="s">
        <v>104</v>
      </c>
      <c r="M965" s="19"/>
      <c r="N965" s="19"/>
      <c r="O965" s="19"/>
      <c r="P965" s="19" t="s">
        <v>1897</v>
      </c>
      <c r="Q965" s="12" t="s">
        <v>89</v>
      </c>
      <c r="R965" s="24"/>
      <c r="S965" s="24" t="s">
        <v>65</v>
      </c>
      <c r="T965" s="19"/>
      <c r="U965" s="19"/>
      <c r="V965" s="19"/>
      <c r="W965" s="19" t="s">
        <v>67</v>
      </c>
      <c r="X965" s="32">
        <v>46206</v>
      </c>
      <c r="Y965" s="19"/>
      <c r="Z965" s="19"/>
    </row>
    <row r="966" spans="1:26">
      <c r="A966" s="19" t="s">
        <v>2174</v>
      </c>
      <c r="B966" s="33">
        <v>46205</v>
      </c>
      <c r="C966" s="40" t="s">
        <v>2241</v>
      </c>
      <c r="D966" s="19" t="s">
        <v>59</v>
      </c>
      <c r="E966" s="19" t="s">
        <v>2242</v>
      </c>
      <c r="F966" s="19" t="s">
        <v>2243</v>
      </c>
      <c r="G966" s="19" t="s">
        <v>51</v>
      </c>
      <c r="H966" s="40" t="s">
        <v>2244</v>
      </c>
      <c r="I966" s="24" t="s">
        <v>777</v>
      </c>
      <c r="J966" s="24" t="s">
        <v>28</v>
      </c>
      <c r="K966" s="24" t="s">
        <v>2245</v>
      </c>
      <c r="L966" s="24" t="s">
        <v>130</v>
      </c>
      <c r="M966" s="19"/>
      <c r="N966" s="19"/>
      <c r="O966" s="19"/>
      <c r="P966" s="19" t="s">
        <v>2246</v>
      </c>
      <c r="Q966" s="12" t="s">
        <v>1441</v>
      </c>
      <c r="R966" s="24"/>
      <c r="S966" s="24" t="s">
        <v>65</v>
      </c>
      <c r="T966" s="19"/>
      <c r="U966" s="19"/>
      <c r="V966" s="19"/>
      <c r="W966" s="19" t="s">
        <v>67</v>
      </c>
      <c r="X966" s="32">
        <v>46209</v>
      </c>
      <c r="Y966" s="19"/>
      <c r="Z966" s="19"/>
    </row>
    <row r="967" spans="1:26">
      <c r="A967" s="19" t="s">
        <v>2174</v>
      </c>
      <c r="B967" s="33">
        <v>46205</v>
      </c>
      <c r="C967" s="19"/>
      <c r="D967" s="19" t="s">
        <v>59</v>
      </c>
      <c r="E967" s="19" t="s">
        <v>71</v>
      </c>
      <c r="F967" s="19" t="s">
        <v>255</v>
      </c>
      <c r="G967" s="19" t="s">
        <v>98</v>
      </c>
      <c r="H967" s="40" t="s">
        <v>2190</v>
      </c>
      <c r="I967" s="24" t="s">
        <v>2002</v>
      </c>
      <c r="J967" s="24" t="s">
        <v>60</v>
      </c>
      <c r="K967" s="24" t="s">
        <v>2247</v>
      </c>
      <c r="L967" s="24" t="s">
        <v>2248</v>
      </c>
      <c r="M967" s="19"/>
      <c r="N967" s="19"/>
      <c r="O967" s="19"/>
      <c r="P967" s="19" t="s">
        <v>2191</v>
      </c>
      <c r="Q967" s="12" t="s">
        <v>1441</v>
      </c>
      <c r="R967" s="24"/>
      <c r="S967" s="24" t="s">
        <v>65</v>
      </c>
      <c r="T967" s="19"/>
      <c r="U967" s="19"/>
      <c r="V967" s="19"/>
      <c r="W967" s="19" t="s">
        <v>67</v>
      </c>
      <c r="X967" s="32">
        <v>46213</v>
      </c>
      <c r="Y967" s="12" t="s">
        <v>2249</v>
      </c>
      <c r="Z967" s="19"/>
    </row>
    <row r="968" spans="1:26">
      <c r="A968" s="19" t="s">
        <v>2174</v>
      </c>
      <c r="B968" s="33">
        <v>46205</v>
      </c>
      <c r="C968" s="19"/>
      <c r="D968" s="19" t="s">
        <v>59</v>
      </c>
      <c r="E968" s="19" t="s">
        <v>72</v>
      </c>
      <c r="F968" s="19" t="s">
        <v>2250</v>
      </c>
      <c r="G968" s="19" t="s">
        <v>127</v>
      </c>
      <c r="H968" s="40" t="s">
        <v>128</v>
      </c>
      <c r="I968" s="28" t="s">
        <v>286</v>
      </c>
      <c r="J968" s="55" t="s">
        <v>287</v>
      </c>
      <c r="K968" s="24" t="s">
        <v>2251</v>
      </c>
      <c r="L968" s="24" t="s">
        <v>130</v>
      </c>
      <c r="M968" s="19"/>
      <c r="N968" s="19"/>
      <c r="O968" s="19"/>
      <c r="P968" s="19" t="s">
        <v>132</v>
      </c>
      <c r="Q968" s="12" t="s">
        <v>89</v>
      </c>
      <c r="R968" s="24"/>
      <c r="S968" s="24" t="s">
        <v>65</v>
      </c>
      <c r="T968" s="19"/>
      <c r="U968" s="19"/>
      <c r="V968" s="19"/>
      <c r="W968" s="19" t="s">
        <v>67</v>
      </c>
      <c r="X968" s="32">
        <v>46211</v>
      </c>
      <c r="Y968" s="19"/>
      <c r="Z968" s="19"/>
    </row>
    <row r="969" spans="1:26">
      <c r="A969" s="19" t="s">
        <v>2174</v>
      </c>
      <c r="B969" s="33">
        <v>46205</v>
      </c>
      <c r="C969" s="40" t="s">
        <v>1960</v>
      </c>
      <c r="D969" s="19" t="s">
        <v>59</v>
      </c>
      <c r="E969" s="19" t="s">
        <v>1159</v>
      </c>
      <c r="F969" s="19" t="s">
        <v>2252</v>
      </c>
      <c r="G969" s="19" t="s">
        <v>51</v>
      </c>
      <c r="H969" s="40" t="s">
        <v>143</v>
      </c>
      <c r="I969" s="88" t="s">
        <v>2034</v>
      </c>
      <c r="J969" s="24" t="s">
        <v>144</v>
      </c>
      <c r="K969" s="24" t="s">
        <v>2253</v>
      </c>
      <c r="L969" s="24" t="s">
        <v>110</v>
      </c>
      <c r="M969" s="19"/>
      <c r="N969" s="19"/>
      <c r="O969" s="19"/>
      <c r="P969" s="19" t="s">
        <v>462</v>
      </c>
      <c r="Q969" s="12" t="s">
        <v>1441</v>
      </c>
      <c r="R969" s="24"/>
      <c r="S969" s="24" t="s">
        <v>65</v>
      </c>
      <c r="T969" s="19"/>
      <c r="U969" s="19"/>
      <c r="V969" s="19"/>
      <c r="W969" s="19" t="s">
        <v>67</v>
      </c>
      <c r="X969" s="32">
        <v>46212</v>
      </c>
      <c r="Y969" s="12" t="s">
        <v>2254</v>
      </c>
      <c r="Z969" s="19" t="s">
        <v>2255</v>
      </c>
    </row>
    <row r="970" spans="1:26">
      <c r="A970" s="19" t="s">
        <v>2174</v>
      </c>
      <c r="B970" s="33">
        <v>46205</v>
      </c>
      <c r="C970" s="89"/>
      <c r="D970" s="19" t="s">
        <v>59</v>
      </c>
      <c r="E970" s="19" t="s">
        <v>2256</v>
      </c>
      <c r="F970" s="19" t="s">
        <v>1952</v>
      </c>
      <c r="G970" s="19" t="s">
        <v>1764</v>
      </c>
      <c r="H970" s="40" t="s">
        <v>52</v>
      </c>
      <c r="I970" s="28" t="s">
        <v>2257</v>
      </c>
      <c r="J970" s="28" t="s">
        <v>29</v>
      </c>
      <c r="K970" s="28" t="s">
        <v>636</v>
      </c>
      <c r="L970" s="28" t="s">
        <v>636</v>
      </c>
      <c r="M970" s="89"/>
      <c r="N970" s="89"/>
      <c r="O970" s="19"/>
      <c r="P970" s="19" t="s">
        <v>56</v>
      </c>
      <c r="Q970" s="12" t="s">
        <v>89</v>
      </c>
      <c r="R970" s="28"/>
      <c r="S970" s="28" t="s">
        <v>65</v>
      </c>
      <c r="T970" s="19"/>
      <c r="U970" s="19"/>
      <c r="V970" s="19"/>
      <c r="W970" s="19" t="s">
        <v>67</v>
      </c>
      <c r="X970" s="32">
        <v>46209</v>
      </c>
      <c r="Y970" s="89"/>
      <c r="Z970" s="90" t="s">
        <v>2258</v>
      </c>
    </row>
    <row r="971" spans="1:26">
      <c r="A971" s="19" t="s">
        <v>2174</v>
      </c>
      <c r="B971" s="33">
        <v>46206</v>
      </c>
      <c r="C971" s="40" t="s">
        <v>2259</v>
      </c>
      <c r="D971" s="19" t="s">
        <v>59</v>
      </c>
      <c r="E971" s="19" t="s">
        <v>1716</v>
      </c>
      <c r="F971" s="19" t="s">
        <v>2260</v>
      </c>
      <c r="G971" s="19" t="s">
        <v>51</v>
      </c>
      <c r="H971" s="40" t="s">
        <v>2082</v>
      </c>
      <c r="I971" s="91" t="s">
        <v>2261</v>
      </c>
      <c r="J971" s="24" t="s">
        <v>2262</v>
      </c>
      <c r="K971" s="24" t="s">
        <v>2263</v>
      </c>
      <c r="L971" s="24" t="s">
        <v>110</v>
      </c>
      <c r="M971" s="19"/>
      <c r="N971" s="19"/>
      <c r="O971" s="19"/>
      <c r="P971" s="19" t="s">
        <v>2045</v>
      </c>
      <c r="Q971" s="12" t="s">
        <v>89</v>
      </c>
      <c r="R971" s="24"/>
      <c r="S971" s="24" t="s">
        <v>65</v>
      </c>
      <c r="T971" s="19"/>
      <c r="U971" s="19"/>
      <c r="V971" s="19"/>
      <c r="W971" s="19" t="s">
        <v>67</v>
      </c>
      <c r="X971" s="32">
        <v>46209</v>
      </c>
      <c r="Y971" s="12" t="s">
        <v>2264</v>
      </c>
      <c r="Z971" s="19"/>
    </row>
    <row r="972" spans="1:26">
      <c r="A972" s="19" t="s">
        <v>2174</v>
      </c>
      <c r="B972" s="33">
        <v>46206</v>
      </c>
      <c r="C972" s="40" t="s">
        <v>2265</v>
      </c>
      <c r="D972" s="19" t="s">
        <v>59</v>
      </c>
      <c r="E972" s="19" t="s">
        <v>497</v>
      </c>
      <c r="F972" s="19" t="s">
        <v>1793</v>
      </c>
      <c r="G972" s="19" t="s">
        <v>51</v>
      </c>
      <c r="H972" s="40" t="s">
        <v>2266</v>
      </c>
      <c r="I972" s="92" t="s">
        <v>2267</v>
      </c>
      <c r="J972" s="24" t="s">
        <v>2268</v>
      </c>
      <c r="K972" s="24" t="s">
        <v>2269</v>
      </c>
      <c r="L972" s="24" t="s">
        <v>246</v>
      </c>
      <c r="M972" s="19"/>
      <c r="N972" s="19"/>
      <c r="O972" s="19"/>
      <c r="P972" s="19" t="s">
        <v>2270</v>
      </c>
      <c r="Q972" s="12" t="s">
        <v>89</v>
      </c>
      <c r="R972" s="24"/>
      <c r="S972" s="24" t="s">
        <v>65</v>
      </c>
      <c r="T972" s="19"/>
      <c r="U972" s="19"/>
      <c r="V972" s="19"/>
      <c r="W972" s="19"/>
      <c r="X972" s="19"/>
      <c r="Y972" s="12" t="s">
        <v>2271</v>
      </c>
      <c r="Z972" s="12" t="s">
        <v>2272</v>
      </c>
    </row>
    <row r="973" spans="1:26">
      <c r="A973" s="19" t="s">
        <v>2174</v>
      </c>
      <c r="B973" s="33">
        <v>46206</v>
      </c>
      <c r="C973" s="19"/>
      <c r="D973" s="19" t="s">
        <v>59</v>
      </c>
      <c r="E973" s="19" t="s">
        <v>236</v>
      </c>
      <c r="F973" s="19" t="s">
        <v>2021</v>
      </c>
      <c r="G973" s="19" t="s">
        <v>220</v>
      </c>
      <c r="H973" s="40" t="s">
        <v>217</v>
      </c>
      <c r="I973" s="37" t="s">
        <v>239</v>
      </c>
      <c r="J973" s="42" t="s">
        <v>240</v>
      </c>
      <c r="K973" s="24" t="s">
        <v>2273</v>
      </c>
      <c r="L973" s="24" t="s">
        <v>170</v>
      </c>
      <c r="M973" s="19"/>
      <c r="N973" s="19"/>
      <c r="O973" s="19"/>
      <c r="P973" s="19" t="s">
        <v>218</v>
      </c>
      <c r="Q973" s="12"/>
      <c r="R973" s="24"/>
      <c r="S973" s="24" t="s">
        <v>65</v>
      </c>
      <c r="T973" s="19"/>
      <c r="U973" s="19"/>
      <c r="V973" s="19"/>
      <c r="W973" s="19" t="s">
        <v>67</v>
      </c>
      <c r="X973" s="33">
        <v>46207</v>
      </c>
      <c r="Y973" s="12" t="s">
        <v>2274</v>
      </c>
      <c r="Z973" s="19"/>
    </row>
    <row r="974" spans="1:26">
      <c r="A974" s="19" t="s">
        <v>2174</v>
      </c>
      <c r="B974" s="81">
        <v>46206</v>
      </c>
      <c r="C974" s="49"/>
      <c r="D974" s="49" t="s">
        <v>59</v>
      </c>
      <c r="E974" s="49" t="s">
        <v>72</v>
      </c>
      <c r="F974" s="49" t="s">
        <v>2188</v>
      </c>
      <c r="G974" s="49" t="s">
        <v>127</v>
      </c>
      <c r="H974" s="82" t="s">
        <v>221</v>
      </c>
      <c r="I974" s="75" t="s">
        <v>286</v>
      </c>
      <c r="J974" s="76" t="s">
        <v>287</v>
      </c>
      <c r="K974" s="83" t="s">
        <v>2275</v>
      </c>
      <c r="L974" s="83" t="s">
        <v>104</v>
      </c>
      <c r="M974" s="49"/>
      <c r="N974" s="49"/>
      <c r="O974" s="49"/>
      <c r="P974" s="49" t="s">
        <v>573</v>
      </c>
      <c r="Q974" s="84"/>
      <c r="R974" s="83"/>
      <c r="S974" s="83" t="s">
        <v>65</v>
      </c>
      <c r="T974" s="49"/>
      <c r="U974" s="49"/>
      <c r="V974" s="49"/>
      <c r="W974" s="49" t="s">
        <v>67</v>
      </c>
      <c r="X974" s="81">
        <v>46207</v>
      </c>
      <c r="Y974" s="84" t="s">
        <v>2276</v>
      </c>
      <c r="Z974" s="49"/>
    </row>
    <row r="975" spans="1:26">
      <c r="A975" s="19" t="s">
        <v>2174</v>
      </c>
      <c r="B975" s="33">
        <v>46206</v>
      </c>
      <c r="C975" s="19"/>
      <c r="D975" s="19" t="s">
        <v>48</v>
      </c>
      <c r="E975" s="19" t="s">
        <v>609</v>
      </c>
      <c r="F975" s="19" t="s">
        <v>2277</v>
      </c>
      <c r="G975" s="19" t="s">
        <v>220</v>
      </c>
      <c r="H975" s="40" t="s">
        <v>2278</v>
      </c>
      <c r="I975" s="19" t="s">
        <v>2279</v>
      </c>
      <c r="J975" s="24" t="s">
        <v>330</v>
      </c>
      <c r="K975" s="24" t="s">
        <v>2280</v>
      </c>
      <c r="L975" s="24" t="s">
        <v>104</v>
      </c>
      <c r="M975" s="19"/>
      <c r="N975" s="19"/>
      <c r="O975" s="19"/>
      <c r="P975" s="19" t="s">
        <v>2281</v>
      </c>
      <c r="Q975" s="12" t="s">
        <v>89</v>
      </c>
      <c r="R975" s="24"/>
      <c r="S975" s="24" t="s">
        <v>65</v>
      </c>
      <c r="T975" s="19"/>
      <c r="U975" s="19"/>
      <c r="V975" s="19"/>
      <c r="W975" s="19" t="s">
        <v>67</v>
      </c>
      <c r="X975" s="32">
        <v>46210</v>
      </c>
      <c r="Y975" s="19"/>
      <c r="Z975" s="19"/>
    </row>
    <row r="976" spans="1:26">
      <c r="A976" s="19" t="s">
        <v>2174</v>
      </c>
      <c r="B976" s="33">
        <v>46206</v>
      </c>
      <c r="C976" s="19"/>
      <c r="D976" s="19" t="s">
        <v>48</v>
      </c>
      <c r="E976" s="19" t="s">
        <v>609</v>
      </c>
      <c r="F976" s="19" t="s">
        <v>2282</v>
      </c>
      <c r="G976" s="19" t="s">
        <v>186</v>
      </c>
      <c r="H976" s="40" t="s">
        <v>2283</v>
      </c>
      <c r="I976" s="19" t="s">
        <v>2279</v>
      </c>
      <c r="J976" s="24" t="s">
        <v>330</v>
      </c>
      <c r="K976" s="24" t="s">
        <v>2280</v>
      </c>
      <c r="L976" s="24" t="s">
        <v>104</v>
      </c>
      <c r="M976" s="19"/>
      <c r="N976" s="19"/>
      <c r="O976" s="19"/>
      <c r="P976" s="19" t="s">
        <v>2284</v>
      </c>
      <c r="Q976" s="12" t="s">
        <v>89</v>
      </c>
      <c r="R976" s="24"/>
      <c r="S976" s="24" t="s">
        <v>65</v>
      </c>
      <c r="T976" s="19"/>
      <c r="U976" s="19"/>
      <c r="V976" s="19"/>
      <c r="W976" s="19" t="s">
        <v>67</v>
      </c>
      <c r="X976" s="32">
        <v>46210</v>
      </c>
      <c r="Y976" s="19"/>
      <c r="Z976" s="19"/>
    </row>
    <row r="977" spans="1:26">
      <c r="A977" s="19" t="s">
        <v>2174</v>
      </c>
      <c r="B977" s="33">
        <v>46206</v>
      </c>
      <c r="C977" s="19"/>
      <c r="D977" s="19" t="s">
        <v>48</v>
      </c>
      <c r="E977" s="19" t="s">
        <v>609</v>
      </c>
      <c r="F977" s="19" t="s">
        <v>2285</v>
      </c>
      <c r="G977" s="19" t="s">
        <v>127</v>
      </c>
      <c r="H977" s="40" t="s">
        <v>2286</v>
      </c>
      <c r="I977" s="19" t="s">
        <v>2287</v>
      </c>
      <c r="J977" s="24" t="s">
        <v>182</v>
      </c>
      <c r="K977" s="24" t="s">
        <v>2288</v>
      </c>
      <c r="L977" s="24" t="s">
        <v>144</v>
      </c>
      <c r="M977" s="19"/>
      <c r="N977" s="19"/>
      <c r="O977" s="19"/>
      <c r="P977" s="19" t="s">
        <v>2289</v>
      </c>
      <c r="Q977" s="12" t="s">
        <v>89</v>
      </c>
      <c r="R977" s="24"/>
      <c r="S977" s="24" t="s">
        <v>65</v>
      </c>
      <c r="T977" s="19"/>
      <c r="U977" s="19"/>
      <c r="V977" s="19"/>
      <c r="W977" s="19" t="s">
        <v>67</v>
      </c>
      <c r="X977" s="32">
        <v>46211</v>
      </c>
      <c r="Y977" s="19"/>
      <c r="Z977" s="19"/>
    </row>
    <row r="978" spans="1:26">
      <c r="A978" s="19" t="s">
        <v>2174</v>
      </c>
      <c r="B978" s="33">
        <v>46206</v>
      </c>
      <c r="C978" s="19"/>
      <c r="D978" s="19" t="s">
        <v>48</v>
      </c>
      <c r="E978" s="19" t="s">
        <v>609</v>
      </c>
      <c r="F978" s="19" t="s">
        <v>427</v>
      </c>
      <c r="G978" s="19" t="s">
        <v>98</v>
      </c>
      <c r="H978" s="40" t="s">
        <v>2290</v>
      </c>
      <c r="I978" s="19" t="s">
        <v>2279</v>
      </c>
      <c r="J978" s="24" t="s">
        <v>330</v>
      </c>
      <c r="K978" s="24" t="s">
        <v>164</v>
      </c>
      <c r="L978" s="24" t="s">
        <v>104</v>
      </c>
      <c r="M978" s="19"/>
      <c r="N978" s="19"/>
      <c r="O978" s="19"/>
      <c r="P978" s="19" t="s">
        <v>2291</v>
      </c>
      <c r="Q978" s="12" t="s">
        <v>89</v>
      </c>
      <c r="R978" s="24"/>
      <c r="S978" s="24" t="s">
        <v>65</v>
      </c>
      <c r="T978" s="19"/>
      <c r="U978" s="19"/>
      <c r="V978" s="19"/>
      <c r="W978" s="19" t="s">
        <v>67</v>
      </c>
      <c r="X978" s="32">
        <v>46210</v>
      </c>
      <c r="Y978" s="19"/>
      <c r="Z978" s="19"/>
    </row>
    <row r="979" spans="1:26">
      <c r="A979" s="19" t="s">
        <v>2174</v>
      </c>
      <c r="B979" s="33">
        <v>46206</v>
      </c>
      <c r="C979" s="19"/>
      <c r="D979" s="19" t="s">
        <v>48</v>
      </c>
      <c r="E979" s="19" t="s">
        <v>609</v>
      </c>
      <c r="F979" s="19" t="s">
        <v>2292</v>
      </c>
      <c r="G979" s="19" t="s">
        <v>2293</v>
      </c>
      <c r="H979" s="40" t="s">
        <v>262</v>
      </c>
      <c r="I979" s="19" t="s">
        <v>2279</v>
      </c>
      <c r="J979" s="24" t="s">
        <v>330</v>
      </c>
      <c r="K979" s="24" t="s">
        <v>150</v>
      </c>
      <c r="L979" s="24" t="s">
        <v>246</v>
      </c>
      <c r="M979" s="19"/>
      <c r="N979" s="19"/>
      <c r="O979" s="19"/>
      <c r="P979" s="19" t="s">
        <v>331</v>
      </c>
      <c r="Q979" s="12" t="s">
        <v>89</v>
      </c>
      <c r="R979" s="24"/>
      <c r="S979" s="24" t="s">
        <v>65</v>
      </c>
      <c r="T979" s="19"/>
      <c r="U979" s="19"/>
      <c r="V979" s="19"/>
      <c r="W979" s="19" t="s">
        <v>67</v>
      </c>
      <c r="X979" s="33">
        <v>46216</v>
      </c>
      <c r="Y979" s="19"/>
      <c r="Z979" s="19"/>
    </row>
    <row r="980" spans="1:26">
      <c r="A980" s="19" t="s">
        <v>2174</v>
      </c>
      <c r="B980" s="33">
        <v>46206</v>
      </c>
      <c r="C980" s="19"/>
      <c r="D980" s="19" t="s">
        <v>59</v>
      </c>
      <c r="E980" s="19" t="s">
        <v>373</v>
      </c>
      <c r="F980" s="19" t="s">
        <v>2294</v>
      </c>
      <c r="G980" s="19" t="s">
        <v>2177</v>
      </c>
      <c r="H980" s="40" t="s">
        <v>712</v>
      </c>
      <c r="I980" s="24" t="s">
        <v>374</v>
      </c>
      <c r="J980" s="24" t="s">
        <v>375</v>
      </c>
      <c r="K980" s="24" t="s">
        <v>2295</v>
      </c>
      <c r="L980" s="24" t="s">
        <v>678</v>
      </c>
      <c r="M980" s="19"/>
      <c r="N980" s="19"/>
      <c r="O980" s="19"/>
      <c r="P980" s="19" t="s">
        <v>713</v>
      </c>
      <c r="Q980" s="12" t="s">
        <v>89</v>
      </c>
      <c r="R980" s="24"/>
      <c r="S980" s="24" t="s">
        <v>65</v>
      </c>
      <c r="T980" s="19"/>
      <c r="U980" s="19"/>
      <c r="V980" s="19"/>
      <c r="W980" s="19" t="s">
        <v>67</v>
      </c>
      <c r="X980" s="32">
        <v>46213</v>
      </c>
      <c r="Y980" s="19"/>
      <c r="Z980" s="19"/>
    </row>
    <row r="981" spans="1:26">
      <c r="A981" s="19" t="s">
        <v>2174</v>
      </c>
      <c r="B981" s="33">
        <v>46206</v>
      </c>
      <c r="C981" s="19"/>
      <c r="D981" s="19" t="s">
        <v>59</v>
      </c>
      <c r="E981" s="19" t="s">
        <v>96</v>
      </c>
      <c r="F981" s="19" t="s">
        <v>2296</v>
      </c>
      <c r="G981" s="19" t="s">
        <v>2297</v>
      </c>
      <c r="H981" s="40" t="s">
        <v>2298</v>
      </c>
      <c r="I981" s="24" t="s">
        <v>2299</v>
      </c>
      <c r="J981" s="24" t="s">
        <v>2300</v>
      </c>
      <c r="K981" s="24" t="s">
        <v>2301</v>
      </c>
      <c r="L981" s="24" t="s">
        <v>227</v>
      </c>
      <c r="M981" s="19"/>
      <c r="N981" s="19"/>
      <c r="O981" s="19"/>
      <c r="P981" s="19" t="s">
        <v>2302</v>
      </c>
      <c r="Q981" s="12" t="s">
        <v>89</v>
      </c>
      <c r="R981" s="24"/>
      <c r="S981" s="24" t="s">
        <v>65</v>
      </c>
      <c r="T981" s="19"/>
      <c r="U981" s="19"/>
      <c r="V981" s="19"/>
      <c r="W981" s="19" t="s">
        <v>67</v>
      </c>
      <c r="X981" s="32">
        <v>46209</v>
      </c>
      <c r="Y981" s="19"/>
      <c r="Z981" s="19"/>
    </row>
    <row r="982" spans="1:26">
      <c r="A982" s="19" t="s">
        <v>2174</v>
      </c>
      <c r="B982" s="33">
        <v>46206</v>
      </c>
      <c r="C982" s="19"/>
      <c r="D982" s="19" t="s">
        <v>59</v>
      </c>
      <c r="E982" s="19" t="s">
        <v>609</v>
      </c>
      <c r="F982" s="19" t="s">
        <v>2303</v>
      </c>
      <c r="G982" s="19" t="s">
        <v>51</v>
      </c>
      <c r="H982" s="40" t="s">
        <v>2304</v>
      </c>
      <c r="I982" s="24" t="s">
        <v>2305</v>
      </c>
      <c r="J982" s="24" t="s">
        <v>330</v>
      </c>
      <c r="K982" s="24" t="s">
        <v>2306</v>
      </c>
      <c r="L982" s="24" t="s">
        <v>246</v>
      </c>
      <c r="M982" s="19"/>
      <c r="N982" s="19"/>
      <c r="O982" s="19"/>
      <c r="P982" s="19" t="s">
        <v>2307</v>
      </c>
      <c r="Q982" s="12" t="s">
        <v>89</v>
      </c>
      <c r="R982" s="24"/>
      <c r="S982" s="24" t="s">
        <v>65</v>
      </c>
      <c r="T982" s="19"/>
      <c r="U982" s="19"/>
      <c r="V982" s="19"/>
      <c r="W982" s="19" t="s">
        <v>67</v>
      </c>
      <c r="X982" s="32">
        <v>46209</v>
      </c>
      <c r="Y982" s="19"/>
      <c r="Z982" s="19"/>
    </row>
    <row r="983" spans="1:26">
      <c r="A983" s="19" t="s">
        <v>2174</v>
      </c>
      <c r="B983" s="33">
        <v>46206</v>
      </c>
      <c r="C983" s="19"/>
      <c r="D983" s="19" t="s">
        <v>59</v>
      </c>
      <c r="E983" s="19" t="s">
        <v>609</v>
      </c>
      <c r="F983" s="19" t="s">
        <v>1142</v>
      </c>
      <c r="G983" s="19" t="s">
        <v>51</v>
      </c>
      <c r="H983" s="40" t="s">
        <v>604</v>
      </c>
      <c r="I983" s="24" t="s">
        <v>2308</v>
      </c>
      <c r="J983" s="24" t="s">
        <v>182</v>
      </c>
      <c r="K983" s="24" t="s">
        <v>413</v>
      </c>
      <c r="L983" s="24" t="s">
        <v>665</v>
      </c>
      <c r="M983" s="19"/>
      <c r="N983" s="19"/>
      <c r="O983" s="19"/>
      <c r="P983" s="19" t="s">
        <v>2309</v>
      </c>
      <c r="Q983" s="12" t="s">
        <v>89</v>
      </c>
      <c r="R983" s="24"/>
      <c r="S983" s="24" t="s">
        <v>65</v>
      </c>
      <c r="T983" s="19"/>
      <c r="U983" s="19"/>
      <c r="V983" s="19"/>
      <c r="W983" s="19" t="s">
        <v>67</v>
      </c>
      <c r="X983" s="32">
        <v>46211</v>
      </c>
      <c r="Y983" s="19"/>
      <c r="Z983" s="19"/>
    </row>
    <row r="984" spans="1:26">
      <c r="A984" s="19" t="s">
        <v>2174</v>
      </c>
      <c r="B984" s="33">
        <v>46206</v>
      </c>
      <c r="C984" s="19"/>
      <c r="D984" s="19" t="s">
        <v>48</v>
      </c>
      <c r="E984" s="19" t="s">
        <v>200</v>
      </c>
      <c r="F984" s="19" t="s">
        <v>2310</v>
      </c>
      <c r="G984" s="19" t="s">
        <v>173</v>
      </c>
      <c r="H984" s="19" t="s">
        <v>2311</v>
      </c>
      <c r="I984" s="19" t="s">
        <v>2312</v>
      </c>
      <c r="J984" s="24" t="s">
        <v>388</v>
      </c>
      <c r="K984" s="24" t="s">
        <v>2313</v>
      </c>
      <c r="L984" s="24" t="s">
        <v>2314</v>
      </c>
      <c r="M984" s="19"/>
      <c r="N984" s="19"/>
      <c r="O984" s="19"/>
      <c r="P984" s="19" t="s">
        <v>2224</v>
      </c>
      <c r="Q984" s="12" t="s">
        <v>1441</v>
      </c>
      <c r="R984" s="24"/>
      <c r="S984" s="24" t="s">
        <v>65</v>
      </c>
      <c r="T984" s="19"/>
      <c r="U984" s="19"/>
      <c r="V984" s="19"/>
      <c r="W984" s="19" t="s">
        <v>67</v>
      </c>
      <c r="X984" s="32">
        <v>46209</v>
      </c>
      <c r="Y984" s="12" t="s">
        <v>2315</v>
      </c>
      <c r="Z984" s="19"/>
    </row>
    <row r="985" spans="1:26">
      <c r="A985" s="19" t="s">
        <v>2174</v>
      </c>
      <c r="B985" s="197">
        <v>46206</v>
      </c>
      <c r="C985" s="19"/>
      <c r="D985" s="184" t="s">
        <v>48</v>
      </c>
      <c r="E985" s="184" t="s">
        <v>2316</v>
      </c>
      <c r="F985" s="184" t="s">
        <v>2317</v>
      </c>
      <c r="G985" s="184" t="s">
        <v>51</v>
      </c>
      <c r="H985" s="192" t="s">
        <v>1994</v>
      </c>
      <c r="I985" s="191" t="s">
        <v>1302</v>
      </c>
      <c r="J985" s="181" t="s">
        <v>2318</v>
      </c>
      <c r="K985" s="24" t="s">
        <v>2319</v>
      </c>
      <c r="L985" s="191" t="s">
        <v>189</v>
      </c>
      <c r="M985" s="19"/>
      <c r="N985" s="19"/>
      <c r="O985" s="19"/>
      <c r="P985" s="19" t="s">
        <v>2320</v>
      </c>
      <c r="Q985" s="12" t="s">
        <v>89</v>
      </c>
      <c r="R985" s="24"/>
      <c r="S985" s="24" t="s">
        <v>65</v>
      </c>
      <c r="T985" s="19"/>
      <c r="U985" s="19"/>
      <c r="V985" s="19"/>
      <c r="W985" s="19" t="s">
        <v>67</v>
      </c>
      <c r="X985" s="32">
        <v>46212</v>
      </c>
      <c r="Y985" s="12" t="s">
        <v>2321</v>
      </c>
      <c r="Z985" s="19"/>
    </row>
    <row r="986" spans="1:26">
      <c r="A986" s="19" t="s">
        <v>2174</v>
      </c>
      <c r="B986" s="186"/>
      <c r="C986" s="19"/>
      <c r="D986" s="186"/>
      <c r="E986" s="186"/>
      <c r="F986" s="186"/>
      <c r="G986" s="186"/>
      <c r="H986" s="186"/>
      <c r="I986" s="186"/>
      <c r="J986" s="183"/>
      <c r="K986" s="24" t="s">
        <v>2322</v>
      </c>
      <c r="L986" s="186"/>
      <c r="M986" s="19"/>
      <c r="N986" s="19"/>
      <c r="O986" s="19"/>
      <c r="P986" s="19" t="s">
        <v>2320</v>
      </c>
      <c r="Q986" s="12" t="s">
        <v>89</v>
      </c>
      <c r="R986" s="24"/>
      <c r="S986" s="24" t="s">
        <v>65</v>
      </c>
      <c r="T986" s="19"/>
      <c r="U986" s="19"/>
      <c r="V986" s="19"/>
      <c r="W986" s="19" t="s">
        <v>67</v>
      </c>
      <c r="X986" s="32">
        <v>46212</v>
      </c>
      <c r="Y986" s="19"/>
      <c r="Z986" s="19"/>
    </row>
    <row r="987" spans="1:26">
      <c r="A987" s="19" t="s">
        <v>2174</v>
      </c>
      <c r="B987" s="33">
        <v>46206</v>
      </c>
      <c r="C987" s="19"/>
      <c r="D987" s="19" t="s">
        <v>59</v>
      </c>
      <c r="E987" s="19" t="s">
        <v>1140</v>
      </c>
      <c r="F987" s="19" t="s">
        <v>285</v>
      </c>
      <c r="G987" s="19" t="s">
        <v>1764</v>
      </c>
      <c r="H987" s="40" t="s">
        <v>288</v>
      </c>
      <c r="I987" s="24" t="s">
        <v>1770</v>
      </c>
      <c r="J987" s="24" t="s">
        <v>2323</v>
      </c>
      <c r="K987" s="24" t="s">
        <v>338</v>
      </c>
      <c r="L987" s="24" t="s">
        <v>338</v>
      </c>
      <c r="M987" s="19"/>
      <c r="N987" s="19"/>
      <c r="O987" s="19"/>
      <c r="P987" s="19" t="s">
        <v>2324</v>
      </c>
      <c r="Q987" s="12" t="s">
        <v>89</v>
      </c>
      <c r="R987" s="24"/>
      <c r="S987" s="24" t="s">
        <v>65</v>
      </c>
      <c r="T987" s="19"/>
      <c r="U987" s="19"/>
      <c r="V987" s="19"/>
      <c r="W987" s="19" t="s">
        <v>67</v>
      </c>
      <c r="X987" s="32">
        <v>46213</v>
      </c>
      <c r="Y987" s="19"/>
      <c r="Z987" s="19"/>
    </row>
    <row r="988" spans="1:26">
      <c r="A988" s="19" t="s">
        <v>2174</v>
      </c>
      <c r="B988" s="33">
        <v>46206</v>
      </c>
      <c r="C988" s="19"/>
      <c r="D988" s="19" t="s">
        <v>59</v>
      </c>
      <c r="E988" s="19" t="s">
        <v>96</v>
      </c>
      <c r="F988" s="19" t="s">
        <v>1826</v>
      </c>
      <c r="G988" s="19" t="s">
        <v>127</v>
      </c>
      <c r="H988" s="40" t="s">
        <v>221</v>
      </c>
      <c r="I988" s="24" t="s">
        <v>2299</v>
      </c>
      <c r="J988" s="24" t="s">
        <v>2325</v>
      </c>
      <c r="K988" s="24" t="s">
        <v>2326</v>
      </c>
      <c r="L988" s="24" t="s">
        <v>104</v>
      </c>
      <c r="M988" s="19"/>
      <c r="N988" s="19"/>
      <c r="O988" s="19"/>
      <c r="P988" s="19" t="s">
        <v>573</v>
      </c>
      <c r="Q988" s="12" t="s">
        <v>89</v>
      </c>
      <c r="R988" s="24"/>
      <c r="S988" s="24" t="s">
        <v>65</v>
      </c>
      <c r="T988" s="19"/>
      <c r="U988" s="19"/>
      <c r="V988" s="19"/>
      <c r="W988" s="19" t="s">
        <v>67</v>
      </c>
      <c r="X988" s="32">
        <v>46209</v>
      </c>
      <c r="Y988" s="19"/>
      <c r="Z988" s="19"/>
    </row>
    <row r="989" spans="1:26">
      <c r="A989" s="19" t="s">
        <v>2174</v>
      </c>
      <c r="B989" s="33">
        <v>46206</v>
      </c>
      <c r="C989" s="19"/>
      <c r="D989" s="19" t="s">
        <v>59</v>
      </c>
      <c r="E989" s="19" t="s">
        <v>140</v>
      </c>
      <c r="F989" s="19" t="s">
        <v>2327</v>
      </c>
      <c r="G989" s="19" t="s">
        <v>220</v>
      </c>
      <c r="H989" s="40" t="s">
        <v>2328</v>
      </c>
      <c r="I989" s="24" t="s">
        <v>2329</v>
      </c>
      <c r="J989" s="24" t="s">
        <v>2330</v>
      </c>
      <c r="K989" s="24" t="s">
        <v>2331</v>
      </c>
      <c r="L989" s="24" t="s">
        <v>2332</v>
      </c>
      <c r="M989" s="19"/>
      <c r="N989" s="19"/>
      <c r="O989" s="19"/>
      <c r="P989" s="19" t="s">
        <v>2333</v>
      </c>
      <c r="Q989" s="12" t="s">
        <v>89</v>
      </c>
      <c r="R989" s="24" t="s">
        <v>2334</v>
      </c>
      <c r="S989" s="24" t="s">
        <v>65</v>
      </c>
      <c r="T989" s="19" t="s">
        <v>2334</v>
      </c>
      <c r="U989" s="19" t="s">
        <v>2334</v>
      </c>
      <c r="V989" s="19"/>
      <c r="W989" s="19" t="s">
        <v>67</v>
      </c>
      <c r="X989" s="32">
        <v>46209</v>
      </c>
      <c r="Y989" s="19"/>
      <c r="Z989" s="19"/>
    </row>
    <row r="990" spans="1:26">
      <c r="A990" s="19" t="s">
        <v>2174</v>
      </c>
      <c r="B990" s="197">
        <v>46206</v>
      </c>
      <c r="C990" s="19"/>
      <c r="D990" s="184" t="s">
        <v>48</v>
      </c>
      <c r="E990" s="184" t="s">
        <v>2335</v>
      </c>
      <c r="F990" s="184" t="s">
        <v>2336</v>
      </c>
      <c r="G990" s="184" t="s">
        <v>54</v>
      </c>
      <c r="H990" s="184" t="s">
        <v>2337</v>
      </c>
      <c r="I990" s="191" t="s">
        <v>456</v>
      </c>
      <c r="J990" s="196" t="s">
        <v>457</v>
      </c>
      <c r="K990" s="24" t="s">
        <v>2338</v>
      </c>
      <c r="L990" s="24" t="s">
        <v>2339</v>
      </c>
      <c r="M990" s="19"/>
      <c r="N990" s="19"/>
      <c r="O990" s="19" t="s">
        <v>2334</v>
      </c>
      <c r="P990" s="19" t="s">
        <v>2340</v>
      </c>
      <c r="Q990" s="12" t="s">
        <v>89</v>
      </c>
      <c r="R990" s="24" t="s">
        <v>2334</v>
      </c>
      <c r="S990" s="24" t="s">
        <v>65</v>
      </c>
      <c r="T990" s="19" t="s">
        <v>2334</v>
      </c>
      <c r="U990" s="19" t="s">
        <v>2334</v>
      </c>
      <c r="V990" s="19" t="s">
        <v>2334</v>
      </c>
      <c r="W990" s="19" t="s">
        <v>67</v>
      </c>
      <c r="X990" s="33">
        <v>46241</v>
      </c>
      <c r="Y990" s="19"/>
      <c r="Z990" s="43" t="s">
        <v>2341</v>
      </c>
    </row>
    <row r="991" spans="1:26">
      <c r="A991" s="19" t="s">
        <v>2174</v>
      </c>
      <c r="B991" s="185"/>
      <c r="C991" s="19"/>
      <c r="D991" s="185"/>
      <c r="E991" s="185"/>
      <c r="F991" s="185"/>
      <c r="G991" s="185"/>
      <c r="H991" s="185"/>
      <c r="I991" s="185"/>
      <c r="J991" s="182"/>
      <c r="K991" s="24" t="s">
        <v>2342</v>
      </c>
      <c r="L991" s="24" t="s">
        <v>2339</v>
      </c>
      <c r="M991" s="19"/>
      <c r="N991" s="19"/>
      <c r="O991" s="19" t="s">
        <v>2334</v>
      </c>
      <c r="P991" s="19" t="s">
        <v>2340</v>
      </c>
      <c r="Q991" s="12" t="s">
        <v>89</v>
      </c>
      <c r="R991" s="24" t="s">
        <v>2334</v>
      </c>
      <c r="S991" s="24" t="s">
        <v>65</v>
      </c>
      <c r="T991" s="19" t="s">
        <v>2334</v>
      </c>
      <c r="U991" s="19" t="s">
        <v>2334</v>
      </c>
      <c r="V991" s="19" t="s">
        <v>2334</v>
      </c>
      <c r="W991" s="19" t="s">
        <v>67</v>
      </c>
      <c r="X991" s="33">
        <v>46241</v>
      </c>
      <c r="Y991" s="19"/>
      <c r="Z991" s="43" t="s">
        <v>2343</v>
      </c>
    </row>
    <row r="992" spans="1:26">
      <c r="A992" s="19" t="s">
        <v>2174</v>
      </c>
      <c r="B992" s="186"/>
      <c r="C992" s="19"/>
      <c r="D992" s="186"/>
      <c r="E992" s="186"/>
      <c r="F992" s="186"/>
      <c r="G992" s="186"/>
      <c r="H992" s="186"/>
      <c r="I992" s="186"/>
      <c r="J992" s="183"/>
      <c r="K992" s="24" t="s">
        <v>2344</v>
      </c>
      <c r="L992" s="24" t="s">
        <v>2339</v>
      </c>
      <c r="M992" s="19"/>
      <c r="N992" s="19"/>
      <c r="O992" s="19" t="s">
        <v>2334</v>
      </c>
      <c r="P992" s="19" t="s">
        <v>2340</v>
      </c>
      <c r="Q992" s="12" t="s">
        <v>89</v>
      </c>
      <c r="R992" s="24" t="s">
        <v>2334</v>
      </c>
      <c r="S992" s="24" t="s">
        <v>65</v>
      </c>
      <c r="T992" s="19" t="s">
        <v>2334</v>
      </c>
      <c r="U992" s="19" t="s">
        <v>2334</v>
      </c>
      <c r="V992" s="19" t="s">
        <v>2334</v>
      </c>
      <c r="W992" s="19" t="s">
        <v>67</v>
      </c>
      <c r="X992" s="33">
        <v>46241</v>
      </c>
      <c r="Y992" s="19"/>
      <c r="Z992" s="43" t="s">
        <v>2345</v>
      </c>
    </row>
    <row r="993" spans="1:26">
      <c r="A993" s="19" t="s">
        <v>2174</v>
      </c>
      <c r="B993" s="33">
        <v>46207</v>
      </c>
      <c r="C993" s="19"/>
      <c r="D993" s="19" t="s">
        <v>59</v>
      </c>
      <c r="E993" s="19" t="s">
        <v>373</v>
      </c>
      <c r="F993" s="19" t="s">
        <v>2243</v>
      </c>
      <c r="G993" s="19" t="s">
        <v>51</v>
      </c>
      <c r="H993" s="40" t="s">
        <v>2244</v>
      </c>
      <c r="I993" s="37" t="s">
        <v>374</v>
      </c>
      <c r="J993" s="42" t="s">
        <v>375</v>
      </c>
      <c r="K993" s="24" t="s">
        <v>2346</v>
      </c>
      <c r="L993" s="24" t="s">
        <v>403</v>
      </c>
      <c r="M993" s="19"/>
      <c r="N993" s="19"/>
      <c r="O993" s="19"/>
      <c r="P993" s="19" t="s">
        <v>2246</v>
      </c>
      <c r="Q993" s="12" t="s">
        <v>89</v>
      </c>
      <c r="R993" s="24"/>
      <c r="S993" s="24" t="s">
        <v>65</v>
      </c>
      <c r="T993" s="19"/>
      <c r="U993" s="19"/>
      <c r="V993" s="19"/>
      <c r="W993" s="19" t="s">
        <v>67</v>
      </c>
      <c r="X993" s="32">
        <v>46213</v>
      </c>
      <c r="Y993" s="19"/>
      <c r="Z993" s="19"/>
    </row>
    <row r="994" spans="1:26">
      <c r="A994" s="19" t="s">
        <v>2174</v>
      </c>
      <c r="B994" s="197">
        <v>46207</v>
      </c>
      <c r="C994" s="19"/>
      <c r="D994" s="184" t="s">
        <v>59</v>
      </c>
      <c r="E994" s="184" t="s">
        <v>96</v>
      </c>
      <c r="F994" s="184" t="s">
        <v>193</v>
      </c>
      <c r="G994" s="184" t="s">
        <v>51</v>
      </c>
      <c r="H994" s="192" t="s">
        <v>194</v>
      </c>
      <c r="I994" s="193" t="s">
        <v>100</v>
      </c>
      <c r="J994" s="181" t="s">
        <v>102</v>
      </c>
      <c r="K994" s="24" t="s">
        <v>2347</v>
      </c>
      <c r="L994" s="24" t="s">
        <v>130</v>
      </c>
      <c r="M994" s="19"/>
      <c r="N994" s="19"/>
      <c r="O994" s="19"/>
      <c r="P994" s="19" t="s">
        <v>196</v>
      </c>
      <c r="Q994" s="12" t="s">
        <v>1441</v>
      </c>
      <c r="R994" s="24"/>
      <c r="S994" s="24" t="s">
        <v>65</v>
      </c>
      <c r="T994" s="19"/>
      <c r="U994" s="19"/>
      <c r="V994" s="19"/>
      <c r="W994" s="19" t="s">
        <v>67</v>
      </c>
      <c r="X994" s="32">
        <v>46211</v>
      </c>
      <c r="Y994" s="19"/>
      <c r="Z994" s="19"/>
    </row>
    <row r="995" spans="1:26">
      <c r="A995" s="19" t="s">
        <v>2174</v>
      </c>
      <c r="B995" s="186"/>
      <c r="C995" s="19"/>
      <c r="D995" s="186"/>
      <c r="E995" s="186"/>
      <c r="F995" s="186"/>
      <c r="G995" s="186"/>
      <c r="H995" s="186"/>
      <c r="I995" s="186"/>
      <c r="J995" s="183"/>
      <c r="K995" s="24" t="s">
        <v>2348</v>
      </c>
      <c r="L995" s="24" t="s">
        <v>130</v>
      </c>
      <c r="M995" s="19"/>
      <c r="N995" s="19"/>
      <c r="O995" s="19"/>
      <c r="P995" s="19" t="s">
        <v>196</v>
      </c>
      <c r="Q995" s="12" t="s">
        <v>1441</v>
      </c>
      <c r="R995" s="24"/>
      <c r="S995" s="24" t="s">
        <v>65</v>
      </c>
      <c r="T995" s="19"/>
      <c r="U995" s="19"/>
      <c r="V995" s="19"/>
      <c r="W995" s="19" t="s">
        <v>67</v>
      </c>
      <c r="X995" s="32">
        <v>46211</v>
      </c>
      <c r="Y995" s="19"/>
      <c r="Z995" s="19"/>
    </row>
    <row r="996" spans="1:26">
      <c r="A996" s="19" t="s">
        <v>2174</v>
      </c>
      <c r="B996" s="33">
        <v>46207</v>
      </c>
      <c r="C996" s="19"/>
      <c r="D996" s="19" t="s">
        <v>59</v>
      </c>
      <c r="E996" s="19" t="s">
        <v>2349</v>
      </c>
      <c r="F996" s="19" t="s">
        <v>774</v>
      </c>
      <c r="G996" s="19" t="s">
        <v>51</v>
      </c>
      <c r="H996" s="40" t="s">
        <v>2227</v>
      </c>
      <c r="I996" s="24" t="s">
        <v>2350</v>
      </c>
      <c r="J996" s="24" t="s">
        <v>1078</v>
      </c>
      <c r="K996" s="41" t="s">
        <v>2351</v>
      </c>
      <c r="L996" s="24" t="s">
        <v>2352</v>
      </c>
      <c r="M996" s="19"/>
      <c r="N996" s="19"/>
      <c r="O996" s="19"/>
      <c r="P996" s="19" t="s">
        <v>593</v>
      </c>
      <c r="Q996" s="12"/>
      <c r="R996" s="24"/>
      <c r="S996" s="24" t="s">
        <v>65</v>
      </c>
      <c r="T996" s="19"/>
      <c r="U996" s="19"/>
      <c r="V996" s="19"/>
      <c r="W996" s="19" t="s">
        <v>67</v>
      </c>
      <c r="X996" s="32">
        <v>46209</v>
      </c>
      <c r="Y996" s="12" t="s">
        <v>2321</v>
      </c>
      <c r="Z996" s="19"/>
    </row>
    <row r="997" spans="1:26">
      <c r="A997" s="19" t="s">
        <v>2174</v>
      </c>
      <c r="B997" s="33">
        <v>46207</v>
      </c>
      <c r="C997" s="19"/>
      <c r="D997" s="19" t="s">
        <v>59</v>
      </c>
      <c r="E997" s="19" t="s">
        <v>140</v>
      </c>
      <c r="F997" s="19" t="s">
        <v>2353</v>
      </c>
      <c r="G997" s="19" t="s">
        <v>98</v>
      </c>
      <c r="H997" s="40" t="s">
        <v>99</v>
      </c>
      <c r="I997" s="24" t="s">
        <v>2354</v>
      </c>
      <c r="J997" s="24" t="s">
        <v>104</v>
      </c>
      <c r="K997" s="24" t="s">
        <v>2355</v>
      </c>
      <c r="L997" s="24" t="s">
        <v>28</v>
      </c>
      <c r="M997" s="19"/>
      <c r="N997" s="19"/>
      <c r="O997" s="19"/>
      <c r="P997" s="19" t="s">
        <v>107</v>
      </c>
      <c r="Q997" s="12" t="s">
        <v>89</v>
      </c>
      <c r="R997" s="24"/>
      <c r="S997" s="24" t="s">
        <v>65</v>
      </c>
      <c r="T997" s="19"/>
      <c r="U997" s="19"/>
      <c r="V997" s="19"/>
      <c r="W997" s="19" t="s">
        <v>67</v>
      </c>
      <c r="X997" s="32">
        <v>46209</v>
      </c>
      <c r="Y997" s="19"/>
      <c r="Z997" s="19"/>
    </row>
    <row r="998" spans="1:26">
      <c r="A998" s="19" t="s">
        <v>2174</v>
      </c>
      <c r="B998" s="81">
        <v>46207</v>
      </c>
      <c r="C998" s="49"/>
      <c r="D998" s="49" t="s">
        <v>48</v>
      </c>
      <c r="E998" s="49" t="s">
        <v>2335</v>
      </c>
      <c r="F998" s="49" t="s">
        <v>427</v>
      </c>
      <c r="G998" s="49" t="s">
        <v>54</v>
      </c>
      <c r="H998" s="82" t="s">
        <v>2290</v>
      </c>
      <c r="I998" s="83" t="s">
        <v>2356</v>
      </c>
      <c r="J998" s="83" t="s">
        <v>457</v>
      </c>
      <c r="K998" s="83" t="s">
        <v>2357</v>
      </c>
      <c r="L998" s="83" t="s">
        <v>28</v>
      </c>
      <c r="M998" s="49"/>
      <c r="N998" s="49"/>
      <c r="O998" s="49"/>
      <c r="P998" s="49" t="s">
        <v>2358</v>
      </c>
      <c r="Q998" s="84" t="s">
        <v>89</v>
      </c>
      <c r="R998" s="83"/>
      <c r="S998" s="83" t="s">
        <v>65</v>
      </c>
      <c r="T998" s="49"/>
      <c r="U998" s="49"/>
      <c r="V998" s="49"/>
      <c r="W998" s="49" t="s">
        <v>67</v>
      </c>
      <c r="X998" s="81">
        <v>46212</v>
      </c>
      <c r="Y998" s="49"/>
      <c r="Z998" s="84" t="s">
        <v>2359</v>
      </c>
    </row>
    <row r="999" spans="1:26">
      <c r="A999" s="19" t="s">
        <v>2174</v>
      </c>
      <c r="B999" s="197">
        <v>46207</v>
      </c>
      <c r="C999" s="22"/>
      <c r="D999" s="184" t="s">
        <v>59</v>
      </c>
      <c r="E999" s="184" t="s">
        <v>140</v>
      </c>
      <c r="F999" s="184" t="s">
        <v>1826</v>
      </c>
      <c r="G999" s="184" t="s">
        <v>1764</v>
      </c>
      <c r="H999" s="192" t="s">
        <v>75</v>
      </c>
      <c r="I999" s="24" t="s">
        <v>2360</v>
      </c>
      <c r="J999" s="58" t="s">
        <v>104</v>
      </c>
      <c r="K999" s="24" t="s">
        <v>2361</v>
      </c>
      <c r="L999" s="24" t="s">
        <v>28</v>
      </c>
      <c r="M999" s="19"/>
      <c r="N999" s="19"/>
      <c r="O999" s="19"/>
      <c r="P999" s="19" t="s">
        <v>83</v>
      </c>
      <c r="Q999" s="12" t="s">
        <v>89</v>
      </c>
      <c r="R999" s="24"/>
      <c r="S999" s="24" t="s">
        <v>65</v>
      </c>
      <c r="T999" s="19"/>
      <c r="U999" s="19"/>
      <c r="V999" s="19"/>
      <c r="W999" s="19" t="s">
        <v>67</v>
      </c>
      <c r="X999" s="32">
        <v>46209</v>
      </c>
      <c r="Y999" s="19"/>
      <c r="Z999" s="19"/>
    </row>
    <row r="1000" spans="1:26">
      <c r="A1000" s="19" t="s">
        <v>2174</v>
      </c>
      <c r="B1000" s="186"/>
      <c r="C1000" s="69"/>
      <c r="D1000" s="186"/>
      <c r="E1000" s="186"/>
      <c r="F1000" s="186"/>
      <c r="G1000" s="186"/>
      <c r="H1000" s="186"/>
      <c r="I1000" s="24" t="s">
        <v>2361</v>
      </c>
      <c r="J1000" s="58" t="s">
        <v>104</v>
      </c>
      <c r="K1000" s="24" t="s">
        <v>2362</v>
      </c>
      <c r="L1000" s="24" t="s">
        <v>28</v>
      </c>
      <c r="M1000" s="19"/>
      <c r="N1000" s="19"/>
      <c r="O1000" s="19"/>
      <c r="P1000" s="19" t="s">
        <v>83</v>
      </c>
      <c r="Q1000" s="12" t="s">
        <v>89</v>
      </c>
      <c r="R1000" s="24"/>
      <c r="S1000" s="24" t="s">
        <v>65</v>
      </c>
      <c r="T1000" s="19"/>
      <c r="U1000" s="19"/>
      <c r="V1000" s="19"/>
      <c r="W1000" s="19" t="s">
        <v>67</v>
      </c>
      <c r="X1000" s="32">
        <v>46209</v>
      </c>
      <c r="Y1000" s="19"/>
      <c r="Z1000" s="19"/>
    </row>
    <row r="1001" spans="1:26">
      <c r="A1001" s="19" t="s">
        <v>2174</v>
      </c>
      <c r="B1001" s="33">
        <v>46207</v>
      </c>
      <c r="C1001" s="64"/>
      <c r="D1001" s="19" t="s">
        <v>59</v>
      </c>
      <c r="E1001" s="19" t="s">
        <v>140</v>
      </c>
      <c r="F1001" s="19" t="s">
        <v>2363</v>
      </c>
      <c r="G1001" s="19" t="s">
        <v>2364</v>
      </c>
      <c r="H1001" s="40" t="s">
        <v>99</v>
      </c>
      <c r="I1001" s="24" t="s">
        <v>2360</v>
      </c>
      <c r="J1001" s="46" t="s">
        <v>104</v>
      </c>
      <c r="K1001" s="24" t="s">
        <v>2365</v>
      </c>
      <c r="L1001" s="24" t="s">
        <v>28</v>
      </c>
      <c r="M1001" s="19"/>
      <c r="N1001" s="19"/>
      <c r="O1001" s="19"/>
      <c r="P1001" s="19" t="s">
        <v>107</v>
      </c>
      <c r="Q1001" s="12" t="s">
        <v>89</v>
      </c>
      <c r="R1001" s="24"/>
      <c r="S1001" s="24" t="s">
        <v>65</v>
      </c>
      <c r="T1001" s="19"/>
      <c r="U1001" s="19"/>
      <c r="V1001" s="19"/>
      <c r="W1001" s="19" t="s">
        <v>67</v>
      </c>
      <c r="X1001" s="32">
        <v>46209</v>
      </c>
      <c r="Y1001" s="19"/>
      <c r="Z1001" s="19"/>
    </row>
    <row r="1002" spans="1:26">
      <c r="A1002" s="19" t="s">
        <v>2174</v>
      </c>
      <c r="B1002" s="33">
        <v>46207</v>
      </c>
      <c r="C1002" s="19"/>
      <c r="D1002" s="19" t="s">
        <v>59</v>
      </c>
      <c r="E1002" s="19" t="s">
        <v>72</v>
      </c>
      <c r="F1002" s="19" t="s">
        <v>2366</v>
      </c>
      <c r="G1002" s="19" t="s">
        <v>127</v>
      </c>
      <c r="H1002" s="40" t="s">
        <v>2367</v>
      </c>
      <c r="I1002" s="28" t="s">
        <v>286</v>
      </c>
      <c r="J1002" s="55" t="s">
        <v>287</v>
      </c>
      <c r="K1002" s="24" t="s">
        <v>2368</v>
      </c>
      <c r="L1002" s="24" t="s">
        <v>678</v>
      </c>
      <c r="M1002" s="19"/>
      <c r="N1002" s="19"/>
      <c r="O1002" s="19"/>
      <c r="P1002" s="19" t="s">
        <v>2369</v>
      </c>
      <c r="Q1002" s="12" t="s">
        <v>89</v>
      </c>
      <c r="R1002" s="24"/>
      <c r="S1002" s="24" t="s">
        <v>65</v>
      </c>
      <c r="T1002" s="19"/>
      <c r="U1002" s="19"/>
      <c r="V1002" s="19"/>
      <c r="W1002" s="19" t="s">
        <v>67</v>
      </c>
      <c r="X1002" s="32">
        <v>46213</v>
      </c>
      <c r="Y1002" s="19"/>
      <c r="Z1002" s="19"/>
    </row>
    <row r="1003" spans="1:26">
      <c r="A1003" s="19" t="s">
        <v>2174</v>
      </c>
      <c r="B1003" s="197">
        <v>46209</v>
      </c>
      <c r="C1003" s="184"/>
      <c r="D1003" s="184" t="s">
        <v>59</v>
      </c>
      <c r="E1003" s="184" t="s">
        <v>101</v>
      </c>
      <c r="F1003" s="184" t="s">
        <v>2370</v>
      </c>
      <c r="G1003" s="184" t="s">
        <v>127</v>
      </c>
      <c r="H1003" s="192" t="s">
        <v>128</v>
      </c>
      <c r="I1003" s="191" t="s">
        <v>129</v>
      </c>
      <c r="J1003" s="191" t="s">
        <v>130</v>
      </c>
      <c r="K1003" s="24" t="s">
        <v>2371</v>
      </c>
      <c r="L1003" s="24" t="s">
        <v>294</v>
      </c>
      <c r="M1003" s="19"/>
      <c r="N1003" s="19"/>
      <c r="O1003" s="19"/>
      <c r="P1003" s="19" t="s">
        <v>132</v>
      </c>
      <c r="Q1003" s="12" t="s">
        <v>89</v>
      </c>
      <c r="R1003" s="24"/>
      <c r="S1003" s="24" t="s">
        <v>65</v>
      </c>
      <c r="T1003" s="19"/>
      <c r="U1003" s="19"/>
      <c r="V1003" s="19"/>
      <c r="W1003" s="19" t="s">
        <v>67</v>
      </c>
      <c r="X1003" s="32">
        <v>46211</v>
      </c>
      <c r="Y1003" s="19"/>
      <c r="Z1003" s="19"/>
    </row>
    <row r="1004" spans="1:26">
      <c r="A1004" s="19" t="s">
        <v>2174</v>
      </c>
      <c r="B1004" s="186"/>
      <c r="C1004" s="186"/>
      <c r="D1004" s="186"/>
      <c r="E1004" s="186"/>
      <c r="F1004" s="186"/>
      <c r="G1004" s="186"/>
      <c r="H1004" s="186"/>
      <c r="I1004" s="186"/>
      <c r="J1004" s="186"/>
      <c r="K1004" s="24" t="s">
        <v>2372</v>
      </c>
      <c r="L1004" s="24" t="s">
        <v>382</v>
      </c>
      <c r="M1004" s="19"/>
      <c r="N1004" s="19"/>
      <c r="O1004" s="19"/>
      <c r="P1004" s="19" t="s">
        <v>2373</v>
      </c>
      <c r="Q1004" s="12" t="s">
        <v>89</v>
      </c>
      <c r="R1004" s="24"/>
      <c r="S1004" s="24" t="s">
        <v>65</v>
      </c>
      <c r="T1004" s="49"/>
      <c r="U1004" s="49"/>
      <c r="V1004" s="49"/>
      <c r="W1004" s="49" t="s">
        <v>67</v>
      </c>
      <c r="X1004" s="81">
        <v>46212</v>
      </c>
      <c r="Y1004" s="19"/>
      <c r="Z1004" s="19"/>
    </row>
    <row r="1005" spans="1:26">
      <c r="A1005" s="19" t="s">
        <v>2174</v>
      </c>
      <c r="B1005" s="33">
        <v>46209</v>
      </c>
      <c r="C1005" s="19"/>
      <c r="D1005" s="19" t="s">
        <v>59</v>
      </c>
      <c r="E1005" s="19" t="s">
        <v>72</v>
      </c>
      <c r="F1005" s="19" t="s">
        <v>160</v>
      </c>
      <c r="G1005" s="19" t="s">
        <v>51</v>
      </c>
      <c r="H1005" s="40" t="s">
        <v>161</v>
      </c>
      <c r="I1005" s="28" t="s">
        <v>286</v>
      </c>
      <c r="J1005" s="55" t="s">
        <v>287</v>
      </c>
      <c r="K1005" s="24" t="s">
        <v>2374</v>
      </c>
      <c r="L1005" s="24" t="s">
        <v>246</v>
      </c>
      <c r="M1005" s="19"/>
      <c r="N1005" s="19"/>
      <c r="O1005" s="19"/>
      <c r="P1005" s="19" t="s">
        <v>166</v>
      </c>
      <c r="Q1005" s="12" t="s">
        <v>89</v>
      </c>
      <c r="R1005" s="24"/>
      <c r="S1005" s="24" t="s">
        <v>65</v>
      </c>
      <c r="T1005" s="19"/>
      <c r="U1005" s="19"/>
      <c r="V1005" s="19"/>
      <c r="W1005" s="19" t="s">
        <v>67</v>
      </c>
      <c r="X1005" s="32">
        <v>46213</v>
      </c>
      <c r="Y1005" s="19"/>
      <c r="Z1005" s="19"/>
    </row>
    <row r="1006" spans="1:26">
      <c r="A1006" s="19" t="s">
        <v>2174</v>
      </c>
      <c r="B1006" s="33">
        <v>46209</v>
      </c>
      <c r="C1006" s="40" t="s">
        <v>2375</v>
      </c>
      <c r="D1006" s="19" t="s">
        <v>48</v>
      </c>
      <c r="E1006" s="19" t="s">
        <v>49</v>
      </c>
      <c r="F1006" s="19" t="s">
        <v>972</v>
      </c>
      <c r="G1006" s="19" t="s">
        <v>220</v>
      </c>
      <c r="H1006" s="40" t="s">
        <v>2190</v>
      </c>
      <c r="I1006" s="28" t="s">
        <v>53</v>
      </c>
      <c r="J1006" s="55" t="s">
        <v>55</v>
      </c>
      <c r="K1006" s="24" t="s">
        <v>2376</v>
      </c>
      <c r="L1006" s="24" t="s">
        <v>246</v>
      </c>
      <c r="M1006" s="19">
        <f>1+1+12+1+1052+167+17</f>
        <v>1251</v>
      </c>
      <c r="N1006" s="93">
        <f>91.8+8.7+7487.728+1132.344+101.116</f>
        <v>8821.6880000000001</v>
      </c>
      <c r="O1006" s="19"/>
      <c r="P1006" s="19" t="s">
        <v>2191</v>
      </c>
      <c r="Q1006" s="12" t="s">
        <v>89</v>
      </c>
      <c r="R1006" s="24"/>
      <c r="S1006" s="24" t="s">
        <v>65</v>
      </c>
      <c r="T1006" s="19"/>
      <c r="U1006" s="19"/>
      <c r="V1006" s="19"/>
      <c r="W1006" s="19" t="s">
        <v>67</v>
      </c>
      <c r="X1006" s="32">
        <v>46213</v>
      </c>
      <c r="Y1006" s="19"/>
      <c r="Z1006" s="19"/>
    </row>
    <row r="1007" spans="1:26">
      <c r="A1007" s="19" t="s">
        <v>2174</v>
      </c>
      <c r="B1007" s="33">
        <v>46209</v>
      </c>
      <c r="C1007" s="40" t="s">
        <v>2377</v>
      </c>
      <c r="D1007" s="19" t="s">
        <v>2378</v>
      </c>
      <c r="E1007" s="19" t="s">
        <v>49</v>
      </c>
      <c r="F1007" s="19" t="s">
        <v>142</v>
      </c>
      <c r="G1007" s="19" t="s">
        <v>220</v>
      </c>
      <c r="H1007" s="40" t="s">
        <v>2190</v>
      </c>
      <c r="I1007" s="28" t="s">
        <v>53</v>
      </c>
      <c r="J1007" s="55" t="s">
        <v>55</v>
      </c>
      <c r="K1007" s="24" t="s">
        <v>2379</v>
      </c>
      <c r="L1007" s="24" t="s">
        <v>2380</v>
      </c>
      <c r="M1007" s="19">
        <f>1+1068+3+74+1</f>
        <v>1147</v>
      </c>
      <c r="N1007" s="93">
        <f>3.6+7324.268+10.8+316.08+3.6</f>
        <v>7658.3480000000009</v>
      </c>
      <c r="O1007" s="19"/>
      <c r="P1007" s="19" t="s">
        <v>2369</v>
      </c>
      <c r="Q1007" s="12" t="s">
        <v>89</v>
      </c>
      <c r="R1007" s="24"/>
      <c r="S1007" s="24" t="s">
        <v>65</v>
      </c>
      <c r="T1007" s="19"/>
      <c r="U1007" s="19"/>
      <c r="V1007" s="19"/>
      <c r="W1007" s="19" t="s">
        <v>67</v>
      </c>
      <c r="X1007" s="32">
        <v>46218</v>
      </c>
      <c r="Y1007" s="19"/>
      <c r="Z1007" s="19"/>
    </row>
    <row r="1008" spans="1:26">
      <c r="A1008" s="19" t="s">
        <v>2174</v>
      </c>
      <c r="B1008" s="197">
        <v>46209</v>
      </c>
      <c r="C1008" s="40" t="s">
        <v>2381</v>
      </c>
      <c r="D1008" s="184" t="s">
        <v>2378</v>
      </c>
      <c r="E1008" s="184" t="s">
        <v>49</v>
      </c>
      <c r="F1008" s="184" t="s">
        <v>2382</v>
      </c>
      <c r="G1008" s="184" t="s">
        <v>220</v>
      </c>
      <c r="H1008" s="192" t="s">
        <v>143</v>
      </c>
      <c r="I1008" s="193" t="s">
        <v>53</v>
      </c>
      <c r="J1008" s="181" t="s">
        <v>55</v>
      </c>
      <c r="K1008" s="24" t="s">
        <v>2383</v>
      </c>
      <c r="L1008" s="24" t="s">
        <v>135</v>
      </c>
      <c r="M1008" s="19">
        <f>17+406</f>
        <v>423</v>
      </c>
      <c r="N1008" s="93">
        <f>186.164+2764.112</f>
        <v>2950.2759999999998</v>
      </c>
      <c r="O1008" s="19"/>
      <c r="P1008" s="19" t="s">
        <v>2384</v>
      </c>
      <c r="Q1008" s="12" t="s">
        <v>89</v>
      </c>
      <c r="R1008" s="24"/>
      <c r="S1008" s="24" t="s">
        <v>65</v>
      </c>
      <c r="T1008" s="19"/>
      <c r="U1008" s="19"/>
      <c r="V1008" s="19"/>
      <c r="W1008" s="19" t="s">
        <v>67</v>
      </c>
      <c r="X1008" s="32">
        <v>46212</v>
      </c>
      <c r="Y1008" s="19"/>
      <c r="Z1008" s="19"/>
    </row>
    <row r="1009" spans="1:26">
      <c r="A1009" s="19" t="s">
        <v>2174</v>
      </c>
      <c r="B1009" s="186"/>
      <c r="C1009" s="40" t="s">
        <v>2385</v>
      </c>
      <c r="D1009" s="186"/>
      <c r="E1009" s="186"/>
      <c r="F1009" s="186"/>
      <c r="G1009" s="186"/>
      <c r="H1009" s="186"/>
      <c r="I1009" s="186"/>
      <c r="J1009" s="183"/>
      <c r="K1009" s="24" t="s">
        <v>2386</v>
      </c>
      <c r="L1009" s="24" t="s">
        <v>28</v>
      </c>
      <c r="M1009" s="19">
        <f>32+508+43+2</f>
        <v>585</v>
      </c>
      <c r="N1009" s="93">
        <f>406.128+3261.768+269.179+2.039</f>
        <v>3939.1140000000005</v>
      </c>
      <c r="O1009" s="19"/>
      <c r="P1009" s="19" t="s">
        <v>2384</v>
      </c>
      <c r="Q1009" s="12" t="s">
        <v>89</v>
      </c>
      <c r="R1009" s="24"/>
      <c r="S1009" s="24" t="s">
        <v>65</v>
      </c>
      <c r="T1009" s="19"/>
      <c r="U1009" s="19"/>
      <c r="V1009" s="19"/>
      <c r="W1009" s="19" t="s">
        <v>67</v>
      </c>
      <c r="X1009" s="32">
        <v>46212</v>
      </c>
      <c r="Y1009" s="19"/>
      <c r="Z1009" s="19"/>
    </row>
    <row r="1010" spans="1:26">
      <c r="A1010" s="19" t="s">
        <v>2174</v>
      </c>
      <c r="B1010" s="33">
        <v>46209</v>
      </c>
      <c r="C1010" s="40" t="s">
        <v>2387</v>
      </c>
      <c r="D1010" s="19" t="s">
        <v>59</v>
      </c>
      <c r="E1010" s="19" t="s">
        <v>373</v>
      </c>
      <c r="F1010" s="19" t="s">
        <v>1821</v>
      </c>
      <c r="G1010" s="19" t="s">
        <v>98</v>
      </c>
      <c r="H1010" s="40" t="s">
        <v>2219</v>
      </c>
      <c r="I1010" s="37" t="s">
        <v>2388</v>
      </c>
      <c r="J1010" s="42" t="s">
        <v>403</v>
      </c>
      <c r="K1010" s="24" t="s">
        <v>2389</v>
      </c>
      <c r="L1010" s="24" t="s">
        <v>330</v>
      </c>
      <c r="M1010" s="19"/>
      <c r="N1010" s="19"/>
      <c r="O1010" s="19"/>
      <c r="P1010" s="19" t="s">
        <v>2224</v>
      </c>
      <c r="Q1010" s="12" t="s">
        <v>1441</v>
      </c>
      <c r="R1010" s="24"/>
      <c r="S1010" s="24" t="s">
        <v>65</v>
      </c>
      <c r="T1010" s="19"/>
      <c r="U1010" s="19"/>
      <c r="V1010" s="19"/>
      <c r="W1010" s="19" t="s">
        <v>67</v>
      </c>
      <c r="X1010" s="32">
        <v>46213</v>
      </c>
      <c r="Y1010" s="19"/>
      <c r="Z1010" s="19" t="s">
        <v>2390</v>
      </c>
    </row>
    <row r="1011" spans="1:26">
      <c r="A1011" s="19" t="s">
        <v>2174</v>
      </c>
      <c r="B1011" s="33">
        <v>46209</v>
      </c>
      <c r="C1011" s="19"/>
      <c r="D1011" s="19" t="s">
        <v>48</v>
      </c>
      <c r="E1011" s="19" t="s">
        <v>200</v>
      </c>
      <c r="F1011" s="19" t="s">
        <v>2391</v>
      </c>
      <c r="G1011" s="19" t="s">
        <v>98</v>
      </c>
      <c r="H1011" s="40" t="s">
        <v>2290</v>
      </c>
      <c r="I1011" s="24" t="s">
        <v>2312</v>
      </c>
      <c r="J1011" s="24" t="s">
        <v>388</v>
      </c>
      <c r="K1011" s="24" t="s">
        <v>2392</v>
      </c>
      <c r="L1011" s="24" t="s">
        <v>2393</v>
      </c>
      <c r="M1011" s="19"/>
      <c r="N1011" s="19"/>
      <c r="O1011" s="19"/>
      <c r="P1011" s="19" t="s">
        <v>2358</v>
      </c>
      <c r="Q1011" s="12" t="s">
        <v>1441</v>
      </c>
      <c r="R1011" s="24"/>
      <c r="S1011" s="24" t="s">
        <v>65</v>
      </c>
      <c r="T1011" s="19"/>
      <c r="U1011" s="19"/>
      <c r="V1011" s="19"/>
      <c r="W1011" s="19" t="s">
        <v>67</v>
      </c>
      <c r="X1011" s="33">
        <v>46213</v>
      </c>
      <c r="Y1011" s="12" t="s">
        <v>2394</v>
      </c>
      <c r="Z1011" s="19"/>
    </row>
    <row r="1012" spans="1:26">
      <c r="A1012" s="19" t="s">
        <v>2174</v>
      </c>
      <c r="B1012" s="197">
        <v>46209</v>
      </c>
      <c r="C1012" s="19"/>
      <c r="D1012" s="184" t="s">
        <v>59</v>
      </c>
      <c r="E1012" s="184" t="s">
        <v>2395</v>
      </c>
      <c r="F1012" s="184" t="s">
        <v>2363</v>
      </c>
      <c r="G1012" s="184" t="s">
        <v>98</v>
      </c>
      <c r="H1012" s="192" t="s">
        <v>1053</v>
      </c>
      <c r="I1012" s="191" t="s">
        <v>2396</v>
      </c>
      <c r="J1012" s="191" t="s">
        <v>2397</v>
      </c>
      <c r="K1012" s="41" t="s">
        <v>2398</v>
      </c>
      <c r="L1012" s="24" t="s">
        <v>2399</v>
      </c>
      <c r="M1012" s="19"/>
      <c r="N1012" s="19"/>
      <c r="O1012" s="19"/>
      <c r="P1012" s="19" t="s">
        <v>180</v>
      </c>
      <c r="Q1012" s="12" t="s">
        <v>1441</v>
      </c>
      <c r="R1012" s="24"/>
      <c r="S1012" s="24" t="s">
        <v>65</v>
      </c>
      <c r="T1012" s="19"/>
      <c r="U1012" s="19"/>
      <c r="V1012" s="19"/>
      <c r="W1012" s="19" t="s">
        <v>67</v>
      </c>
      <c r="X1012" s="32">
        <v>46218</v>
      </c>
      <c r="Y1012" s="195" t="s">
        <v>2400</v>
      </c>
      <c r="Z1012" s="19"/>
    </row>
    <row r="1013" spans="1:26">
      <c r="A1013" s="19" t="s">
        <v>2174</v>
      </c>
      <c r="B1013" s="186"/>
      <c r="C1013" s="19"/>
      <c r="D1013" s="186"/>
      <c r="E1013" s="186"/>
      <c r="F1013" s="186"/>
      <c r="G1013" s="186"/>
      <c r="H1013" s="186"/>
      <c r="I1013" s="186"/>
      <c r="J1013" s="186"/>
      <c r="K1013" s="24" t="s">
        <v>2401</v>
      </c>
      <c r="L1013" s="24" t="s">
        <v>2402</v>
      </c>
      <c r="M1013" s="19"/>
      <c r="N1013" s="19"/>
      <c r="O1013" s="19"/>
      <c r="P1013" s="19" t="s">
        <v>180</v>
      </c>
      <c r="Q1013" s="12" t="s">
        <v>1441</v>
      </c>
      <c r="R1013" s="24"/>
      <c r="S1013" s="24" t="s">
        <v>65</v>
      </c>
      <c r="T1013" s="19"/>
      <c r="U1013" s="19"/>
      <c r="V1013" s="19"/>
      <c r="W1013" s="19" t="s">
        <v>67</v>
      </c>
      <c r="X1013" s="32">
        <v>46218</v>
      </c>
      <c r="Y1013" s="186"/>
      <c r="Z1013" s="19"/>
    </row>
    <row r="1014" spans="1:26">
      <c r="A1014" s="19" t="s">
        <v>2174</v>
      </c>
      <c r="B1014" s="81">
        <v>46209</v>
      </c>
      <c r="C1014" s="49"/>
      <c r="D1014" s="49" t="s">
        <v>59</v>
      </c>
      <c r="E1014" s="49" t="s">
        <v>284</v>
      </c>
      <c r="F1014" s="49" t="s">
        <v>2403</v>
      </c>
      <c r="G1014" s="49" t="s">
        <v>1764</v>
      </c>
      <c r="H1014" s="82" t="s">
        <v>2404</v>
      </c>
      <c r="I1014" s="83" t="s">
        <v>2405</v>
      </c>
      <c r="J1014" s="83" t="s">
        <v>2406</v>
      </c>
      <c r="K1014" s="83" t="s">
        <v>2407</v>
      </c>
      <c r="L1014" s="83" t="s">
        <v>28</v>
      </c>
      <c r="M1014" s="49"/>
      <c r="N1014" s="49"/>
      <c r="O1014" s="49"/>
      <c r="P1014" s="49" t="s">
        <v>2408</v>
      </c>
      <c r="Q1014" s="84" t="s">
        <v>89</v>
      </c>
      <c r="R1014" s="83" t="s">
        <v>2334</v>
      </c>
      <c r="S1014" s="83" t="s">
        <v>65</v>
      </c>
      <c r="T1014" s="49" t="s">
        <v>2334</v>
      </c>
      <c r="U1014" s="49" t="s">
        <v>2334</v>
      </c>
      <c r="V1014" s="49" t="s">
        <v>2334</v>
      </c>
      <c r="W1014" s="49" t="s">
        <v>67</v>
      </c>
      <c r="X1014" s="50">
        <v>46213</v>
      </c>
      <c r="Y1014" s="49"/>
      <c r="Z1014" s="49"/>
    </row>
    <row r="1015" spans="1:26">
      <c r="A1015" s="19" t="s">
        <v>2174</v>
      </c>
      <c r="B1015" s="33">
        <v>46210</v>
      </c>
      <c r="C1015" s="19"/>
      <c r="D1015" s="19" t="s">
        <v>59</v>
      </c>
      <c r="E1015" s="19" t="s">
        <v>1875</v>
      </c>
      <c r="F1015" s="19" t="s">
        <v>158</v>
      </c>
      <c r="G1015" s="19" t="s">
        <v>98</v>
      </c>
      <c r="H1015" s="40" t="s">
        <v>75</v>
      </c>
      <c r="I1015" s="24" t="s">
        <v>667</v>
      </c>
      <c r="J1015" s="24" t="s">
        <v>28</v>
      </c>
      <c r="K1015" s="24" t="s">
        <v>2409</v>
      </c>
      <c r="L1015" s="24" t="s">
        <v>130</v>
      </c>
      <c r="M1015" s="19"/>
      <c r="N1015" s="19"/>
      <c r="O1015" s="19"/>
      <c r="P1015" s="19" t="s">
        <v>83</v>
      </c>
      <c r="Q1015" s="12" t="s">
        <v>1441</v>
      </c>
      <c r="R1015" s="24"/>
      <c r="S1015" s="24" t="s">
        <v>65</v>
      </c>
      <c r="T1015" s="19"/>
      <c r="U1015" s="19"/>
      <c r="V1015" s="19"/>
      <c r="W1015" s="19" t="s">
        <v>67</v>
      </c>
      <c r="X1015" s="32">
        <v>46216</v>
      </c>
      <c r="Y1015" s="19"/>
      <c r="Z1015" s="19"/>
    </row>
    <row r="1016" spans="1:26">
      <c r="A1016" s="19" t="s">
        <v>2174</v>
      </c>
      <c r="B1016" s="197">
        <v>46210</v>
      </c>
      <c r="C1016" s="184"/>
      <c r="D1016" s="184" t="s">
        <v>59</v>
      </c>
      <c r="E1016" s="184" t="s">
        <v>96</v>
      </c>
      <c r="F1016" s="184" t="s">
        <v>219</v>
      </c>
      <c r="G1016" s="184" t="s">
        <v>51</v>
      </c>
      <c r="H1016" s="192" t="s">
        <v>221</v>
      </c>
      <c r="I1016" s="193" t="s">
        <v>100</v>
      </c>
      <c r="J1016" s="181" t="s">
        <v>102</v>
      </c>
      <c r="K1016" s="24" t="s">
        <v>2410</v>
      </c>
      <c r="L1016" s="24" t="s">
        <v>2411</v>
      </c>
      <c r="M1016" s="19"/>
      <c r="N1016" s="19"/>
      <c r="O1016" s="19"/>
      <c r="P1016" s="19" t="s">
        <v>573</v>
      </c>
      <c r="Q1016" s="12" t="s">
        <v>1441</v>
      </c>
      <c r="R1016" s="24"/>
      <c r="S1016" s="24" t="s">
        <v>65</v>
      </c>
      <c r="T1016" s="19"/>
      <c r="U1016" s="19"/>
      <c r="V1016" s="19"/>
      <c r="W1016" s="19" t="s">
        <v>67</v>
      </c>
      <c r="X1016" s="32">
        <v>46211</v>
      </c>
      <c r="Y1016" s="19"/>
      <c r="Z1016" s="19"/>
    </row>
    <row r="1017" spans="1:26">
      <c r="A1017" s="19" t="s">
        <v>2174</v>
      </c>
      <c r="B1017" s="185"/>
      <c r="C1017" s="185"/>
      <c r="D1017" s="185"/>
      <c r="E1017" s="185"/>
      <c r="F1017" s="185"/>
      <c r="G1017" s="185"/>
      <c r="H1017" s="185"/>
      <c r="I1017" s="185"/>
      <c r="J1017" s="182"/>
      <c r="K1017" s="24" t="s">
        <v>2412</v>
      </c>
      <c r="L1017" s="24" t="s">
        <v>151</v>
      </c>
      <c r="M1017" s="19"/>
      <c r="N1017" s="19"/>
      <c r="O1017" s="19"/>
      <c r="P1017" s="19" t="s">
        <v>573</v>
      </c>
      <c r="Q1017" s="12" t="s">
        <v>1441</v>
      </c>
      <c r="R1017" s="24"/>
      <c r="S1017" s="24" t="s">
        <v>65</v>
      </c>
      <c r="T1017" s="19"/>
      <c r="U1017" s="19"/>
      <c r="V1017" s="19"/>
      <c r="W1017" s="19" t="s">
        <v>67</v>
      </c>
      <c r="X1017" s="32">
        <v>46211</v>
      </c>
      <c r="Y1017" s="19"/>
      <c r="Z1017" s="19"/>
    </row>
    <row r="1018" spans="1:26">
      <c r="A1018" s="19" t="s">
        <v>2174</v>
      </c>
      <c r="B1018" s="186"/>
      <c r="C1018" s="186"/>
      <c r="D1018" s="186"/>
      <c r="E1018" s="186"/>
      <c r="F1018" s="186"/>
      <c r="G1018" s="186"/>
      <c r="H1018" s="186"/>
      <c r="I1018" s="186"/>
      <c r="J1018" s="183"/>
      <c r="K1018" s="24" t="s">
        <v>2413</v>
      </c>
      <c r="L1018" s="24" t="s">
        <v>151</v>
      </c>
      <c r="M1018" s="19"/>
      <c r="N1018" s="19"/>
      <c r="O1018" s="19"/>
      <c r="P1018" s="19" t="s">
        <v>573</v>
      </c>
      <c r="Q1018" s="12" t="s">
        <v>1441</v>
      </c>
      <c r="R1018" s="24"/>
      <c r="S1018" s="24" t="s">
        <v>65</v>
      </c>
      <c r="T1018" s="19"/>
      <c r="U1018" s="19"/>
      <c r="V1018" s="19"/>
      <c r="W1018" s="19" t="s">
        <v>67</v>
      </c>
      <c r="X1018" s="32">
        <v>46211</v>
      </c>
      <c r="Y1018" s="19"/>
      <c r="Z1018" s="19"/>
    </row>
    <row r="1019" spans="1:26">
      <c r="A1019" s="19" t="s">
        <v>2174</v>
      </c>
      <c r="B1019" s="197">
        <v>46210</v>
      </c>
      <c r="C1019" s="19"/>
      <c r="D1019" s="19" t="s">
        <v>59</v>
      </c>
      <c r="E1019" s="184" t="s">
        <v>609</v>
      </c>
      <c r="F1019" s="184" t="s">
        <v>2414</v>
      </c>
      <c r="G1019" s="184" t="s">
        <v>51</v>
      </c>
      <c r="H1019" s="192" t="s">
        <v>2415</v>
      </c>
      <c r="I1019" s="191" t="s">
        <v>109</v>
      </c>
      <c r="J1019" s="191" t="s">
        <v>330</v>
      </c>
      <c r="K1019" s="24" t="s">
        <v>2416</v>
      </c>
      <c r="L1019" s="24" t="s">
        <v>2417</v>
      </c>
      <c r="M1019" s="19"/>
      <c r="N1019" s="19"/>
      <c r="O1019" s="19"/>
      <c r="P1019" s="19" t="s">
        <v>2418</v>
      </c>
      <c r="Q1019" s="12" t="s">
        <v>89</v>
      </c>
      <c r="R1019" s="24"/>
      <c r="S1019" s="24" t="s">
        <v>65</v>
      </c>
      <c r="T1019" s="19"/>
      <c r="U1019" s="19"/>
      <c r="V1019" s="19"/>
      <c r="W1019" s="19" t="s">
        <v>67</v>
      </c>
      <c r="X1019" s="32">
        <v>46216</v>
      </c>
      <c r="Y1019" s="19"/>
      <c r="Z1019" s="19"/>
    </row>
    <row r="1020" spans="1:26">
      <c r="A1020" s="19" t="s">
        <v>2174</v>
      </c>
      <c r="B1020" s="186"/>
      <c r="C1020" s="19"/>
      <c r="D1020" s="19"/>
      <c r="E1020" s="186"/>
      <c r="F1020" s="186"/>
      <c r="G1020" s="186"/>
      <c r="H1020" s="186"/>
      <c r="I1020" s="186"/>
      <c r="J1020" s="186"/>
      <c r="K1020" s="24" t="s">
        <v>150</v>
      </c>
      <c r="L1020" s="41" t="s">
        <v>2419</v>
      </c>
      <c r="M1020" s="19"/>
      <c r="N1020" s="19"/>
      <c r="O1020" s="19"/>
      <c r="P1020" s="19" t="s">
        <v>2418</v>
      </c>
      <c r="Q1020" s="12" t="s">
        <v>89</v>
      </c>
      <c r="R1020" s="24"/>
      <c r="S1020" s="24" t="s">
        <v>65</v>
      </c>
      <c r="T1020" s="19"/>
      <c r="U1020" s="19"/>
      <c r="V1020" s="19"/>
      <c r="W1020" s="19"/>
      <c r="X1020" s="19"/>
      <c r="Y1020" s="19"/>
      <c r="Z1020" s="19"/>
    </row>
    <row r="1021" spans="1:26">
      <c r="A1021" s="19" t="s">
        <v>2174</v>
      </c>
      <c r="B1021" s="197">
        <v>46210</v>
      </c>
      <c r="C1021" s="19"/>
      <c r="D1021" s="184" t="s">
        <v>59</v>
      </c>
      <c r="E1021" s="184" t="s">
        <v>373</v>
      </c>
      <c r="F1021" s="184" t="s">
        <v>2420</v>
      </c>
      <c r="G1021" s="184" t="s">
        <v>51</v>
      </c>
      <c r="H1021" s="192" t="s">
        <v>2421</v>
      </c>
      <c r="I1021" s="193" t="s">
        <v>374</v>
      </c>
      <c r="J1021" s="181" t="s">
        <v>375</v>
      </c>
      <c r="K1021" s="24" t="s">
        <v>2422</v>
      </c>
      <c r="L1021" s="24" t="s">
        <v>403</v>
      </c>
      <c r="M1021" s="19"/>
      <c r="N1021" s="19"/>
      <c r="O1021" s="19"/>
      <c r="P1021" s="19" t="s">
        <v>2423</v>
      </c>
      <c r="Q1021" s="12" t="s">
        <v>1441</v>
      </c>
      <c r="R1021" s="24"/>
      <c r="S1021" s="24" t="s">
        <v>65</v>
      </c>
      <c r="T1021" s="19"/>
      <c r="U1021" s="19"/>
      <c r="V1021" s="19"/>
      <c r="W1021" s="19" t="s">
        <v>67</v>
      </c>
      <c r="X1021" s="32">
        <v>46220</v>
      </c>
      <c r="Y1021" s="19"/>
      <c r="Z1021" s="19"/>
    </row>
    <row r="1022" spans="1:26">
      <c r="A1022" s="19" t="s">
        <v>2174</v>
      </c>
      <c r="B1022" s="186"/>
      <c r="C1022" s="19"/>
      <c r="D1022" s="186"/>
      <c r="E1022" s="186"/>
      <c r="F1022" s="186"/>
      <c r="G1022" s="186"/>
      <c r="H1022" s="186"/>
      <c r="I1022" s="186"/>
      <c r="J1022" s="183"/>
      <c r="K1022" s="24" t="s">
        <v>2424</v>
      </c>
      <c r="L1022" s="24" t="s">
        <v>678</v>
      </c>
      <c r="M1022" s="19"/>
      <c r="N1022" s="19"/>
      <c r="O1022" s="19"/>
      <c r="P1022" s="19" t="s">
        <v>2423</v>
      </c>
      <c r="Q1022" s="12" t="s">
        <v>1441</v>
      </c>
      <c r="R1022" s="24"/>
      <c r="S1022" s="24" t="s">
        <v>65</v>
      </c>
      <c r="T1022" s="19"/>
      <c r="U1022" s="19"/>
      <c r="V1022" s="19"/>
      <c r="W1022" s="19" t="s">
        <v>67</v>
      </c>
      <c r="X1022" s="32">
        <v>46220</v>
      </c>
      <c r="Y1022" s="12" t="s">
        <v>2425</v>
      </c>
      <c r="Z1022" s="19"/>
    </row>
    <row r="1023" spans="1:26">
      <c r="A1023" s="19" t="s">
        <v>2174</v>
      </c>
      <c r="B1023" s="33">
        <v>46210</v>
      </c>
      <c r="C1023" s="40" t="s">
        <v>2426</v>
      </c>
      <c r="D1023" s="19" t="s">
        <v>48</v>
      </c>
      <c r="E1023" s="19" t="s">
        <v>49</v>
      </c>
      <c r="F1023" s="19" t="s">
        <v>285</v>
      </c>
      <c r="G1023" s="19" t="s">
        <v>220</v>
      </c>
      <c r="H1023" s="40" t="s">
        <v>288</v>
      </c>
      <c r="I1023" s="28" t="s">
        <v>53</v>
      </c>
      <c r="J1023" s="55" t="s">
        <v>55</v>
      </c>
      <c r="K1023" s="24" t="s">
        <v>2427</v>
      </c>
      <c r="L1023" s="24" t="s">
        <v>28</v>
      </c>
      <c r="M1023" s="19">
        <f>128+8+951+50+208+12+2+2</f>
        <v>1361</v>
      </c>
      <c r="N1023" s="93">
        <f>225.96+34.56+6339.64+216+1382.852+55.637+23.3+7.4</f>
        <v>8285.3490000000002</v>
      </c>
      <c r="O1023" s="19"/>
      <c r="P1023" s="19" t="s">
        <v>290</v>
      </c>
      <c r="Q1023" s="12" t="s">
        <v>1441</v>
      </c>
      <c r="R1023" s="24"/>
      <c r="S1023" s="24" t="s">
        <v>65</v>
      </c>
      <c r="T1023" s="19"/>
      <c r="U1023" s="19"/>
      <c r="V1023" s="19"/>
      <c r="W1023" s="19" t="s">
        <v>67</v>
      </c>
      <c r="X1023" s="32">
        <v>46216</v>
      </c>
      <c r="Y1023" s="12" t="s">
        <v>2428</v>
      </c>
      <c r="Z1023" s="19"/>
    </row>
    <row r="1024" spans="1:26">
      <c r="A1024" s="19" t="s">
        <v>2174</v>
      </c>
      <c r="B1024" s="197">
        <v>46210</v>
      </c>
      <c r="C1024" s="40" t="s">
        <v>2429</v>
      </c>
      <c r="D1024" s="184" t="s">
        <v>48</v>
      </c>
      <c r="E1024" s="184" t="s">
        <v>49</v>
      </c>
      <c r="F1024" s="184" t="s">
        <v>2243</v>
      </c>
      <c r="G1024" s="184" t="s">
        <v>51</v>
      </c>
      <c r="H1024" s="192" t="s">
        <v>2244</v>
      </c>
      <c r="I1024" s="193" t="s">
        <v>53</v>
      </c>
      <c r="J1024" s="181" t="s">
        <v>55</v>
      </c>
      <c r="K1024" s="24" t="s">
        <v>2430</v>
      </c>
      <c r="L1024" s="24" t="s">
        <v>1972</v>
      </c>
      <c r="M1024" s="19">
        <f>118+1+3</f>
        <v>122</v>
      </c>
      <c r="N1024" s="93">
        <f>965.116+3.6+12.96</f>
        <v>981.67600000000004</v>
      </c>
      <c r="O1024" s="19"/>
      <c r="P1024" s="19" t="s">
        <v>2246</v>
      </c>
      <c r="Q1024" s="12" t="s">
        <v>1441</v>
      </c>
      <c r="R1024" s="24"/>
      <c r="S1024" s="24" t="s">
        <v>65</v>
      </c>
      <c r="T1024" s="19"/>
      <c r="U1024" s="19"/>
      <c r="V1024" s="19"/>
      <c r="W1024" s="19" t="s">
        <v>67</v>
      </c>
      <c r="X1024" s="32">
        <v>46213</v>
      </c>
      <c r="Y1024" s="195" t="s">
        <v>2428</v>
      </c>
      <c r="Z1024" s="19"/>
    </row>
    <row r="1025" spans="1:26">
      <c r="A1025" s="19" t="s">
        <v>2174</v>
      </c>
      <c r="B1025" s="185"/>
      <c r="C1025" s="40" t="s">
        <v>2431</v>
      </c>
      <c r="D1025" s="185"/>
      <c r="E1025" s="185"/>
      <c r="F1025" s="185"/>
      <c r="G1025" s="185"/>
      <c r="H1025" s="185"/>
      <c r="I1025" s="185"/>
      <c r="J1025" s="182"/>
      <c r="K1025" s="24" t="s">
        <v>2432</v>
      </c>
      <c r="L1025" s="24" t="s">
        <v>134</v>
      </c>
      <c r="M1025" s="19">
        <f>1+96</f>
        <v>97</v>
      </c>
      <c r="N1025" s="93">
        <f>3.6+669.744</f>
        <v>673.34400000000005</v>
      </c>
      <c r="O1025" s="19"/>
      <c r="P1025" s="19" t="s">
        <v>2246</v>
      </c>
      <c r="Q1025" s="12" t="s">
        <v>1441</v>
      </c>
      <c r="R1025" s="24"/>
      <c r="S1025" s="24" t="s">
        <v>65</v>
      </c>
      <c r="T1025" s="19"/>
      <c r="U1025" s="19"/>
      <c r="V1025" s="19"/>
      <c r="W1025" s="19" t="s">
        <v>67</v>
      </c>
      <c r="X1025" s="32">
        <v>46213</v>
      </c>
      <c r="Y1025" s="185"/>
      <c r="Z1025" s="19"/>
    </row>
    <row r="1026" spans="1:26">
      <c r="A1026" s="19" t="s">
        <v>2174</v>
      </c>
      <c r="B1026" s="185"/>
      <c r="C1026" s="40" t="s">
        <v>2433</v>
      </c>
      <c r="D1026" s="185"/>
      <c r="E1026" s="185"/>
      <c r="F1026" s="185"/>
      <c r="G1026" s="185"/>
      <c r="H1026" s="185"/>
      <c r="I1026" s="185"/>
      <c r="J1026" s="182"/>
      <c r="K1026" s="24" t="s">
        <v>2434</v>
      </c>
      <c r="L1026" s="24" t="s">
        <v>60</v>
      </c>
      <c r="M1026" s="19">
        <f>2+125+1+2</f>
        <v>130</v>
      </c>
      <c r="N1026" s="93">
        <f>9.02+914.996+3.6+7.2</f>
        <v>934.81600000000003</v>
      </c>
      <c r="O1026" s="19"/>
      <c r="P1026" s="19" t="s">
        <v>2246</v>
      </c>
      <c r="Q1026" s="12" t="s">
        <v>1441</v>
      </c>
      <c r="R1026" s="24"/>
      <c r="S1026" s="24" t="s">
        <v>65</v>
      </c>
      <c r="T1026" s="19"/>
      <c r="U1026" s="19"/>
      <c r="V1026" s="19"/>
      <c r="W1026" s="19" t="s">
        <v>67</v>
      </c>
      <c r="X1026" s="32">
        <v>46213</v>
      </c>
      <c r="Y1026" s="185"/>
      <c r="Z1026" s="19"/>
    </row>
    <row r="1027" spans="1:26">
      <c r="A1027" s="19" t="s">
        <v>2174</v>
      </c>
      <c r="B1027" s="186"/>
      <c r="C1027" s="40" t="s">
        <v>2435</v>
      </c>
      <c r="D1027" s="186"/>
      <c r="E1027" s="186"/>
      <c r="F1027" s="186"/>
      <c r="G1027" s="186"/>
      <c r="H1027" s="186"/>
      <c r="I1027" s="186"/>
      <c r="J1027" s="183"/>
      <c r="K1027" s="24" t="s">
        <v>2436</v>
      </c>
      <c r="L1027" s="24" t="s">
        <v>757</v>
      </c>
      <c r="M1027" s="19">
        <f>2+176</f>
        <v>178</v>
      </c>
      <c r="N1027" s="93">
        <f>9.02+1289.512</f>
        <v>1298.5319999999999</v>
      </c>
      <c r="O1027" s="19"/>
      <c r="P1027" s="19" t="s">
        <v>2246</v>
      </c>
      <c r="Q1027" s="12" t="s">
        <v>1441</v>
      </c>
      <c r="R1027" s="24"/>
      <c r="S1027" s="24" t="s">
        <v>65</v>
      </c>
      <c r="T1027" s="19"/>
      <c r="U1027" s="19"/>
      <c r="V1027" s="19"/>
      <c r="W1027" s="19" t="s">
        <v>67</v>
      </c>
      <c r="X1027" s="32">
        <v>46213</v>
      </c>
      <c r="Y1027" s="186"/>
      <c r="Z1027" s="19"/>
    </row>
    <row r="1028" spans="1:26">
      <c r="A1028" s="19" t="s">
        <v>2174</v>
      </c>
      <c r="B1028" s="33">
        <v>46210</v>
      </c>
      <c r="C1028" s="19"/>
      <c r="D1028" s="19" t="s">
        <v>48</v>
      </c>
      <c r="E1028" s="19" t="s">
        <v>609</v>
      </c>
      <c r="F1028" s="19" t="s">
        <v>427</v>
      </c>
      <c r="G1028" s="19" t="s">
        <v>2293</v>
      </c>
      <c r="H1028" s="40" t="s">
        <v>2290</v>
      </c>
      <c r="I1028" s="24" t="s">
        <v>2437</v>
      </c>
      <c r="J1028" s="24" t="s">
        <v>584</v>
      </c>
      <c r="K1028" s="24" t="s">
        <v>164</v>
      </c>
      <c r="L1028" s="24" t="s">
        <v>104</v>
      </c>
      <c r="M1028" s="19"/>
      <c r="N1028" s="19"/>
      <c r="O1028" s="19"/>
      <c r="P1028" s="19" t="s">
        <v>2358</v>
      </c>
      <c r="Q1028" s="12" t="s">
        <v>89</v>
      </c>
      <c r="R1028" s="24"/>
      <c r="S1028" s="24" t="s">
        <v>65</v>
      </c>
      <c r="T1028" s="19"/>
      <c r="U1028" s="19"/>
      <c r="V1028" s="19"/>
      <c r="W1028" s="19" t="s">
        <v>67</v>
      </c>
      <c r="X1028" s="32">
        <v>46211</v>
      </c>
      <c r="Y1028" s="19"/>
      <c r="Z1028" s="19"/>
    </row>
    <row r="1029" spans="1:26">
      <c r="A1029" s="19" t="s">
        <v>2174</v>
      </c>
      <c r="B1029" s="197">
        <v>46210</v>
      </c>
      <c r="C1029" s="184"/>
      <c r="D1029" s="184" t="s">
        <v>48</v>
      </c>
      <c r="E1029" s="184" t="s">
        <v>71</v>
      </c>
      <c r="F1029" s="184" t="s">
        <v>2438</v>
      </c>
      <c r="G1029" s="184" t="s">
        <v>173</v>
      </c>
      <c r="H1029" s="192" t="s">
        <v>262</v>
      </c>
      <c r="I1029" s="191" t="s">
        <v>2439</v>
      </c>
      <c r="J1029" s="191" t="s">
        <v>2440</v>
      </c>
      <c r="K1029" s="24" t="s">
        <v>2441</v>
      </c>
      <c r="L1029" s="24" t="s">
        <v>1775</v>
      </c>
      <c r="M1029" s="19"/>
      <c r="N1029" s="19"/>
      <c r="O1029" s="19"/>
      <c r="P1029" s="19" t="s">
        <v>458</v>
      </c>
      <c r="Q1029" s="12" t="s">
        <v>1441</v>
      </c>
      <c r="R1029" s="24"/>
      <c r="S1029" s="24" t="s">
        <v>65</v>
      </c>
      <c r="T1029" s="19"/>
      <c r="U1029" s="19"/>
      <c r="V1029" s="19"/>
      <c r="W1029" s="19" t="s">
        <v>67</v>
      </c>
      <c r="X1029" s="32">
        <v>46218</v>
      </c>
      <c r="Y1029" s="12" t="s">
        <v>2443</v>
      </c>
      <c r="Z1029" s="12" t="s">
        <v>2444</v>
      </c>
    </row>
    <row r="1030" spans="1:26">
      <c r="A1030" s="19" t="s">
        <v>2174</v>
      </c>
      <c r="B1030" s="186"/>
      <c r="C1030" s="186"/>
      <c r="D1030" s="186"/>
      <c r="E1030" s="186"/>
      <c r="F1030" s="186"/>
      <c r="G1030" s="186"/>
      <c r="H1030" s="186"/>
      <c r="I1030" s="186"/>
      <c r="J1030" s="186"/>
      <c r="K1030" s="24" t="s">
        <v>2445</v>
      </c>
      <c r="L1030" s="24" t="s">
        <v>266</v>
      </c>
      <c r="M1030" s="19"/>
      <c r="N1030" s="19"/>
      <c r="O1030" s="19"/>
      <c r="P1030" s="19" t="s">
        <v>458</v>
      </c>
      <c r="Q1030" s="12" t="s">
        <v>1441</v>
      </c>
      <c r="R1030" s="24"/>
      <c r="S1030" s="24" t="s">
        <v>65</v>
      </c>
      <c r="T1030" s="19"/>
      <c r="U1030" s="19"/>
      <c r="V1030" s="19"/>
      <c r="W1030" s="19" t="s">
        <v>67</v>
      </c>
      <c r="X1030" s="32">
        <v>46218</v>
      </c>
      <c r="Y1030" s="12" t="s">
        <v>2446</v>
      </c>
      <c r="Z1030" s="12" t="s">
        <v>2447</v>
      </c>
    </row>
    <row r="1031" spans="1:26">
      <c r="A1031" s="19" t="s">
        <v>2174</v>
      </c>
      <c r="B1031" s="33">
        <v>46210</v>
      </c>
      <c r="C1031" s="19"/>
      <c r="D1031" s="19" t="s">
        <v>48</v>
      </c>
      <c r="E1031" s="19" t="s">
        <v>71</v>
      </c>
      <c r="F1031" s="19" t="s">
        <v>2292</v>
      </c>
      <c r="G1031" s="19" t="s">
        <v>173</v>
      </c>
      <c r="H1031" s="40" t="s">
        <v>262</v>
      </c>
      <c r="I1031" s="24" t="s">
        <v>2439</v>
      </c>
      <c r="J1031" s="24" t="s">
        <v>2440</v>
      </c>
      <c r="K1031" s="24" t="s">
        <v>2448</v>
      </c>
      <c r="L1031" s="24" t="s">
        <v>330</v>
      </c>
      <c r="M1031" s="19"/>
      <c r="N1031" s="19"/>
      <c r="O1031" s="19"/>
      <c r="P1031" s="19" t="s">
        <v>2449</v>
      </c>
      <c r="Q1031" s="12" t="s">
        <v>1441</v>
      </c>
      <c r="R1031" s="24"/>
      <c r="S1031" s="24" t="s">
        <v>65</v>
      </c>
      <c r="T1031" s="19"/>
      <c r="U1031" s="19"/>
      <c r="V1031" s="19"/>
      <c r="W1031" s="19" t="s">
        <v>67</v>
      </c>
      <c r="X1031" s="32">
        <v>46218</v>
      </c>
      <c r="Y1031" s="12" t="s">
        <v>2450</v>
      </c>
      <c r="Z1031" s="12" t="s">
        <v>2451</v>
      </c>
    </row>
    <row r="1032" spans="1:26">
      <c r="A1032" s="19" t="s">
        <v>2174</v>
      </c>
      <c r="B1032" s="200">
        <v>46210</v>
      </c>
      <c r="C1032" s="184"/>
      <c r="D1032" s="198" t="s">
        <v>48</v>
      </c>
      <c r="E1032" s="198" t="s">
        <v>71</v>
      </c>
      <c r="F1032" s="198" t="s">
        <v>2292</v>
      </c>
      <c r="G1032" s="198" t="s">
        <v>173</v>
      </c>
      <c r="H1032" s="199" t="s">
        <v>262</v>
      </c>
      <c r="I1032" s="191" t="s">
        <v>2439</v>
      </c>
      <c r="J1032" s="191" t="s">
        <v>2440</v>
      </c>
      <c r="K1032" s="24" t="s">
        <v>2452</v>
      </c>
      <c r="L1032" s="24" t="s">
        <v>2453</v>
      </c>
      <c r="M1032" s="19"/>
      <c r="N1032" s="19"/>
      <c r="O1032" s="19"/>
      <c r="P1032" s="19" t="s">
        <v>2449</v>
      </c>
      <c r="Q1032" s="12" t="s">
        <v>1441</v>
      </c>
      <c r="R1032" s="24"/>
      <c r="S1032" s="24" t="s">
        <v>65</v>
      </c>
      <c r="T1032" s="19"/>
      <c r="U1032" s="19"/>
      <c r="V1032" s="19"/>
      <c r="W1032" s="19" t="s">
        <v>67</v>
      </c>
      <c r="X1032" s="32">
        <v>46216</v>
      </c>
      <c r="Y1032" s="12" t="s">
        <v>2205</v>
      </c>
      <c r="Z1032" s="12" t="s">
        <v>2454</v>
      </c>
    </row>
    <row r="1033" spans="1:26">
      <c r="A1033" s="19" t="s">
        <v>2174</v>
      </c>
      <c r="B1033" s="186"/>
      <c r="C1033" s="186"/>
      <c r="D1033" s="186"/>
      <c r="E1033" s="186"/>
      <c r="F1033" s="186"/>
      <c r="G1033" s="186"/>
      <c r="H1033" s="186"/>
      <c r="I1033" s="186"/>
      <c r="J1033" s="186"/>
      <c r="K1033" s="24" t="s">
        <v>2455</v>
      </c>
      <c r="L1033" s="24" t="s">
        <v>1427</v>
      </c>
      <c r="M1033" s="19"/>
      <c r="N1033" s="19"/>
      <c r="O1033" s="19"/>
      <c r="P1033" s="19" t="s">
        <v>2449</v>
      </c>
      <c r="Q1033" s="12" t="s">
        <v>1441</v>
      </c>
      <c r="R1033" s="24"/>
      <c r="S1033" s="24" t="s">
        <v>65</v>
      </c>
      <c r="T1033" s="19"/>
      <c r="U1033" s="19"/>
      <c r="V1033" s="19"/>
      <c r="W1033" s="19" t="s">
        <v>67</v>
      </c>
      <c r="X1033" s="32">
        <v>46216</v>
      </c>
      <c r="Y1033" s="12" t="s">
        <v>2456</v>
      </c>
      <c r="Z1033" s="12" t="s">
        <v>2457</v>
      </c>
    </row>
    <row r="1034" spans="1:26">
      <c r="A1034" s="19" t="s">
        <v>2174</v>
      </c>
      <c r="B1034" s="51">
        <v>46210</v>
      </c>
      <c r="C1034" s="52"/>
      <c r="D1034" s="52" t="s">
        <v>59</v>
      </c>
      <c r="E1034" s="52" t="s">
        <v>71</v>
      </c>
      <c r="F1034" s="52" t="s">
        <v>2458</v>
      </c>
      <c r="G1034" s="52" t="s">
        <v>98</v>
      </c>
      <c r="H1034" s="17" t="s">
        <v>2459</v>
      </c>
      <c r="I1034" s="53" t="s">
        <v>2182</v>
      </c>
      <c r="J1034" s="53" t="s">
        <v>60</v>
      </c>
      <c r="K1034" s="53" t="s">
        <v>2460</v>
      </c>
      <c r="L1034" s="53" t="s">
        <v>2461</v>
      </c>
      <c r="M1034" s="52"/>
      <c r="N1034" s="52"/>
      <c r="O1034" s="52"/>
      <c r="P1034" s="52" t="s">
        <v>389</v>
      </c>
      <c r="Q1034" s="6" t="s">
        <v>1441</v>
      </c>
      <c r="R1034" s="53"/>
      <c r="S1034" s="53" t="s">
        <v>65</v>
      </c>
      <c r="T1034" s="52"/>
      <c r="U1034" s="52"/>
      <c r="V1034" s="52"/>
      <c r="W1034" s="52" t="s">
        <v>67</v>
      </c>
      <c r="X1034" s="54">
        <v>46216</v>
      </c>
      <c r="Y1034" s="6" t="s">
        <v>2462</v>
      </c>
      <c r="Z1034" s="52"/>
    </row>
    <row r="1035" spans="1:26">
      <c r="A1035" s="19" t="s">
        <v>2174</v>
      </c>
      <c r="B1035" s="33">
        <v>46210</v>
      </c>
      <c r="C1035" s="19"/>
      <c r="D1035" s="19" t="s">
        <v>59</v>
      </c>
      <c r="E1035" s="19" t="s">
        <v>284</v>
      </c>
      <c r="F1035" s="19" t="s">
        <v>2463</v>
      </c>
      <c r="G1035" s="19" t="s">
        <v>127</v>
      </c>
      <c r="H1035" s="40" t="s">
        <v>2464</v>
      </c>
      <c r="I1035" s="24" t="s">
        <v>2465</v>
      </c>
      <c r="J1035" s="24" t="s">
        <v>2406</v>
      </c>
      <c r="K1035" s="24" t="s">
        <v>2466</v>
      </c>
      <c r="L1035" s="24" t="s">
        <v>2467</v>
      </c>
      <c r="M1035" s="19"/>
      <c r="N1035" s="19"/>
      <c r="O1035" s="19" t="s">
        <v>2334</v>
      </c>
      <c r="P1035" s="19" t="s">
        <v>2468</v>
      </c>
      <c r="Q1035" s="12" t="s">
        <v>89</v>
      </c>
      <c r="R1035" s="24" t="s">
        <v>2334</v>
      </c>
      <c r="S1035" s="24" t="s">
        <v>65</v>
      </c>
      <c r="T1035" s="19" t="s">
        <v>2334</v>
      </c>
      <c r="U1035" s="19" t="s">
        <v>2334</v>
      </c>
      <c r="V1035" s="19" t="s">
        <v>2334</v>
      </c>
      <c r="W1035" s="19" t="s">
        <v>67</v>
      </c>
      <c r="X1035" s="32">
        <v>46216</v>
      </c>
      <c r="Y1035" s="19"/>
      <c r="Z1035" s="12" t="s">
        <v>2469</v>
      </c>
    </row>
    <row r="1036" spans="1:26">
      <c r="A1036" s="19" t="s">
        <v>2174</v>
      </c>
      <c r="B1036" s="33">
        <v>46210</v>
      </c>
      <c r="C1036" s="40" t="s">
        <v>2470</v>
      </c>
      <c r="D1036" s="19" t="s">
        <v>59</v>
      </c>
      <c r="E1036" s="19" t="s">
        <v>2242</v>
      </c>
      <c r="F1036" s="19" t="s">
        <v>2471</v>
      </c>
      <c r="G1036" s="19" t="s">
        <v>51</v>
      </c>
      <c r="H1036" s="40" t="s">
        <v>2472</v>
      </c>
      <c r="I1036" s="24" t="s">
        <v>1774</v>
      </c>
      <c r="J1036" s="24" t="s">
        <v>28</v>
      </c>
      <c r="K1036" s="24" t="s">
        <v>975</v>
      </c>
      <c r="L1036" s="24" t="s">
        <v>110</v>
      </c>
      <c r="M1036" s="19">
        <v>181</v>
      </c>
      <c r="N1036" s="19"/>
      <c r="O1036" s="19"/>
      <c r="P1036" s="19" t="s">
        <v>2473</v>
      </c>
      <c r="Q1036" s="12" t="s">
        <v>89</v>
      </c>
      <c r="R1036" s="24"/>
      <c r="S1036" s="24" t="s">
        <v>65</v>
      </c>
      <c r="T1036" s="19"/>
      <c r="U1036" s="19"/>
      <c r="V1036" s="19"/>
      <c r="W1036" s="19" t="s">
        <v>67</v>
      </c>
      <c r="X1036" s="32">
        <v>46216</v>
      </c>
      <c r="Y1036" s="19"/>
      <c r="Z1036" s="19"/>
    </row>
    <row r="1037" spans="1:26">
      <c r="A1037" s="19" t="s">
        <v>2174</v>
      </c>
      <c r="B1037" s="33">
        <v>46210</v>
      </c>
      <c r="C1037" s="19"/>
      <c r="D1037" s="19" t="s">
        <v>59</v>
      </c>
      <c r="E1037" s="19" t="s">
        <v>236</v>
      </c>
      <c r="F1037" s="19" t="s">
        <v>2474</v>
      </c>
      <c r="G1037" s="19" t="s">
        <v>51</v>
      </c>
      <c r="H1037" s="40" t="s">
        <v>2475</v>
      </c>
      <c r="I1037" s="37" t="s">
        <v>239</v>
      </c>
      <c r="J1037" s="42" t="s">
        <v>240</v>
      </c>
      <c r="K1037" s="24" t="s">
        <v>2476</v>
      </c>
      <c r="L1037" s="24" t="s">
        <v>175</v>
      </c>
      <c r="M1037" s="19"/>
      <c r="N1037" s="19"/>
      <c r="O1037" s="19"/>
      <c r="P1037" s="19" t="s">
        <v>2477</v>
      </c>
      <c r="Q1037" s="12" t="s">
        <v>1441</v>
      </c>
      <c r="R1037" s="24"/>
      <c r="S1037" s="24" t="s">
        <v>65</v>
      </c>
      <c r="T1037" s="19"/>
      <c r="U1037" s="19"/>
      <c r="V1037" s="19"/>
      <c r="W1037" s="19" t="s">
        <v>67</v>
      </c>
      <c r="X1037" s="32">
        <v>46212</v>
      </c>
      <c r="Y1037" s="12" t="s">
        <v>2478</v>
      </c>
      <c r="Z1037" s="19"/>
    </row>
    <row r="1038" spans="1:26">
      <c r="A1038" s="19" t="s">
        <v>2174</v>
      </c>
      <c r="B1038" s="197">
        <v>46210</v>
      </c>
      <c r="C1038" s="19"/>
      <c r="D1038" s="184" t="s">
        <v>59</v>
      </c>
      <c r="E1038" s="184" t="s">
        <v>96</v>
      </c>
      <c r="F1038" s="184" t="s">
        <v>2479</v>
      </c>
      <c r="G1038" s="184" t="s">
        <v>98</v>
      </c>
      <c r="H1038" s="192" t="s">
        <v>99</v>
      </c>
      <c r="I1038" s="193" t="s">
        <v>100</v>
      </c>
      <c r="J1038" s="181" t="s">
        <v>102</v>
      </c>
      <c r="K1038" s="24" t="s">
        <v>2480</v>
      </c>
      <c r="L1038" s="24" t="s">
        <v>151</v>
      </c>
      <c r="M1038" s="19"/>
      <c r="N1038" s="19"/>
      <c r="O1038" s="19"/>
      <c r="P1038" s="19" t="s">
        <v>107</v>
      </c>
      <c r="Q1038" s="12" t="s">
        <v>1441</v>
      </c>
      <c r="R1038" s="24"/>
      <c r="S1038" s="24" t="s">
        <v>65</v>
      </c>
      <c r="T1038" s="19"/>
      <c r="U1038" s="19"/>
      <c r="V1038" s="19"/>
      <c r="W1038" s="19" t="s">
        <v>67</v>
      </c>
      <c r="X1038" s="32">
        <v>46212</v>
      </c>
      <c r="Y1038" s="19"/>
      <c r="Z1038" s="19"/>
    </row>
    <row r="1039" spans="1:26">
      <c r="A1039" s="19" t="s">
        <v>2174</v>
      </c>
      <c r="B1039" s="186"/>
      <c r="C1039" s="19"/>
      <c r="D1039" s="186"/>
      <c r="E1039" s="186"/>
      <c r="F1039" s="186"/>
      <c r="G1039" s="186"/>
      <c r="H1039" s="186"/>
      <c r="I1039" s="186"/>
      <c r="J1039" s="183"/>
      <c r="K1039" s="24" t="s">
        <v>2481</v>
      </c>
      <c r="L1039" s="24" t="s">
        <v>57</v>
      </c>
      <c r="M1039" s="19"/>
      <c r="N1039" s="19"/>
      <c r="O1039" s="19"/>
      <c r="P1039" s="19" t="s">
        <v>107</v>
      </c>
      <c r="Q1039" s="12" t="s">
        <v>1441</v>
      </c>
      <c r="R1039" s="24"/>
      <c r="S1039" s="24" t="s">
        <v>65</v>
      </c>
      <c r="T1039" s="19"/>
      <c r="U1039" s="19"/>
      <c r="V1039" s="19"/>
      <c r="W1039" s="19" t="s">
        <v>67</v>
      </c>
      <c r="X1039" s="32">
        <v>46212</v>
      </c>
      <c r="Y1039" s="19"/>
      <c r="Z1039" s="19"/>
    </row>
    <row r="1040" spans="1:26">
      <c r="A1040" s="19" t="s">
        <v>2174</v>
      </c>
      <c r="B1040" s="33">
        <v>46210</v>
      </c>
      <c r="C1040" s="19"/>
      <c r="D1040" s="19" t="s">
        <v>59</v>
      </c>
      <c r="E1040" s="19" t="s">
        <v>96</v>
      </c>
      <c r="F1040" s="64" t="s">
        <v>2482</v>
      </c>
      <c r="G1040" s="19" t="s">
        <v>98</v>
      </c>
      <c r="H1040" s="40" t="s">
        <v>99</v>
      </c>
      <c r="I1040" s="28" t="s">
        <v>2483</v>
      </c>
      <c r="J1040" s="55" t="s">
        <v>2484</v>
      </c>
      <c r="K1040" s="24" t="s">
        <v>2485</v>
      </c>
      <c r="L1040" s="24" t="s">
        <v>102</v>
      </c>
      <c r="M1040" s="19"/>
      <c r="N1040" s="19"/>
      <c r="O1040" s="19"/>
      <c r="P1040" s="19" t="s">
        <v>107</v>
      </c>
      <c r="Q1040" s="12" t="s">
        <v>1441</v>
      </c>
      <c r="R1040" s="24"/>
      <c r="S1040" s="24" t="s">
        <v>65</v>
      </c>
      <c r="T1040" s="19"/>
      <c r="U1040" s="19"/>
      <c r="V1040" s="19"/>
      <c r="W1040" s="19" t="s">
        <v>67</v>
      </c>
      <c r="X1040" s="32">
        <v>46212</v>
      </c>
      <c r="Y1040" s="19"/>
      <c r="Z1040" s="19"/>
    </row>
    <row r="1041" spans="1:26">
      <c r="A1041" s="19" t="s">
        <v>2174</v>
      </c>
      <c r="B1041" s="33">
        <v>46210</v>
      </c>
      <c r="C1041" s="19"/>
      <c r="D1041" s="19" t="s">
        <v>59</v>
      </c>
      <c r="E1041" s="19" t="s">
        <v>2487</v>
      </c>
      <c r="F1041" s="19" t="s">
        <v>2488</v>
      </c>
      <c r="G1041" s="19" t="s">
        <v>2489</v>
      </c>
      <c r="H1041" s="40" t="s">
        <v>2490</v>
      </c>
      <c r="I1041" s="28" t="s">
        <v>2491</v>
      </c>
      <c r="J1041" s="55" t="s">
        <v>104</v>
      </c>
      <c r="K1041" s="24" t="s">
        <v>2492</v>
      </c>
      <c r="L1041" s="24" t="s">
        <v>130</v>
      </c>
      <c r="M1041" s="19"/>
      <c r="N1041" s="19"/>
      <c r="O1041" s="19"/>
      <c r="P1041" s="19" t="s">
        <v>353</v>
      </c>
      <c r="Q1041" s="12" t="s">
        <v>1441</v>
      </c>
      <c r="R1041" s="24"/>
      <c r="S1041" s="24" t="s">
        <v>65</v>
      </c>
      <c r="T1041" s="19"/>
      <c r="U1041" s="19"/>
      <c r="V1041" s="19"/>
      <c r="W1041" s="19" t="s">
        <v>67</v>
      </c>
      <c r="X1041" s="32">
        <v>46212</v>
      </c>
      <c r="Y1041" s="19"/>
      <c r="Z1041" s="19"/>
    </row>
    <row r="1042" spans="1:26">
      <c r="A1042" s="19" t="s">
        <v>2174</v>
      </c>
      <c r="B1042" s="33">
        <v>46211</v>
      </c>
      <c r="C1042" s="19"/>
      <c r="D1042" s="19" t="s">
        <v>59</v>
      </c>
      <c r="E1042" s="19" t="s">
        <v>1875</v>
      </c>
      <c r="F1042" s="19" t="s">
        <v>1800</v>
      </c>
      <c r="G1042" s="19" t="s">
        <v>51</v>
      </c>
      <c r="H1042" s="40" t="s">
        <v>194</v>
      </c>
      <c r="I1042" s="24" t="s">
        <v>667</v>
      </c>
      <c r="J1042" s="24" t="s">
        <v>28</v>
      </c>
      <c r="K1042" s="24" t="s">
        <v>2493</v>
      </c>
      <c r="L1042" s="24" t="s">
        <v>130</v>
      </c>
      <c r="M1042" s="19"/>
      <c r="N1042" s="19"/>
      <c r="O1042" s="19"/>
      <c r="P1042" s="19" t="s">
        <v>196</v>
      </c>
      <c r="Q1042" s="12" t="s">
        <v>89</v>
      </c>
      <c r="R1042" s="24"/>
      <c r="S1042" s="24" t="s">
        <v>65</v>
      </c>
      <c r="T1042" s="19"/>
      <c r="U1042" s="19"/>
      <c r="V1042" s="19"/>
      <c r="W1042" s="19" t="s">
        <v>67</v>
      </c>
      <c r="X1042" s="32">
        <v>46216</v>
      </c>
      <c r="Y1042" s="19"/>
      <c r="Z1042" s="19"/>
    </row>
    <row r="1043" spans="1:26">
      <c r="A1043" s="19" t="s">
        <v>2174</v>
      </c>
      <c r="B1043" s="33">
        <v>46211</v>
      </c>
      <c r="C1043" s="19"/>
      <c r="D1043" s="19" t="s">
        <v>59</v>
      </c>
      <c r="E1043" s="19" t="s">
        <v>236</v>
      </c>
      <c r="F1043" s="19" t="s">
        <v>216</v>
      </c>
      <c r="G1043" s="19" t="s">
        <v>127</v>
      </c>
      <c r="H1043" s="40" t="s">
        <v>217</v>
      </c>
      <c r="I1043" s="28" t="s">
        <v>239</v>
      </c>
      <c r="J1043" s="42" t="s">
        <v>240</v>
      </c>
      <c r="K1043" s="24" t="s">
        <v>2494</v>
      </c>
      <c r="L1043" s="24" t="s">
        <v>170</v>
      </c>
      <c r="M1043" s="19"/>
      <c r="N1043" s="19"/>
      <c r="O1043" s="19"/>
      <c r="P1043" s="19" t="s">
        <v>218</v>
      </c>
      <c r="Q1043" s="12" t="s">
        <v>1441</v>
      </c>
      <c r="R1043" s="24"/>
      <c r="S1043" s="24" t="s">
        <v>65</v>
      </c>
      <c r="T1043" s="19"/>
      <c r="U1043" s="19"/>
      <c r="V1043" s="19"/>
      <c r="W1043" s="19" t="s">
        <v>67</v>
      </c>
      <c r="X1043" s="32">
        <v>46212</v>
      </c>
      <c r="Y1043" s="12" t="s">
        <v>2425</v>
      </c>
      <c r="Z1043" s="19"/>
    </row>
    <row r="1044" spans="1:26">
      <c r="A1044" s="19" t="s">
        <v>2174</v>
      </c>
      <c r="B1044" s="81">
        <v>46211</v>
      </c>
      <c r="C1044" s="49"/>
      <c r="D1044" s="49" t="s">
        <v>59</v>
      </c>
      <c r="E1044" s="49" t="s">
        <v>236</v>
      </c>
      <c r="F1044" s="49" t="s">
        <v>219</v>
      </c>
      <c r="G1044" s="49" t="s">
        <v>51</v>
      </c>
      <c r="H1044" s="82" t="s">
        <v>221</v>
      </c>
      <c r="I1044" s="75" t="s">
        <v>239</v>
      </c>
      <c r="J1044" s="86" t="s">
        <v>240</v>
      </c>
      <c r="K1044" s="83" t="s">
        <v>2495</v>
      </c>
      <c r="L1044" s="83" t="s">
        <v>151</v>
      </c>
      <c r="M1044" s="49"/>
      <c r="N1044" s="49"/>
      <c r="O1044" s="49"/>
      <c r="P1044" s="49" t="s">
        <v>573</v>
      </c>
      <c r="Q1044" s="84" t="s">
        <v>1441</v>
      </c>
      <c r="R1044" s="83"/>
      <c r="S1044" s="83" t="s">
        <v>65</v>
      </c>
      <c r="T1044" s="49"/>
      <c r="U1044" s="49"/>
      <c r="V1044" s="49"/>
      <c r="W1044" s="49" t="s">
        <v>67</v>
      </c>
      <c r="X1044" s="81">
        <v>46212</v>
      </c>
      <c r="Y1044" s="84" t="s">
        <v>2496</v>
      </c>
      <c r="Z1044" s="49"/>
    </row>
    <row r="1045" spans="1:26">
      <c r="A1045" s="19" t="s">
        <v>2174</v>
      </c>
      <c r="B1045" s="33">
        <v>46211</v>
      </c>
      <c r="C1045" s="19"/>
      <c r="D1045" s="19" t="s">
        <v>59</v>
      </c>
      <c r="E1045" s="19" t="s">
        <v>71</v>
      </c>
      <c r="F1045" s="19" t="s">
        <v>160</v>
      </c>
      <c r="G1045" s="19" t="s">
        <v>51</v>
      </c>
      <c r="H1045" s="40" t="s">
        <v>161</v>
      </c>
      <c r="I1045" s="24" t="s">
        <v>2182</v>
      </c>
      <c r="J1045" s="24" t="s">
        <v>60</v>
      </c>
      <c r="K1045" s="24" t="s">
        <v>2497</v>
      </c>
      <c r="L1045" s="24" t="s">
        <v>2498</v>
      </c>
      <c r="M1045" s="19"/>
      <c r="N1045" s="19"/>
      <c r="O1045" s="19"/>
      <c r="P1045" s="19" t="s">
        <v>166</v>
      </c>
      <c r="Q1045" s="12" t="s">
        <v>1441</v>
      </c>
      <c r="R1045" s="24"/>
      <c r="S1045" s="24" t="s">
        <v>65</v>
      </c>
      <c r="T1045" s="19"/>
      <c r="U1045" s="19"/>
      <c r="V1045" s="19"/>
      <c r="W1045" s="19" t="s">
        <v>67</v>
      </c>
      <c r="X1045" s="32">
        <v>46216</v>
      </c>
      <c r="Y1045" s="19"/>
      <c r="Z1045" s="12" t="s">
        <v>2499</v>
      </c>
    </row>
    <row r="1046" spans="1:26">
      <c r="A1046" s="19" t="s">
        <v>2174</v>
      </c>
      <c r="B1046" s="33">
        <v>46211</v>
      </c>
      <c r="C1046" s="40" t="s">
        <v>2500</v>
      </c>
      <c r="D1046" s="19" t="s">
        <v>48</v>
      </c>
      <c r="E1046" s="19" t="s">
        <v>49</v>
      </c>
      <c r="F1046" s="19" t="s">
        <v>149</v>
      </c>
      <c r="G1046" s="19" t="s">
        <v>51</v>
      </c>
      <c r="H1046" s="40" t="s">
        <v>2501</v>
      </c>
      <c r="I1046" s="28" t="s">
        <v>53</v>
      </c>
      <c r="J1046" s="55" t="s">
        <v>55</v>
      </c>
      <c r="K1046" s="24" t="s">
        <v>2502</v>
      </c>
      <c r="L1046" s="24" t="s">
        <v>403</v>
      </c>
      <c r="M1046" s="19">
        <f>542+2</f>
        <v>544</v>
      </c>
      <c r="N1046" s="93">
        <f>3676.272+14.3</f>
        <v>3690.5720000000001</v>
      </c>
      <c r="O1046" s="19"/>
      <c r="P1046" s="19" t="s">
        <v>2503</v>
      </c>
      <c r="Q1046" s="12" t="s">
        <v>1441</v>
      </c>
      <c r="R1046" s="24"/>
      <c r="S1046" s="24" t="s">
        <v>65</v>
      </c>
      <c r="T1046" s="19"/>
      <c r="U1046" s="19"/>
      <c r="V1046" s="19"/>
      <c r="W1046" s="19" t="s">
        <v>67</v>
      </c>
      <c r="X1046" s="32">
        <v>46218</v>
      </c>
      <c r="Y1046" s="12" t="s">
        <v>2428</v>
      </c>
      <c r="Z1046" s="12"/>
    </row>
    <row r="1047" spans="1:26">
      <c r="A1047" s="19" t="s">
        <v>2174</v>
      </c>
      <c r="B1047" s="33">
        <v>46211</v>
      </c>
      <c r="C1047" s="40" t="s">
        <v>2504</v>
      </c>
      <c r="D1047" s="19" t="s">
        <v>48</v>
      </c>
      <c r="E1047" s="19" t="s">
        <v>200</v>
      </c>
      <c r="F1047" s="19" t="s">
        <v>716</v>
      </c>
      <c r="G1047" s="19" t="s">
        <v>98</v>
      </c>
      <c r="H1047" s="40" t="s">
        <v>2227</v>
      </c>
      <c r="I1047" s="24" t="s">
        <v>2505</v>
      </c>
      <c r="J1047" s="24" t="s">
        <v>2506</v>
      </c>
      <c r="K1047" s="24" t="s">
        <v>2507</v>
      </c>
      <c r="L1047" s="24" t="s">
        <v>2508</v>
      </c>
      <c r="M1047" s="19"/>
      <c r="N1047" s="19"/>
      <c r="O1047" s="19"/>
      <c r="P1047" s="19" t="s">
        <v>2509</v>
      </c>
      <c r="Q1047" s="12" t="s">
        <v>1441</v>
      </c>
      <c r="R1047" s="24"/>
      <c r="S1047" s="24" t="s">
        <v>65</v>
      </c>
      <c r="T1047" s="19"/>
      <c r="U1047" s="19"/>
      <c r="V1047" s="19"/>
      <c r="W1047" s="19" t="s">
        <v>67</v>
      </c>
      <c r="X1047" s="32">
        <v>46218</v>
      </c>
      <c r="Y1047" s="19"/>
      <c r="Z1047" s="19"/>
    </row>
    <row r="1048" spans="1:26">
      <c r="A1048" s="19" t="s">
        <v>2174</v>
      </c>
      <c r="B1048" s="33">
        <v>46211</v>
      </c>
      <c r="C1048" s="19"/>
      <c r="D1048" s="19" t="s">
        <v>59</v>
      </c>
      <c r="E1048" s="19" t="s">
        <v>2395</v>
      </c>
      <c r="F1048" s="19" t="s">
        <v>2510</v>
      </c>
      <c r="G1048" s="19" t="s">
        <v>2511</v>
      </c>
      <c r="H1048" s="40" t="s">
        <v>405</v>
      </c>
      <c r="I1048" s="24" t="s">
        <v>2512</v>
      </c>
      <c r="J1048" s="94" t="s">
        <v>28</v>
      </c>
      <c r="K1048" s="24" t="s">
        <v>2513</v>
      </c>
      <c r="L1048" s="24" t="s">
        <v>757</v>
      </c>
      <c r="M1048" s="19"/>
      <c r="N1048" s="19"/>
      <c r="O1048" s="19"/>
      <c r="P1048" s="19" t="s">
        <v>335</v>
      </c>
      <c r="Q1048" s="12" t="s">
        <v>1441</v>
      </c>
      <c r="R1048" s="24"/>
      <c r="S1048" s="24" t="s">
        <v>65</v>
      </c>
      <c r="T1048" s="19"/>
      <c r="U1048" s="19"/>
      <c r="V1048" s="19"/>
      <c r="W1048" s="19" t="s">
        <v>67</v>
      </c>
      <c r="X1048" s="32">
        <v>46213</v>
      </c>
      <c r="Y1048" s="12" t="s">
        <v>2400</v>
      </c>
      <c r="Z1048" s="12" t="s">
        <v>2514</v>
      </c>
    </row>
    <row r="1049" spans="1:26">
      <c r="A1049" s="19" t="s">
        <v>2174</v>
      </c>
      <c r="B1049" s="197">
        <v>46211</v>
      </c>
      <c r="C1049" s="19"/>
      <c r="D1049" s="184" t="s">
        <v>59</v>
      </c>
      <c r="E1049" s="184" t="s">
        <v>96</v>
      </c>
      <c r="F1049" s="184" t="s">
        <v>2515</v>
      </c>
      <c r="G1049" s="184" t="s">
        <v>98</v>
      </c>
      <c r="H1049" s="192" t="s">
        <v>99</v>
      </c>
      <c r="I1049" s="193" t="s">
        <v>100</v>
      </c>
      <c r="J1049" s="181" t="s">
        <v>102</v>
      </c>
      <c r="K1049" s="24" t="s">
        <v>2516</v>
      </c>
      <c r="L1049" s="24" t="s">
        <v>151</v>
      </c>
      <c r="M1049" s="19"/>
      <c r="N1049" s="19"/>
      <c r="O1049" s="19"/>
      <c r="P1049" s="19" t="s">
        <v>107</v>
      </c>
      <c r="Q1049" s="12" t="s">
        <v>1441</v>
      </c>
      <c r="R1049" s="24"/>
      <c r="S1049" s="24" t="s">
        <v>65</v>
      </c>
      <c r="T1049" s="19"/>
      <c r="U1049" s="19"/>
      <c r="V1049" s="19"/>
      <c r="W1049" s="19" t="s">
        <v>67</v>
      </c>
      <c r="X1049" s="32">
        <v>46212</v>
      </c>
      <c r="Y1049" s="19"/>
      <c r="Z1049" s="19"/>
    </row>
    <row r="1050" spans="1:26">
      <c r="A1050" s="19" t="s">
        <v>2174</v>
      </c>
      <c r="B1050" s="186"/>
      <c r="C1050" s="19"/>
      <c r="D1050" s="186"/>
      <c r="E1050" s="186"/>
      <c r="F1050" s="186"/>
      <c r="G1050" s="186"/>
      <c r="H1050" s="186"/>
      <c r="I1050" s="186"/>
      <c r="J1050" s="183"/>
      <c r="K1050" s="24" t="s">
        <v>2517</v>
      </c>
      <c r="L1050" s="24" t="s">
        <v>151</v>
      </c>
      <c r="M1050" s="19"/>
      <c r="N1050" s="19"/>
      <c r="O1050" s="19"/>
      <c r="P1050" s="19" t="s">
        <v>107</v>
      </c>
      <c r="Q1050" s="12" t="s">
        <v>1441</v>
      </c>
      <c r="R1050" s="24"/>
      <c r="S1050" s="24" t="s">
        <v>65</v>
      </c>
      <c r="T1050" s="19"/>
      <c r="U1050" s="19"/>
      <c r="V1050" s="19"/>
      <c r="W1050" s="19" t="s">
        <v>67</v>
      </c>
      <c r="X1050" s="32">
        <v>46212</v>
      </c>
      <c r="Y1050" s="19"/>
      <c r="Z1050" s="19"/>
    </row>
    <row r="1051" spans="1:26">
      <c r="A1051" s="19" t="s">
        <v>2174</v>
      </c>
      <c r="B1051" s="33">
        <v>46211</v>
      </c>
      <c r="C1051" s="19"/>
      <c r="D1051" s="19" t="s">
        <v>59</v>
      </c>
      <c r="E1051" s="19" t="s">
        <v>2518</v>
      </c>
      <c r="F1051" s="19" t="s">
        <v>255</v>
      </c>
      <c r="G1051" s="19" t="s">
        <v>1764</v>
      </c>
      <c r="H1051" s="40" t="s">
        <v>2190</v>
      </c>
      <c r="I1051" s="28" t="s">
        <v>2519</v>
      </c>
      <c r="J1051" s="55" t="s">
        <v>2520</v>
      </c>
      <c r="K1051" s="24" t="s">
        <v>2521</v>
      </c>
      <c r="L1051" s="24" t="s">
        <v>2522</v>
      </c>
      <c r="M1051" s="19"/>
      <c r="N1051" s="19"/>
      <c r="O1051" s="19"/>
      <c r="P1051" s="19" t="s">
        <v>2191</v>
      </c>
      <c r="Q1051" s="12" t="s">
        <v>1441</v>
      </c>
      <c r="R1051" s="24"/>
      <c r="S1051" s="24" t="s">
        <v>65</v>
      </c>
      <c r="T1051" s="19"/>
      <c r="U1051" s="19"/>
      <c r="V1051" s="19"/>
      <c r="W1051" s="19" t="s">
        <v>67</v>
      </c>
      <c r="X1051" s="32">
        <v>46216</v>
      </c>
      <c r="Y1051" s="19"/>
      <c r="Z1051" s="12" t="s">
        <v>2523</v>
      </c>
    </row>
    <row r="1052" spans="1:26">
      <c r="A1052" s="19" t="s">
        <v>2174</v>
      </c>
      <c r="B1052" s="33">
        <v>46211</v>
      </c>
      <c r="C1052" s="19"/>
      <c r="D1052" s="19" t="s">
        <v>59</v>
      </c>
      <c r="E1052" s="19" t="s">
        <v>2524</v>
      </c>
      <c r="F1052" s="19" t="s">
        <v>2525</v>
      </c>
      <c r="G1052" s="19" t="s">
        <v>558</v>
      </c>
      <c r="H1052" s="40" t="s">
        <v>2526</v>
      </c>
      <c r="I1052" s="28" t="s">
        <v>2527</v>
      </c>
      <c r="J1052" s="55" t="s">
        <v>2528</v>
      </c>
      <c r="K1052" s="24" t="s">
        <v>330</v>
      </c>
      <c r="L1052" s="24" t="s">
        <v>2529</v>
      </c>
      <c r="M1052" s="19"/>
      <c r="N1052" s="19"/>
      <c r="O1052" s="19"/>
      <c r="P1052" s="19" t="s">
        <v>2530</v>
      </c>
      <c r="Q1052" s="12" t="s">
        <v>1441</v>
      </c>
      <c r="R1052" s="24"/>
      <c r="S1052" s="24" t="s">
        <v>65</v>
      </c>
      <c r="T1052" s="19"/>
      <c r="U1052" s="19"/>
      <c r="V1052" s="19"/>
      <c r="W1052" s="19" t="s">
        <v>67</v>
      </c>
      <c r="X1052" s="32">
        <v>46214</v>
      </c>
      <c r="Y1052" s="19"/>
      <c r="Z1052" s="12"/>
    </row>
    <row r="1053" spans="1:26">
      <c r="A1053" s="19" t="s">
        <v>2174</v>
      </c>
      <c r="B1053" s="33">
        <v>46212</v>
      </c>
      <c r="C1053" s="19"/>
      <c r="D1053" s="19" t="s">
        <v>59</v>
      </c>
      <c r="E1053" s="19" t="s">
        <v>2531</v>
      </c>
      <c r="F1053" s="19" t="s">
        <v>589</v>
      </c>
      <c r="G1053" s="19" t="s">
        <v>98</v>
      </c>
      <c r="H1053" s="40" t="s">
        <v>2219</v>
      </c>
      <c r="I1053" s="24" t="s">
        <v>2532</v>
      </c>
      <c r="J1053" s="24" t="s">
        <v>2533</v>
      </c>
      <c r="K1053" s="24" t="s">
        <v>2534</v>
      </c>
      <c r="L1053" s="24" t="s">
        <v>2535</v>
      </c>
      <c r="M1053" s="19"/>
      <c r="N1053" s="19"/>
      <c r="O1053" s="19"/>
      <c r="P1053" s="19" t="s">
        <v>2224</v>
      </c>
      <c r="Q1053" s="12" t="s">
        <v>1441</v>
      </c>
      <c r="R1053" s="24"/>
      <c r="S1053" s="24" t="s">
        <v>65</v>
      </c>
      <c r="T1053" s="19"/>
      <c r="U1053" s="19"/>
      <c r="V1053" s="19"/>
      <c r="W1053" s="19" t="s">
        <v>67</v>
      </c>
      <c r="X1053" s="32">
        <v>46216</v>
      </c>
      <c r="Y1053" s="12" t="s">
        <v>2536</v>
      </c>
      <c r="Z1053" s="19"/>
    </row>
    <row r="1054" spans="1:26">
      <c r="A1054" s="19" t="s">
        <v>2174</v>
      </c>
      <c r="B1054" s="33">
        <v>46212</v>
      </c>
      <c r="C1054" s="19"/>
      <c r="D1054" s="19" t="s">
        <v>59</v>
      </c>
      <c r="E1054" s="19" t="s">
        <v>1140</v>
      </c>
      <c r="F1054" s="19" t="s">
        <v>2537</v>
      </c>
      <c r="G1054" s="19" t="s">
        <v>1764</v>
      </c>
      <c r="H1054" s="40" t="s">
        <v>128</v>
      </c>
      <c r="I1054" s="24" t="s">
        <v>1770</v>
      </c>
      <c r="J1054" s="24" t="s">
        <v>2323</v>
      </c>
      <c r="K1054" s="24" t="s">
        <v>338</v>
      </c>
      <c r="L1054" s="24" t="s">
        <v>338</v>
      </c>
      <c r="M1054" s="19"/>
      <c r="N1054" s="19"/>
      <c r="O1054" s="19"/>
      <c r="P1054" s="19" t="s">
        <v>132</v>
      </c>
      <c r="Q1054" s="12" t="s">
        <v>1441</v>
      </c>
      <c r="R1054" s="24"/>
      <c r="S1054" s="24" t="s">
        <v>65</v>
      </c>
      <c r="T1054" s="19"/>
      <c r="U1054" s="19"/>
      <c r="V1054" s="19"/>
      <c r="W1054" s="19" t="s">
        <v>67</v>
      </c>
      <c r="X1054" s="32">
        <v>46218</v>
      </c>
      <c r="Y1054" s="19"/>
      <c r="Z1054" s="19"/>
    </row>
    <row r="1055" spans="1:26">
      <c r="A1055" s="19" t="s">
        <v>2174</v>
      </c>
      <c r="B1055" s="197">
        <v>46212</v>
      </c>
      <c r="C1055" s="19"/>
      <c r="D1055" s="184" t="s">
        <v>59</v>
      </c>
      <c r="E1055" s="184" t="s">
        <v>373</v>
      </c>
      <c r="F1055" s="184" t="s">
        <v>427</v>
      </c>
      <c r="G1055" s="184" t="s">
        <v>98</v>
      </c>
      <c r="H1055" s="192" t="s">
        <v>2290</v>
      </c>
      <c r="I1055" s="193" t="s">
        <v>374</v>
      </c>
      <c r="J1055" s="181" t="s">
        <v>375</v>
      </c>
      <c r="K1055" s="24" t="s">
        <v>2538</v>
      </c>
      <c r="L1055" s="24" t="s">
        <v>1125</v>
      </c>
      <c r="M1055" s="19"/>
      <c r="N1055" s="19"/>
      <c r="O1055" s="19"/>
      <c r="P1055" s="19" t="s">
        <v>2358</v>
      </c>
      <c r="Q1055" s="12" t="s">
        <v>1441</v>
      </c>
      <c r="R1055" s="24"/>
      <c r="S1055" s="24" t="s">
        <v>65</v>
      </c>
      <c r="T1055" s="19"/>
      <c r="U1055" s="19"/>
      <c r="V1055" s="19"/>
      <c r="W1055" s="19" t="s">
        <v>67</v>
      </c>
      <c r="X1055" s="32">
        <v>46218</v>
      </c>
      <c r="Y1055" s="19"/>
      <c r="Z1055" s="19"/>
    </row>
    <row r="1056" spans="1:26">
      <c r="A1056" s="19" t="s">
        <v>2174</v>
      </c>
      <c r="B1056" s="186"/>
      <c r="C1056" s="19"/>
      <c r="D1056" s="186"/>
      <c r="E1056" s="186"/>
      <c r="F1056" s="186"/>
      <c r="G1056" s="186"/>
      <c r="H1056" s="186"/>
      <c r="I1056" s="186"/>
      <c r="J1056" s="183"/>
      <c r="K1056" s="24" t="s">
        <v>2539</v>
      </c>
      <c r="L1056" s="24" t="s">
        <v>263</v>
      </c>
      <c r="M1056" s="19"/>
      <c r="N1056" s="19"/>
      <c r="O1056" s="19"/>
      <c r="P1056" s="19" t="s">
        <v>2358</v>
      </c>
      <c r="Q1056" s="12" t="s">
        <v>1441</v>
      </c>
      <c r="R1056" s="24"/>
      <c r="S1056" s="24" t="s">
        <v>65</v>
      </c>
      <c r="T1056" s="19"/>
      <c r="U1056" s="19"/>
      <c r="V1056" s="19"/>
      <c r="W1056" s="19" t="s">
        <v>67</v>
      </c>
      <c r="X1056" s="32">
        <v>46218</v>
      </c>
      <c r="Y1056" s="12" t="s">
        <v>2254</v>
      </c>
      <c r="Z1056" s="19"/>
    </row>
    <row r="1057" spans="1:26">
      <c r="A1057" s="19" t="s">
        <v>2174</v>
      </c>
      <c r="B1057" s="197">
        <v>46212</v>
      </c>
      <c r="C1057" s="19"/>
      <c r="D1057" s="184" t="s">
        <v>48</v>
      </c>
      <c r="E1057" s="184" t="s">
        <v>200</v>
      </c>
      <c r="F1057" s="184" t="s">
        <v>192</v>
      </c>
      <c r="G1057" s="184" t="s">
        <v>51</v>
      </c>
      <c r="H1057" s="192" t="s">
        <v>2540</v>
      </c>
      <c r="I1057" s="191" t="s">
        <v>2541</v>
      </c>
      <c r="J1057" s="191" t="s">
        <v>2542</v>
      </c>
      <c r="K1057" s="24" t="s">
        <v>2543</v>
      </c>
      <c r="L1057" s="24" t="s">
        <v>2544</v>
      </c>
      <c r="M1057" s="19"/>
      <c r="N1057" s="19"/>
      <c r="O1057" s="19"/>
      <c r="P1057" s="19" t="s">
        <v>2545</v>
      </c>
      <c r="Q1057" s="12" t="s">
        <v>89</v>
      </c>
      <c r="R1057" s="24"/>
      <c r="S1057" s="24" t="s">
        <v>65</v>
      </c>
      <c r="T1057" s="19"/>
      <c r="U1057" s="19"/>
      <c r="V1057" s="19"/>
      <c r="W1057" s="19" t="s">
        <v>67</v>
      </c>
      <c r="X1057" s="32">
        <v>46216</v>
      </c>
      <c r="Y1057" s="19"/>
      <c r="Z1057" s="19"/>
    </row>
    <row r="1058" spans="1:26">
      <c r="A1058" s="19" t="s">
        <v>2174</v>
      </c>
      <c r="B1058" s="186"/>
      <c r="C1058" s="19"/>
      <c r="D1058" s="186"/>
      <c r="E1058" s="186"/>
      <c r="F1058" s="186"/>
      <c r="G1058" s="186"/>
      <c r="H1058" s="186"/>
      <c r="I1058" s="186"/>
      <c r="J1058" s="186"/>
      <c r="K1058" s="24" t="s">
        <v>2546</v>
      </c>
      <c r="L1058" s="24" t="s">
        <v>806</v>
      </c>
      <c r="M1058" s="19"/>
      <c r="N1058" s="19"/>
      <c r="O1058" s="19"/>
      <c r="P1058" s="19" t="s">
        <v>2545</v>
      </c>
      <c r="Q1058" s="12" t="s">
        <v>89</v>
      </c>
      <c r="R1058" s="24"/>
      <c r="S1058" s="24" t="s">
        <v>65</v>
      </c>
      <c r="T1058" s="19"/>
      <c r="U1058" s="19"/>
      <c r="V1058" s="19"/>
      <c r="W1058" s="19" t="s">
        <v>67</v>
      </c>
      <c r="X1058" s="32">
        <v>46216</v>
      </c>
      <c r="Y1058" s="19"/>
      <c r="Z1058" s="19"/>
    </row>
    <row r="1059" spans="1:26">
      <c r="A1059" s="19" t="s">
        <v>2174</v>
      </c>
      <c r="B1059" s="33">
        <v>46212</v>
      </c>
      <c r="C1059" s="40" t="s">
        <v>2547</v>
      </c>
      <c r="D1059" s="19" t="s">
        <v>59</v>
      </c>
      <c r="E1059" s="19" t="s">
        <v>230</v>
      </c>
      <c r="F1059" s="19" t="s">
        <v>216</v>
      </c>
      <c r="G1059" s="19" t="s">
        <v>127</v>
      </c>
      <c r="H1059" s="40" t="s">
        <v>2186</v>
      </c>
      <c r="I1059" s="37" t="s">
        <v>231</v>
      </c>
      <c r="J1059" s="42" t="s">
        <v>232</v>
      </c>
      <c r="K1059" s="24" t="s">
        <v>2548</v>
      </c>
      <c r="L1059" s="24" t="s">
        <v>104</v>
      </c>
      <c r="M1059" s="19"/>
      <c r="N1059" s="19"/>
      <c r="O1059" s="19"/>
      <c r="P1059" s="19" t="s">
        <v>218</v>
      </c>
      <c r="Q1059" s="12" t="s">
        <v>1441</v>
      </c>
      <c r="R1059" s="24"/>
      <c r="S1059" s="24" t="s">
        <v>65</v>
      </c>
      <c r="T1059" s="19"/>
      <c r="U1059" s="19"/>
      <c r="V1059" s="19"/>
      <c r="W1059" s="19" t="s">
        <v>67</v>
      </c>
      <c r="X1059" s="32">
        <v>46213</v>
      </c>
      <c r="Y1059" s="19"/>
      <c r="Z1059" s="19"/>
    </row>
    <row r="1060" spans="1:26">
      <c r="A1060" s="19" t="s">
        <v>2174</v>
      </c>
      <c r="B1060" s="33">
        <v>46212</v>
      </c>
      <c r="C1060" s="19"/>
      <c r="D1060" s="19" t="s">
        <v>59</v>
      </c>
      <c r="E1060" s="19" t="s">
        <v>96</v>
      </c>
      <c r="F1060" s="19" t="s">
        <v>2549</v>
      </c>
      <c r="G1060" s="19" t="s">
        <v>98</v>
      </c>
      <c r="H1060" s="40" t="s">
        <v>99</v>
      </c>
      <c r="I1060" s="24" t="s">
        <v>2550</v>
      </c>
      <c r="J1060" s="24" t="s">
        <v>151</v>
      </c>
      <c r="K1060" s="28" t="s">
        <v>100</v>
      </c>
      <c r="L1060" s="55" t="s">
        <v>102</v>
      </c>
      <c r="M1060" s="19"/>
      <c r="N1060" s="19"/>
      <c r="O1060" s="19"/>
      <c r="P1060" s="19" t="s">
        <v>2551</v>
      </c>
      <c r="Q1060" s="12" t="s">
        <v>1441</v>
      </c>
      <c r="R1060" s="24"/>
      <c r="S1060" s="24" t="s">
        <v>65</v>
      </c>
      <c r="T1060" s="19"/>
      <c r="U1060" s="19"/>
      <c r="V1060" s="19"/>
      <c r="W1060" s="19" t="s">
        <v>67</v>
      </c>
      <c r="X1060" s="32">
        <v>46216</v>
      </c>
      <c r="Y1060" s="19"/>
      <c r="Z1060" s="19"/>
    </row>
    <row r="1061" spans="1:26">
      <c r="A1061" s="19" t="s">
        <v>2174</v>
      </c>
      <c r="B1061" s="197">
        <v>46212</v>
      </c>
      <c r="C1061" s="19"/>
      <c r="D1061" s="184" t="s">
        <v>59</v>
      </c>
      <c r="E1061" s="184" t="s">
        <v>2395</v>
      </c>
      <c r="F1061" s="184" t="s">
        <v>2552</v>
      </c>
      <c r="G1061" s="184" t="s">
        <v>98</v>
      </c>
      <c r="H1061" s="192" t="s">
        <v>306</v>
      </c>
      <c r="I1061" s="191" t="s">
        <v>2396</v>
      </c>
      <c r="J1061" s="191" t="s">
        <v>2397</v>
      </c>
      <c r="K1061" s="24" t="s">
        <v>2553</v>
      </c>
      <c r="L1061" s="24" t="s">
        <v>175</v>
      </c>
      <c r="M1061" s="19"/>
      <c r="N1061" s="19"/>
      <c r="O1061" s="19"/>
      <c r="P1061" s="19" t="s">
        <v>307</v>
      </c>
      <c r="Q1061" s="12" t="s">
        <v>1441</v>
      </c>
      <c r="R1061" s="24"/>
      <c r="S1061" s="24" t="s">
        <v>65</v>
      </c>
      <c r="T1061" s="19"/>
      <c r="U1061" s="19"/>
      <c r="V1061" s="19"/>
      <c r="W1061" s="19" t="s">
        <v>67</v>
      </c>
      <c r="X1061" s="32">
        <v>46213</v>
      </c>
      <c r="Y1061" s="195" t="s">
        <v>2400</v>
      </c>
      <c r="Z1061" s="19"/>
    </row>
    <row r="1062" spans="1:26">
      <c r="A1062" s="19" t="s">
        <v>2174</v>
      </c>
      <c r="B1062" s="185"/>
      <c r="C1062" s="19"/>
      <c r="D1062" s="185"/>
      <c r="E1062" s="185"/>
      <c r="F1062" s="185"/>
      <c r="G1062" s="185"/>
      <c r="H1062" s="185"/>
      <c r="I1062" s="185"/>
      <c r="J1062" s="185"/>
      <c r="K1062" s="24" t="s">
        <v>2554</v>
      </c>
      <c r="L1062" s="24" t="s">
        <v>175</v>
      </c>
      <c r="M1062" s="19"/>
      <c r="N1062" s="19"/>
      <c r="O1062" s="19"/>
      <c r="P1062" s="19" t="s">
        <v>307</v>
      </c>
      <c r="Q1062" s="12" t="s">
        <v>1441</v>
      </c>
      <c r="R1062" s="24"/>
      <c r="S1062" s="24" t="s">
        <v>65</v>
      </c>
      <c r="T1062" s="19"/>
      <c r="U1062" s="19"/>
      <c r="V1062" s="19"/>
      <c r="W1062" s="19" t="s">
        <v>67</v>
      </c>
      <c r="X1062" s="32">
        <v>46213</v>
      </c>
      <c r="Y1062" s="185"/>
      <c r="Z1062" s="19"/>
    </row>
    <row r="1063" spans="1:26">
      <c r="A1063" s="19" t="s">
        <v>2174</v>
      </c>
      <c r="B1063" s="186"/>
      <c r="C1063" s="19"/>
      <c r="D1063" s="186"/>
      <c r="E1063" s="186"/>
      <c r="F1063" s="186"/>
      <c r="G1063" s="186"/>
      <c r="H1063" s="186"/>
      <c r="I1063" s="186"/>
      <c r="J1063" s="186"/>
      <c r="K1063" s="24" t="s">
        <v>2555</v>
      </c>
      <c r="L1063" s="24" t="s">
        <v>175</v>
      </c>
      <c r="M1063" s="19"/>
      <c r="N1063" s="19"/>
      <c r="O1063" s="19"/>
      <c r="P1063" s="19" t="s">
        <v>307</v>
      </c>
      <c r="Q1063" s="12" t="s">
        <v>1441</v>
      </c>
      <c r="R1063" s="24"/>
      <c r="S1063" s="24" t="s">
        <v>65</v>
      </c>
      <c r="T1063" s="19"/>
      <c r="U1063" s="19"/>
      <c r="V1063" s="19"/>
      <c r="W1063" s="19" t="s">
        <v>67</v>
      </c>
      <c r="X1063" s="32">
        <v>46213</v>
      </c>
      <c r="Y1063" s="186"/>
      <c r="Z1063" s="19"/>
    </row>
    <row r="1064" spans="1:26">
      <c r="A1064" s="19" t="s">
        <v>2174</v>
      </c>
      <c r="B1064" s="33">
        <v>46212</v>
      </c>
      <c r="C1064" s="40" t="s">
        <v>2556</v>
      </c>
      <c r="D1064" s="19" t="s">
        <v>48</v>
      </c>
      <c r="E1064" s="19" t="s">
        <v>49</v>
      </c>
      <c r="F1064" s="19" t="s">
        <v>2557</v>
      </c>
      <c r="G1064" s="19" t="s">
        <v>220</v>
      </c>
      <c r="H1064" s="40" t="s">
        <v>2367</v>
      </c>
      <c r="I1064" s="28" t="s">
        <v>53</v>
      </c>
      <c r="J1064" s="55" t="s">
        <v>55</v>
      </c>
      <c r="K1064" s="24" t="s">
        <v>2558</v>
      </c>
      <c r="L1064" s="24" t="s">
        <v>342</v>
      </c>
      <c r="M1064" s="19">
        <f>1141+6+1+1+3+10+2+1</f>
        <v>1165</v>
      </c>
      <c r="N1064" s="93">
        <f>7914.44+3.6+3.6+10.8+155+7.2+8.2</f>
        <v>8102.84</v>
      </c>
      <c r="O1064" s="19"/>
      <c r="P1064" s="19" t="s">
        <v>2369</v>
      </c>
      <c r="Q1064" s="12" t="s">
        <v>1441</v>
      </c>
      <c r="R1064" s="24"/>
      <c r="S1064" s="24" t="s">
        <v>65</v>
      </c>
      <c r="T1064" s="19"/>
      <c r="U1064" s="19"/>
      <c r="V1064" s="19"/>
      <c r="W1064" s="19" t="s">
        <v>67</v>
      </c>
      <c r="X1064" s="32">
        <v>46216</v>
      </c>
      <c r="Y1064" s="12" t="s">
        <v>2428</v>
      </c>
      <c r="Z1064" s="19"/>
    </row>
    <row r="1065" spans="1:26">
      <c r="A1065" s="19" t="s">
        <v>2174</v>
      </c>
      <c r="B1065" s="33">
        <v>46212</v>
      </c>
      <c r="C1065" s="19"/>
      <c r="D1065" s="19" t="s">
        <v>59</v>
      </c>
      <c r="E1065" s="19" t="s">
        <v>284</v>
      </c>
      <c r="F1065" s="19" t="s">
        <v>2560</v>
      </c>
      <c r="G1065" s="19" t="s">
        <v>127</v>
      </c>
      <c r="H1065" s="40" t="s">
        <v>1894</v>
      </c>
      <c r="I1065" s="24" t="s">
        <v>2561</v>
      </c>
      <c r="J1065" s="24" t="s">
        <v>2562</v>
      </c>
      <c r="K1065" s="24" t="s">
        <v>2563</v>
      </c>
      <c r="L1065" s="24" t="s">
        <v>2564</v>
      </c>
      <c r="M1065" s="19"/>
      <c r="N1065" s="19"/>
      <c r="O1065" s="19"/>
      <c r="P1065" s="19" t="s">
        <v>1897</v>
      </c>
      <c r="Q1065" s="12" t="s">
        <v>89</v>
      </c>
      <c r="R1065" s="24"/>
      <c r="S1065" s="24" t="s">
        <v>65</v>
      </c>
      <c r="T1065" s="19"/>
      <c r="U1065" s="19"/>
      <c r="V1065" s="19"/>
      <c r="W1065" s="19" t="s">
        <v>67</v>
      </c>
      <c r="X1065" s="32">
        <v>46216</v>
      </c>
      <c r="Y1065" s="19"/>
      <c r="Z1065" s="19"/>
    </row>
    <row r="1066" spans="1:26">
      <c r="A1066" s="19" t="s">
        <v>2174</v>
      </c>
      <c r="B1066" s="197">
        <v>46212</v>
      </c>
      <c r="C1066" s="19"/>
      <c r="D1066" s="184" t="s">
        <v>59</v>
      </c>
      <c r="E1066" s="184" t="s">
        <v>96</v>
      </c>
      <c r="F1066" s="184" t="s">
        <v>2188</v>
      </c>
      <c r="G1066" s="184" t="s">
        <v>51</v>
      </c>
      <c r="H1066" s="192" t="s">
        <v>221</v>
      </c>
      <c r="I1066" s="193" t="s">
        <v>100</v>
      </c>
      <c r="J1066" s="181" t="s">
        <v>102</v>
      </c>
      <c r="K1066" s="24" t="s">
        <v>2565</v>
      </c>
      <c r="L1066" s="24" t="s">
        <v>106</v>
      </c>
      <c r="M1066" s="19"/>
      <c r="N1066" s="19"/>
      <c r="O1066" s="19"/>
      <c r="P1066" s="19" t="s">
        <v>573</v>
      </c>
      <c r="Q1066" s="12" t="s">
        <v>1441</v>
      </c>
      <c r="R1066" s="24"/>
      <c r="S1066" s="24" t="s">
        <v>65</v>
      </c>
      <c r="T1066" s="19"/>
      <c r="U1066" s="19"/>
      <c r="V1066" s="19"/>
      <c r="W1066" s="19" t="s">
        <v>67</v>
      </c>
      <c r="X1066" s="32">
        <v>46216</v>
      </c>
      <c r="Y1066" s="19"/>
      <c r="Z1066" s="19"/>
    </row>
    <row r="1067" spans="1:26">
      <c r="A1067" s="19" t="s">
        <v>2174</v>
      </c>
      <c r="B1067" s="186"/>
      <c r="C1067" s="19"/>
      <c r="D1067" s="186"/>
      <c r="E1067" s="186"/>
      <c r="F1067" s="186"/>
      <c r="G1067" s="186"/>
      <c r="H1067" s="186"/>
      <c r="I1067" s="186"/>
      <c r="J1067" s="183"/>
      <c r="K1067" s="24" t="s">
        <v>2566</v>
      </c>
      <c r="L1067" s="24" t="s">
        <v>106</v>
      </c>
      <c r="M1067" s="19"/>
      <c r="N1067" s="19"/>
      <c r="O1067" s="19"/>
      <c r="P1067" s="19" t="s">
        <v>573</v>
      </c>
      <c r="Q1067" s="12" t="s">
        <v>1441</v>
      </c>
      <c r="R1067" s="24"/>
      <c r="S1067" s="24" t="s">
        <v>65</v>
      </c>
      <c r="T1067" s="19"/>
      <c r="U1067" s="19"/>
      <c r="V1067" s="19"/>
      <c r="W1067" s="19" t="s">
        <v>67</v>
      </c>
      <c r="X1067" s="32">
        <v>46216</v>
      </c>
      <c r="Y1067" s="19"/>
      <c r="Z1067" s="19"/>
    </row>
    <row r="1068" spans="1:26">
      <c r="A1068" s="19" t="s">
        <v>2174</v>
      </c>
      <c r="B1068" s="33">
        <v>46212</v>
      </c>
      <c r="C1068" s="40" t="s">
        <v>2567</v>
      </c>
      <c r="D1068" s="19" t="s">
        <v>48</v>
      </c>
      <c r="E1068" s="19" t="s">
        <v>609</v>
      </c>
      <c r="F1068" s="19" t="s">
        <v>2568</v>
      </c>
      <c r="G1068" s="19" t="s">
        <v>127</v>
      </c>
      <c r="H1068" s="40" t="s">
        <v>2569</v>
      </c>
      <c r="I1068" s="28" t="s">
        <v>2570</v>
      </c>
      <c r="J1068" s="55" t="s">
        <v>330</v>
      </c>
      <c r="K1068" s="24" t="s">
        <v>2571</v>
      </c>
      <c r="L1068" s="24" t="s">
        <v>605</v>
      </c>
      <c r="M1068" s="19">
        <v>240</v>
      </c>
      <c r="N1068" s="19">
        <v>6000</v>
      </c>
      <c r="O1068" s="19"/>
      <c r="P1068" s="19" t="s">
        <v>2572</v>
      </c>
      <c r="Q1068" s="12" t="s">
        <v>89</v>
      </c>
      <c r="R1068" s="24"/>
      <c r="S1068" s="24" t="s">
        <v>65</v>
      </c>
      <c r="T1068" s="19"/>
      <c r="U1068" s="19"/>
      <c r="V1068" s="19"/>
      <c r="W1068" s="19" t="s">
        <v>67</v>
      </c>
      <c r="X1068" s="32">
        <v>46216</v>
      </c>
      <c r="Y1068" s="44" t="s">
        <v>2573</v>
      </c>
      <c r="Z1068" s="19"/>
    </row>
    <row r="1069" spans="1:26">
      <c r="A1069" s="19" t="s">
        <v>2174</v>
      </c>
      <c r="B1069" s="197">
        <v>46213</v>
      </c>
      <c r="C1069" s="40" t="s">
        <v>2574</v>
      </c>
      <c r="D1069" s="184" t="s">
        <v>48</v>
      </c>
      <c r="E1069" s="184" t="s">
        <v>49</v>
      </c>
      <c r="F1069" s="184" t="s">
        <v>774</v>
      </c>
      <c r="G1069" s="184" t="s">
        <v>51</v>
      </c>
      <c r="H1069" s="192" t="s">
        <v>2575</v>
      </c>
      <c r="I1069" s="193" t="s">
        <v>53</v>
      </c>
      <c r="J1069" s="181" t="s">
        <v>55</v>
      </c>
      <c r="K1069" s="24" t="s">
        <v>2576</v>
      </c>
      <c r="L1069" s="24" t="s">
        <v>2577</v>
      </c>
      <c r="M1069" s="19">
        <f>235+8+1</f>
        <v>244</v>
      </c>
      <c r="N1069" s="93">
        <f>1748.164+56.262+3.6</f>
        <v>1808.0259999999998</v>
      </c>
      <c r="O1069" s="19"/>
      <c r="P1069" s="19" t="s">
        <v>2578</v>
      </c>
      <c r="Q1069" s="12" t="s">
        <v>1441</v>
      </c>
      <c r="R1069" s="24"/>
      <c r="S1069" s="24" t="s">
        <v>65</v>
      </c>
      <c r="T1069" s="19"/>
      <c r="U1069" s="19"/>
      <c r="V1069" s="19"/>
      <c r="W1069" s="19" t="s">
        <v>67</v>
      </c>
      <c r="X1069" s="32">
        <v>46220</v>
      </c>
      <c r="Y1069" s="12" t="s">
        <v>2428</v>
      </c>
      <c r="Z1069" s="19"/>
    </row>
    <row r="1070" spans="1:26">
      <c r="A1070" s="19" t="s">
        <v>2174</v>
      </c>
      <c r="B1070" s="186"/>
      <c r="C1070" s="40" t="s">
        <v>2579</v>
      </c>
      <c r="D1070" s="186"/>
      <c r="E1070" s="186"/>
      <c r="F1070" s="186"/>
      <c r="G1070" s="186"/>
      <c r="H1070" s="186"/>
      <c r="I1070" s="186"/>
      <c r="J1070" s="183"/>
      <c r="K1070" s="24" t="s">
        <v>2580</v>
      </c>
      <c r="L1070" s="24" t="s">
        <v>175</v>
      </c>
      <c r="M1070" s="19">
        <f>9+254</f>
        <v>263</v>
      </c>
      <c r="N1070" s="93">
        <f>52.339+1905.344</f>
        <v>1957.683</v>
      </c>
      <c r="O1070" s="19"/>
      <c r="P1070" s="19" t="s">
        <v>2578</v>
      </c>
      <c r="Q1070" s="12" t="s">
        <v>1441</v>
      </c>
      <c r="R1070" s="24"/>
      <c r="S1070" s="24" t="s">
        <v>65</v>
      </c>
      <c r="T1070" s="19"/>
      <c r="U1070" s="19"/>
      <c r="V1070" s="19"/>
      <c r="W1070" s="19" t="s">
        <v>67</v>
      </c>
      <c r="X1070" s="32">
        <v>46220</v>
      </c>
      <c r="Y1070" s="12" t="s">
        <v>2428</v>
      </c>
      <c r="Z1070" s="19"/>
    </row>
    <row r="1071" spans="1:26">
      <c r="A1071" s="19" t="s">
        <v>2174</v>
      </c>
      <c r="B1071" s="197">
        <v>46213</v>
      </c>
      <c r="C1071" s="40" t="s">
        <v>2581</v>
      </c>
      <c r="D1071" s="184" t="s">
        <v>48</v>
      </c>
      <c r="E1071" s="184" t="s">
        <v>49</v>
      </c>
      <c r="F1071" s="184" t="s">
        <v>86</v>
      </c>
      <c r="G1071" s="184" t="s">
        <v>51</v>
      </c>
      <c r="H1071" s="192" t="s">
        <v>2421</v>
      </c>
      <c r="I1071" s="193" t="s">
        <v>53</v>
      </c>
      <c r="J1071" s="181" t="s">
        <v>55</v>
      </c>
      <c r="K1071" s="24" t="s">
        <v>2582</v>
      </c>
      <c r="L1071" s="24" t="s">
        <v>249</v>
      </c>
      <c r="M1071" s="20">
        <f>162+7</f>
        <v>169</v>
      </c>
      <c r="N1071" s="20">
        <f>1195.848+43.115</f>
        <v>1238.963</v>
      </c>
      <c r="O1071" s="19"/>
      <c r="P1071" s="19" t="s">
        <v>2423</v>
      </c>
      <c r="Q1071" s="12" t="s">
        <v>1441</v>
      </c>
      <c r="R1071" s="24"/>
      <c r="S1071" s="24" t="s">
        <v>65</v>
      </c>
      <c r="T1071" s="19"/>
      <c r="U1071" s="19"/>
      <c r="V1071" s="19"/>
      <c r="W1071" s="19" t="s">
        <v>67</v>
      </c>
      <c r="X1071" s="32">
        <v>46216</v>
      </c>
      <c r="Y1071" s="12" t="s">
        <v>2428</v>
      </c>
      <c r="Z1071" s="19"/>
    </row>
    <row r="1072" spans="1:26">
      <c r="A1072" s="19" t="s">
        <v>2174</v>
      </c>
      <c r="B1072" s="186"/>
      <c r="C1072" s="40" t="s">
        <v>2583</v>
      </c>
      <c r="D1072" s="186"/>
      <c r="E1072" s="186"/>
      <c r="F1072" s="186"/>
      <c r="G1072" s="186"/>
      <c r="H1072" s="186"/>
      <c r="I1072" s="186"/>
      <c r="J1072" s="183"/>
      <c r="K1072" s="24" t="s">
        <v>2584</v>
      </c>
      <c r="L1072" s="24" t="s">
        <v>207</v>
      </c>
      <c r="M1072" s="19">
        <f>1+352+1+17</f>
        <v>371</v>
      </c>
      <c r="N1072" s="93">
        <f>3.6+2659.204+0.058+104.549</f>
        <v>2767.4110000000001</v>
      </c>
      <c r="O1072" s="19"/>
      <c r="P1072" s="19" t="s">
        <v>2423</v>
      </c>
      <c r="Q1072" s="12" t="s">
        <v>1441</v>
      </c>
      <c r="R1072" s="24"/>
      <c r="S1072" s="24" t="s">
        <v>65</v>
      </c>
      <c r="T1072" s="19"/>
      <c r="U1072" s="19"/>
      <c r="V1072" s="19"/>
      <c r="W1072" s="19" t="s">
        <v>67</v>
      </c>
      <c r="X1072" s="32">
        <v>46216</v>
      </c>
      <c r="Y1072" s="12" t="s">
        <v>2428</v>
      </c>
      <c r="Z1072" s="19"/>
    </row>
    <row r="1073" spans="1:26">
      <c r="A1073" s="19" t="s">
        <v>2174</v>
      </c>
      <c r="B1073" s="33">
        <v>46213</v>
      </c>
      <c r="C1073" s="19"/>
      <c r="D1073" s="19" t="s">
        <v>48</v>
      </c>
      <c r="E1073" s="19" t="s">
        <v>2585</v>
      </c>
      <c r="F1073" s="19" t="s">
        <v>2586</v>
      </c>
      <c r="G1073" s="19" t="s">
        <v>51</v>
      </c>
      <c r="H1073" s="40" t="s">
        <v>2501</v>
      </c>
      <c r="I1073" s="24" t="s">
        <v>1302</v>
      </c>
      <c r="J1073" s="24" t="s">
        <v>2318</v>
      </c>
      <c r="K1073" s="24" t="s">
        <v>2587</v>
      </c>
      <c r="L1073" s="24" t="s">
        <v>130</v>
      </c>
      <c r="M1073" s="19"/>
      <c r="N1073" s="95"/>
      <c r="O1073" s="19" t="s">
        <v>2588</v>
      </c>
      <c r="P1073" s="19" t="s">
        <v>2589</v>
      </c>
      <c r="Q1073" s="12" t="s">
        <v>1441</v>
      </c>
      <c r="R1073" s="24" t="s">
        <v>2590</v>
      </c>
      <c r="S1073" s="24" t="s">
        <v>65</v>
      </c>
      <c r="T1073" s="19" t="s">
        <v>2591</v>
      </c>
      <c r="U1073" s="19" t="s">
        <v>2334</v>
      </c>
      <c r="V1073" s="19" t="s">
        <v>2334</v>
      </c>
      <c r="W1073" s="19" t="s">
        <v>67</v>
      </c>
      <c r="X1073" s="32">
        <v>46223</v>
      </c>
      <c r="Y1073" s="12" t="s">
        <v>2592</v>
      </c>
      <c r="Z1073" s="19"/>
    </row>
    <row r="1074" spans="1:26">
      <c r="A1074" s="19" t="s">
        <v>2174</v>
      </c>
      <c r="B1074" s="197">
        <v>46213</v>
      </c>
      <c r="C1074" s="184"/>
      <c r="D1074" s="184" t="s">
        <v>59</v>
      </c>
      <c r="E1074" s="184" t="s">
        <v>373</v>
      </c>
      <c r="F1074" s="228" t="s">
        <v>108</v>
      </c>
      <c r="G1074" s="184" t="s">
        <v>51</v>
      </c>
      <c r="H1074" s="192" t="s">
        <v>238</v>
      </c>
      <c r="I1074" s="193" t="s">
        <v>374</v>
      </c>
      <c r="J1074" s="229" t="s">
        <v>375</v>
      </c>
      <c r="K1074" s="24" t="s">
        <v>2593</v>
      </c>
      <c r="L1074" s="24" t="s">
        <v>2594</v>
      </c>
      <c r="M1074" s="19"/>
      <c r="N1074" s="19"/>
      <c r="O1074" s="19"/>
      <c r="P1074" s="19" t="s">
        <v>1961</v>
      </c>
      <c r="Q1074" s="12" t="s">
        <v>1441</v>
      </c>
      <c r="R1074" s="24"/>
      <c r="S1074" s="24" t="s">
        <v>65</v>
      </c>
      <c r="T1074" s="19"/>
      <c r="U1074" s="19"/>
      <c r="V1074" s="19"/>
      <c r="W1074" s="19" t="s">
        <v>67</v>
      </c>
      <c r="X1074" s="32">
        <v>46216</v>
      </c>
      <c r="Y1074" s="19"/>
      <c r="Z1074" s="19"/>
    </row>
    <row r="1075" spans="1:26">
      <c r="A1075" s="19" t="s">
        <v>2174</v>
      </c>
      <c r="B1075" s="186"/>
      <c r="C1075" s="186"/>
      <c r="D1075" s="186"/>
      <c r="E1075" s="186"/>
      <c r="F1075" s="183"/>
      <c r="G1075" s="186"/>
      <c r="H1075" s="186"/>
      <c r="I1075" s="186"/>
      <c r="J1075" s="183"/>
      <c r="K1075" s="24" t="s">
        <v>2595</v>
      </c>
      <c r="L1075" s="24" t="s">
        <v>130</v>
      </c>
      <c r="M1075" s="19"/>
      <c r="N1075" s="19"/>
      <c r="O1075" s="19"/>
      <c r="P1075" s="19" t="s">
        <v>1961</v>
      </c>
      <c r="Q1075" s="12" t="s">
        <v>1441</v>
      </c>
      <c r="R1075" s="24"/>
      <c r="S1075" s="24" t="s">
        <v>65</v>
      </c>
      <c r="T1075" s="19"/>
      <c r="U1075" s="19"/>
      <c r="V1075" s="19"/>
      <c r="W1075" s="19" t="s">
        <v>67</v>
      </c>
      <c r="X1075" s="32">
        <v>46216</v>
      </c>
      <c r="Y1075" s="19"/>
      <c r="Z1075" s="19"/>
    </row>
    <row r="1076" spans="1:26">
      <c r="A1076" s="19" t="s">
        <v>2174</v>
      </c>
      <c r="B1076" s="33">
        <v>46213</v>
      </c>
      <c r="C1076" s="19"/>
      <c r="D1076" s="19" t="s">
        <v>59</v>
      </c>
      <c r="E1076" s="19" t="s">
        <v>373</v>
      </c>
      <c r="F1076" s="19" t="s">
        <v>97</v>
      </c>
      <c r="G1076" s="19" t="s">
        <v>98</v>
      </c>
      <c r="H1076" s="19" t="s">
        <v>2596</v>
      </c>
      <c r="I1076" s="37" t="s">
        <v>374</v>
      </c>
      <c r="J1076" s="42" t="s">
        <v>375</v>
      </c>
      <c r="K1076" s="24" t="s">
        <v>2597</v>
      </c>
      <c r="L1076" s="24" t="s">
        <v>403</v>
      </c>
      <c r="M1076" s="19"/>
      <c r="N1076" s="19"/>
      <c r="O1076" s="19"/>
      <c r="P1076" s="19" t="s">
        <v>107</v>
      </c>
      <c r="Q1076" s="12" t="s">
        <v>1441</v>
      </c>
      <c r="R1076" s="24"/>
      <c r="S1076" s="24" t="s">
        <v>65</v>
      </c>
      <c r="T1076" s="19"/>
      <c r="U1076" s="19"/>
      <c r="V1076" s="19"/>
      <c r="W1076" s="19" t="s">
        <v>67</v>
      </c>
      <c r="X1076" s="32">
        <v>46218</v>
      </c>
      <c r="Y1076" s="19"/>
      <c r="Z1076" s="19"/>
    </row>
    <row r="1077" spans="1:26">
      <c r="A1077" s="19" t="s">
        <v>2174</v>
      </c>
      <c r="B1077" s="33">
        <v>46213</v>
      </c>
      <c r="C1077" s="19"/>
      <c r="D1077" s="19" t="s">
        <v>48</v>
      </c>
      <c r="E1077" s="19" t="s">
        <v>609</v>
      </c>
      <c r="F1077" s="19" t="s">
        <v>2598</v>
      </c>
      <c r="G1077" s="19" t="s">
        <v>98</v>
      </c>
      <c r="H1077" s="40" t="s">
        <v>1053</v>
      </c>
      <c r="I1077" s="24" t="s">
        <v>1740</v>
      </c>
      <c r="J1077" s="24" t="s">
        <v>330</v>
      </c>
      <c r="K1077" s="24" t="s">
        <v>164</v>
      </c>
      <c r="L1077" s="24" t="s">
        <v>104</v>
      </c>
      <c r="M1077" s="19"/>
      <c r="N1077" s="19"/>
      <c r="O1077" s="19"/>
      <c r="P1077" s="19" t="s">
        <v>2599</v>
      </c>
      <c r="Q1077" s="12" t="s">
        <v>1441</v>
      </c>
      <c r="R1077" s="24"/>
      <c r="S1077" s="24" t="s">
        <v>65</v>
      </c>
      <c r="T1077" s="19"/>
      <c r="U1077" s="19"/>
      <c r="V1077" s="19"/>
      <c r="W1077" s="19" t="s">
        <v>67</v>
      </c>
      <c r="X1077" s="32">
        <v>46216</v>
      </c>
      <c r="Y1077" s="19"/>
      <c r="Z1077" s="19"/>
    </row>
    <row r="1078" spans="1:26">
      <c r="A1078" s="19" t="s">
        <v>2174</v>
      </c>
      <c r="B1078" s="197">
        <v>46213</v>
      </c>
      <c r="C1078" s="40" t="s">
        <v>2600</v>
      </c>
      <c r="D1078" s="184" t="s">
        <v>48</v>
      </c>
      <c r="E1078" s="184" t="s">
        <v>49</v>
      </c>
      <c r="F1078" s="184" t="s">
        <v>255</v>
      </c>
      <c r="G1078" s="184" t="s">
        <v>220</v>
      </c>
      <c r="H1078" s="192" t="s">
        <v>2190</v>
      </c>
      <c r="I1078" s="193" t="s">
        <v>53</v>
      </c>
      <c r="J1078" s="181" t="s">
        <v>55</v>
      </c>
      <c r="K1078" s="24" t="s">
        <v>2601</v>
      </c>
      <c r="L1078" s="24" t="s">
        <v>2602</v>
      </c>
      <c r="M1078" s="19">
        <f>289+4+10</f>
        <v>303</v>
      </c>
      <c r="N1078" s="93">
        <f>2059.68+57.986</f>
        <v>2117.6659999999997</v>
      </c>
      <c r="O1078" s="19"/>
      <c r="P1078" s="19" t="s">
        <v>2191</v>
      </c>
      <c r="Q1078" s="12" t="s">
        <v>1441</v>
      </c>
      <c r="R1078" s="24"/>
      <c r="S1078" s="24" t="s">
        <v>65</v>
      </c>
      <c r="T1078" s="19"/>
      <c r="U1078" s="19"/>
      <c r="V1078" s="19"/>
      <c r="W1078" s="19" t="s">
        <v>67</v>
      </c>
      <c r="X1078" s="32">
        <v>46218</v>
      </c>
      <c r="Y1078" s="12" t="s">
        <v>2428</v>
      </c>
      <c r="Z1078" s="19"/>
    </row>
    <row r="1079" spans="1:26">
      <c r="A1079" s="19" t="s">
        <v>2174</v>
      </c>
      <c r="B1079" s="186"/>
      <c r="C1079" s="40" t="s">
        <v>2603</v>
      </c>
      <c r="D1079" s="186"/>
      <c r="E1079" s="186"/>
      <c r="F1079" s="186"/>
      <c r="G1079" s="186"/>
      <c r="H1079" s="186"/>
      <c r="I1079" s="186"/>
      <c r="J1079" s="183"/>
      <c r="K1079" s="24" t="s">
        <v>2604</v>
      </c>
      <c r="L1079" s="24" t="s">
        <v>151</v>
      </c>
      <c r="M1079" s="19">
        <f>958+1+1+3+1+52</f>
        <v>1016</v>
      </c>
      <c r="N1079" s="93">
        <f>6710.82+323.732+11.3+7.2+29.5+7.9</f>
        <v>7090.4519999999993</v>
      </c>
      <c r="O1079" s="19"/>
      <c r="P1079" s="19" t="s">
        <v>2191</v>
      </c>
      <c r="Q1079" s="12" t="s">
        <v>1441</v>
      </c>
      <c r="R1079" s="24"/>
      <c r="S1079" s="24" t="s">
        <v>65</v>
      </c>
      <c r="T1079" s="19"/>
      <c r="U1079" s="19"/>
      <c r="V1079" s="19"/>
      <c r="W1079" s="19" t="s">
        <v>67</v>
      </c>
      <c r="X1079" s="32">
        <v>46218</v>
      </c>
      <c r="Y1079" s="12" t="s">
        <v>2428</v>
      </c>
      <c r="Z1079" s="19"/>
    </row>
    <row r="1080" spans="1:26">
      <c r="A1080" s="19" t="s">
        <v>2174</v>
      </c>
      <c r="B1080" s="33">
        <v>46213</v>
      </c>
      <c r="C1080" s="40" t="s">
        <v>2605</v>
      </c>
      <c r="D1080" s="19" t="s">
        <v>48</v>
      </c>
      <c r="E1080" s="19" t="s">
        <v>609</v>
      </c>
      <c r="F1080" s="19" t="s">
        <v>2606</v>
      </c>
      <c r="G1080" s="19" t="s">
        <v>127</v>
      </c>
      <c r="H1080" s="40" t="s">
        <v>2607</v>
      </c>
      <c r="I1080" s="24" t="s">
        <v>2305</v>
      </c>
      <c r="J1080" s="24" t="s">
        <v>330</v>
      </c>
      <c r="K1080" s="24" t="s">
        <v>2608</v>
      </c>
      <c r="L1080" s="24" t="s">
        <v>665</v>
      </c>
      <c r="M1080" s="19">
        <v>160</v>
      </c>
      <c r="N1080" s="19">
        <v>4000</v>
      </c>
      <c r="O1080" s="19"/>
      <c r="P1080" s="19" t="s">
        <v>2609</v>
      </c>
      <c r="Q1080" s="12" t="s">
        <v>89</v>
      </c>
      <c r="R1080" s="24"/>
      <c r="S1080" s="24" t="s">
        <v>65</v>
      </c>
      <c r="T1080" s="19"/>
      <c r="U1080" s="19"/>
      <c r="V1080" s="19"/>
      <c r="W1080" s="19" t="s">
        <v>67</v>
      </c>
      <c r="X1080" s="32">
        <v>46219</v>
      </c>
      <c r="Y1080" s="19"/>
      <c r="Z1080" s="19"/>
    </row>
    <row r="1081" spans="1:26">
      <c r="A1081" s="19" t="s">
        <v>2174</v>
      </c>
      <c r="B1081" s="33">
        <v>46213</v>
      </c>
      <c r="C1081" s="40" t="s">
        <v>1959</v>
      </c>
      <c r="D1081" s="19" t="s">
        <v>59</v>
      </c>
      <c r="E1081" s="19" t="s">
        <v>284</v>
      </c>
      <c r="F1081" s="19" t="s">
        <v>2610</v>
      </c>
      <c r="G1081" s="19" t="s">
        <v>1764</v>
      </c>
      <c r="H1081" s="40" t="s">
        <v>217</v>
      </c>
      <c r="I1081" s="24" t="s">
        <v>2611</v>
      </c>
      <c r="J1081" s="24" t="s">
        <v>2562</v>
      </c>
      <c r="K1081" s="24" t="s">
        <v>2612</v>
      </c>
      <c r="L1081" s="24" t="s">
        <v>104</v>
      </c>
      <c r="M1081" s="19"/>
      <c r="N1081" s="19"/>
      <c r="O1081" s="19"/>
      <c r="P1081" s="19" t="s">
        <v>2613</v>
      </c>
      <c r="Q1081" s="12" t="s">
        <v>1441</v>
      </c>
      <c r="R1081" s="24"/>
      <c r="S1081" s="24" t="s">
        <v>65</v>
      </c>
      <c r="T1081" s="19"/>
      <c r="U1081" s="19"/>
      <c r="V1081" s="19"/>
      <c r="W1081" s="19" t="s">
        <v>2614</v>
      </c>
      <c r="X1081" s="32">
        <v>46216</v>
      </c>
      <c r="Y1081" s="19"/>
      <c r="Z1081" s="19"/>
    </row>
    <row r="1082" spans="1:26">
      <c r="A1082" s="19" t="s">
        <v>2174</v>
      </c>
      <c r="B1082" s="33">
        <v>46213</v>
      </c>
      <c r="C1082" s="19"/>
      <c r="D1082" s="19" t="s">
        <v>59</v>
      </c>
      <c r="E1082" s="19" t="s">
        <v>140</v>
      </c>
      <c r="F1082" s="19" t="s">
        <v>1821</v>
      </c>
      <c r="G1082" s="19" t="s">
        <v>98</v>
      </c>
      <c r="H1082" s="40" t="s">
        <v>2227</v>
      </c>
      <c r="I1082" s="24" t="s">
        <v>2615</v>
      </c>
      <c r="J1082" s="24" t="s">
        <v>2616</v>
      </c>
      <c r="K1082" s="24" t="s">
        <v>2617</v>
      </c>
      <c r="L1082" s="24" t="s">
        <v>2618</v>
      </c>
      <c r="M1082" s="19"/>
      <c r="N1082" s="19"/>
      <c r="O1082" s="19"/>
      <c r="P1082" s="19" t="s">
        <v>593</v>
      </c>
      <c r="Q1082" s="12" t="s">
        <v>89</v>
      </c>
      <c r="R1082" s="24"/>
      <c r="S1082" s="24" t="s">
        <v>65</v>
      </c>
      <c r="T1082" s="19"/>
      <c r="U1082" s="19"/>
      <c r="V1082" s="19"/>
      <c r="W1082" s="19" t="s">
        <v>67</v>
      </c>
      <c r="X1082" s="32">
        <v>46216</v>
      </c>
      <c r="Y1082" s="19"/>
      <c r="Z1082" s="19"/>
    </row>
    <row r="1083" spans="1:26">
      <c r="A1083" s="19" t="s">
        <v>2174</v>
      </c>
      <c r="B1083" s="33">
        <v>46213</v>
      </c>
      <c r="C1083" s="40" t="s">
        <v>2619</v>
      </c>
      <c r="D1083" s="19" t="s">
        <v>59</v>
      </c>
      <c r="E1083" s="19" t="s">
        <v>230</v>
      </c>
      <c r="F1083" s="19" t="s">
        <v>219</v>
      </c>
      <c r="G1083" s="19" t="s">
        <v>127</v>
      </c>
      <c r="H1083" s="40" t="s">
        <v>221</v>
      </c>
      <c r="I1083" s="37" t="s">
        <v>231</v>
      </c>
      <c r="J1083" s="42" t="s">
        <v>232</v>
      </c>
      <c r="K1083" s="24" t="s">
        <v>2620</v>
      </c>
      <c r="L1083" s="24" t="s">
        <v>104</v>
      </c>
      <c r="M1083" s="19"/>
      <c r="N1083" s="19"/>
      <c r="O1083" s="19"/>
      <c r="P1083" s="19" t="s">
        <v>573</v>
      </c>
      <c r="Q1083" s="12" t="s">
        <v>1441</v>
      </c>
      <c r="R1083" s="24"/>
      <c r="S1083" s="24" t="s">
        <v>65</v>
      </c>
      <c r="T1083" s="19"/>
      <c r="U1083" s="19"/>
      <c r="V1083" s="19"/>
      <c r="W1083" s="19" t="s">
        <v>67</v>
      </c>
      <c r="X1083" s="32">
        <v>46216</v>
      </c>
      <c r="Y1083" s="19"/>
      <c r="Z1083" s="19"/>
    </row>
    <row r="1084" spans="1:26">
      <c r="A1084" s="19" t="s">
        <v>2174</v>
      </c>
      <c r="B1084" s="197">
        <v>46213</v>
      </c>
      <c r="C1084" s="19"/>
      <c r="D1084" s="184" t="s">
        <v>48</v>
      </c>
      <c r="E1084" s="184" t="s">
        <v>609</v>
      </c>
      <c r="F1084" s="184" t="s">
        <v>2621</v>
      </c>
      <c r="G1084" s="184" t="s">
        <v>51</v>
      </c>
      <c r="H1084" s="192" t="s">
        <v>2622</v>
      </c>
      <c r="I1084" s="191" t="s">
        <v>2279</v>
      </c>
      <c r="J1084" s="191" t="s">
        <v>330</v>
      </c>
      <c r="K1084" s="24" t="s">
        <v>2623</v>
      </c>
      <c r="L1084" s="24" t="s">
        <v>665</v>
      </c>
      <c r="M1084" s="19"/>
      <c r="N1084" s="19"/>
      <c r="O1084" s="19"/>
      <c r="P1084" s="19" t="s">
        <v>2624</v>
      </c>
      <c r="Q1084" s="12" t="s">
        <v>89</v>
      </c>
      <c r="R1084" s="24"/>
      <c r="S1084" s="24" t="s">
        <v>65</v>
      </c>
      <c r="T1084" s="19"/>
      <c r="U1084" s="19"/>
      <c r="V1084" s="19"/>
      <c r="W1084" s="19" t="s">
        <v>67</v>
      </c>
      <c r="X1084" s="32">
        <v>46218</v>
      </c>
      <c r="Y1084" s="19"/>
      <c r="Z1084" s="19"/>
    </row>
    <row r="1085" spans="1:26">
      <c r="A1085" s="19" t="s">
        <v>2174</v>
      </c>
      <c r="B1085" s="186"/>
      <c r="C1085" s="19"/>
      <c r="D1085" s="186"/>
      <c r="E1085" s="186"/>
      <c r="F1085" s="186"/>
      <c r="G1085" s="186"/>
      <c r="H1085" s="186"/>
      <c r="I1085" s="186"/>
      <c r="J1085" s="186"/>
      <c r="K1085" s="24" t="s">
        <v>2625</v>
      </c>
      <c r="L1085" s="24" t="s">
        <v>246</v>
      </c>
      <c r="M1085" s="19"/>
      <c r="N1085" s="19"/>
      <c r="O1085" s="19"/>
      <c r="P1085" s="19" t="s">
        <v>2624</v>
      </c>
      <c r="Q1085" s="12" t="s">
        <v>89</v>
      </c>
      <c r="R1085" s="24"/>
      <c r="S1085" s="24" t="s">
        <v>65</v>
      </c>
      <c r="T1085" s="19"/>
      <c r="U1085" s="19"/>
      <c r="V1085" s="19"/>
      <c r="W1085" s="19" t="s">
        <v>67</v>
      </c>
      <c r="X1085" s="32">
        <v>46219</v>
      </c>
      <c r="Y1085" s="19"/>
      <c r="Z1085" s="19"/>
    </row>
    <row r="1086" spans="1:26">
      <c r="A1086" s="19" t="s">
        <v>2174</v>
      </c>
      <c r="B1086" s="33">
        <v>46213</v>
      </c>
      <c r="C1086" s="19"/>
      <c r="D1086" s="19" t="s">
        <v>59</v>
      </c>
      <c r="E1086" s="19" t="s">
        <v>101</v>
      </c>
      <c r="F1086" s="19" t="s">
        <v>2626</v>
      </c>
      <c r="G1086" s="19" t="s">
        <v>98</v>
      </c>
      <c r="H1086" s="40" t="s">
        <v>194</v>
      </c>
      <c r="I1086" s="24" t="s">
        <v>129</v>
      </c>
      <c r="J1086" s="24" t="s">
        <v>130</v>
      </c>
      <c r="K1086" s="24" t="s">
        <v>2627</v>
      </c>
      <c r="L1086" s="24" t="s">
        <v>636</v>
      </c>
      <c r="M1086" s="19"/>
      <c r="N1086" s="19"/>
      <c r="O1086" s="19"/>
      <c r="P1086" s="19" t="s">
        <v>2628</v>
      </c>
      <c r="Q1086" s="12" t="s">
        <v>89</v>
      </c>
      <c r="R1086" s="24"/>
      <c r="S1086" s="24" t="s">
        <v>65</v>
      </c>
      <c r="T1086" s="19"/>
      <c r="U1086" s="19"/>
      <c r="V1086" s="19"/>
      <c r="W1086" s="19" t="s">
        <v>67</v>
      </c>
      <c r="X1086" s="32">
        <v>46219</v>
      </c>
      <c r="Y1086" s="12" t="s">
        <v>2629</v>
      </c>
      <c r="Z1086" s="19"/>
    </row>
    <row r="1087" spans="1:26">
      <c r="A1087" s="19" t="s">
        <v>2174</v>
      </c>
      <c r="B1087" s="33">
        <v>46213</v>
      </c>
      <c r="C1087" s="19"/>
      <c r="D1087" s="19" t="s">
        <v>59</v>
      </c>
      <c r="E1087" s="19" t="s">
        <v>1140</v>
      </c>
      <c r="F1087" s="19" t="s">
        <v>285</v>
      </c>
      <c r="G1087" s="19" t="s">
        <v>51</v>
      </c>
      <c r="H1087" s="40" t="s">
        <v>288</v>
      </c>
      <c r="I1087" s="24" t="s">
        <v>1770</v>
      </c>
      <c r="J1087" s="24" t="s">
        <v>2323</v>
      </c>
      <c r="K1087" s="24" t="s">
        <v>2630</v>
      </c>
      <c r="L1087" s="24" t="s">
        <v>338</v>
      </c>
      <c r="M1087" s="19"/>
      <c r="N1087" s="19"/>
      <c r="O1087" s="19"/>
      <c r="P1087" s="19" t="s">
        <v>290</v>
      </c>
      <c r="Q1087" s="12" t="s">
        <v>1441</v>
      </c>
      <c r="R1087" s="24"/>
      <c r="S1087" s="24" t="s">
        <v>65</v>
      </c>
      <c r="T1087" s="19"/>
      <c r="U1087" s="19"/>
      <c r="V1087" s="19"/>
      <c r="W1087" s="19" t="s">
        <v>67</v>
      </c>
      <c r="X1087" s="32">
        <v>46219</v>
      </c>
      <c r="Y1087" s="19"/>
      <c r="Z1087" s="19"/>
    </row>
    <row r="1088" spans="1:26">
      <c r="A1088" s="19" t="s">
        <v>2174</v>
      </c>
      <c r="B1088" s="33">
        <v>46213</v>
      </c>
      <c r="C1088" s="40" t="s">
        <v>2631</v>
      </c>
      <c r="D1088" s="19" t="s">
        <v>59</v>
      </c>
      <c r="E1088" s="19" t="s">
        <v>71</v>
      </c>
      <c r="F1088" s="19" t="s">
        <v>2632</v>
      </c>
      <c r="G1088" s="19" t="s">
        <v>173</v>
      </c>
      <c r="H1088" s="40" t="s">
        <v>2193</v>
      </c>
      <c r="I1088" s="24" t="s">
        <v>2439</v>
      </c>
      <c r="J1088" s="24" t="s">
        <v>2440</v>
      </c>
      <c r="K1088" s="24" t="s">
        <v>2633</v>
      </c>
      <c r="L1088" s="24" t="s">
        <v>388</v>
      </c>
      <c r="M1088" s="19"/>
      <c r="N1088" s="19"/>
      <c r="O1088" s="19" t="s">
        <v>2588</v>
      </c>
      <c r="P1088" s="19" t="s">
        <v>2634</v>
      </c>
      <c r="Q1088" s="12" t="s">
        <v>1441</v>
      </c>
      <c r="R1088" s="24" t="s">
        <v>2334</v>
      </c>
      <c r="S1088" s="24" t="s">
        <v>65</v>
      </c>
      <c r="T1088" s="19" t="s">
        <v>2334</v>
      </c>
      <c r="U1088" s="19" t="s">
        <v>2334</v>
      </c>
      <c r="V1088" s="19" t="s">
        <v>2334</v>
      </c>
      <c r="W1088" s="19" t="s">
        <v>67</v>
      </c>
      <c r="X1088" s="32">
        <v>46223</v>
      </c>
      <c r="Y1088" s="12" t="s">
        <v>2635</v>
      </c>
      <c r="Z1088" s="43" t="s">
        <v>2636</v>
      </c>
    </row>
    <row r="1089" spans="1:26">
      <c r="A1089" s="19" t="s">
        <v>2174</v>
      </c>
      <c r="B1089" s="33">
        <v>46213</v>
      </c>
      <c r="C1089" s="40" t="s">
        <v>2637</v>
      </c>
      <c r="D1089" s="19" t="s">
        <v>59</v>
      </c>
      <c r="E1089" s="19" t="s">
        <v>71</v>
      </c>
      <c r="F1089" s="19" t="s">
        <v>2632</v>
      </c>
      <c r="G1089" s="19" t="s">
        <v>173</v>
      </c>
      <c r="H1089" s="40" t="s">
        <v>2193</v>
      </c>
      <c r="I1089" s="19" t="s">
        <v>2439</v>
      </c>
      <c r="J1089" s="24" t="s">
        <v>2440</v>
      </c>
      <c r="K1089" s="24" t="s">
        <v>2638</v>
      </c>
      <c r="L1089" s="24" t="s">
        <v>636</v>
      </c>
      <c r="M1089" s="19"/>
      <c r="N1089" s="19"/>
      <c r="O1089" s="19" t="s">
        <v>2588</v>
      </c>
      <c r="P1089" s="19" t="s">
        <v>2634</v>
      </c>
      <c r="Q1089" s="12" t="s">
        <v>1441</v>
      </c>
      <c r="R1089" s="24" t="s">
        <v>2334</v>
      </c>
      <c r="S1089" s="24" t="s">
        <v>65</v>
      </c>
      <c r="T1089" s="19" t="s">
        <v>2334</v>
      </c>
      <c r="U1089" s="19" t="s">
        <v>2334</v>
      </c>
      <c r="V1089" s="19" t="s">
        <v>2334</v>
      </c>
      <c r="W1089" s="19" t="s">
        <v>67</v>
      </c>
      <c r="X1089" s="32">
        <v>46223</v>
      </c>
      <c r="Y1089" s="12" t="s">
        <v>2639</v>
      </c>
      <c r="Z1089" s="12" t="s">
        <v>2640</v>
      </c>
    </row>
    <row r="1090" spans="1:26">
      <c r="A1090" s="19" t="s">
        <v>2174</v>
      </c>
      <c r="B1090" s="33">
        <v>46213</v>
      </c>
      <c r="C1090" s="19"/>
      <c r="D1090" s="19" t="s">
        <v>48</v>
      </c>
      <c r="E1090" s="19" t="s">
        <v>284</v>
      </c>
      <c r="F1090" s="19" t="s">
        <v>2260</v>
      </c>
      <c r="G1090" s="19" t="s">
        <v>98</v>
      </c>
      <c r="H1090" s="40" t="s">
        <v>2219</v>
      </c>
      <c r="I1090" s="19" t="s">
        <v>2641</v>
      </c>
      <c r="J1090" s="24" t="s">
        <v>2642</v>
      </c>
      <c r="K1090" s="24" t="s">
        <v>2643</v>
      </c>
      <c r="L1090" s="24" t="s">
        <v>2644</v>
      </c>
      <c r="M1090" s="19"/>
      <c r="N1090" s="19"/>
      <c r="O1090" s="19"/>
      <c r="P1090" s="19" t="s">
        <v>2224</v>
      </c>
      <c r="Q1090" s="12" t="s">
        <v>1441</v>
      </c>
      <c r="R1090" s="24"/>
      <c r="S1090" s="24" t="s">
        <v>65</v>
      </c>
      <c r="T1090" s="19"/>
      <c r="U1090" s="19"/>
      <c r="V1090" s="19"/>
      <c r="W1090" s="19" t="s">
        <v>67</v>
      </c>
      <c r="X1090" s="32">
        <v>46218</v>
      </c>
      <c r="Y1090" s="19"/>
      <c r="Z1090" s="19"/>
    </row>
    <row r="1091" spans="1:26">
      <c r="A1091" s="19" t="s">
        <v>2174</v>
      </c>
      <c r="B1091" s="33">
        <v>46213</v>
      </c>
      <c r="C1091" s="40" t="s">
        <v>2645</v>
      </c>
      <c r="D1091" s="19" t="s">
        <v>59</v>
      </c>
      <c r="E1091" s="19" t="s">
        <v>2646</v>
      </c>
      <c r="F1091" s="19" t="s">
        <v>2243</v>
      </c>
      <c r="G1091" s="19" t="s">
        <v>98</v>
      </c>
      <c r="H1091" s="40" t="s">
        <v>2244</v>
      </c>
      <c r="I1091" s="19" t="s">
        <v>2647</v>
      </c>
      <c r="J1091" s="24" t="s">
        <v>28</v>
      </c>
      <c r="K1091" s="24" t="s">
        <v>2648</v>
      </c>
      <c r="L1091" s="24" t="s">
        <v>584</v>
      </c>
      <c r="M1091" s="19"/>
      <c r="N1091" s="19"/>
      <c r="O1091" s="19"/>
      <c r="P1091" s="19" t="s">
        <v>2246</v>
      </c>
      <c r="Q1091" s="12" t="s">
        <v>89</v>
      </c>
      <c r="R1091" s="24"/>
      <c r="S1091" s="24" t="s">
        <v>65</v>
      </c>
      <c r="T1091" s="19"/>
      <c r="U1091" s="19"/>
      <c r="V1091" s="19"/>
      <c r="W1091" s="19" t="s">
        <v>67</v>
      </c>
      <c r="X1091" s="32">
        <v>46218</v>
      </c>
      <c r="Y1091" s="19"/>
      <c r="Z1091" s="19"/>
    </row>
    <row r="1092" spans="1:26">
      <c r="A1092" s="19" t="s">
        <v>2174</v>
      </c>
      <c r="B1092" s="33">
        <v>46213</v>
      </c>
      <c r="C1092" s="19"/>
      <c r="D1092" s="19" t="s">
        <v>59</v>
      </c>
      <c r="E1092" s="19" t="s">
        <v>96</v>
      </c>
      <c r="F1092" s="19" t="s">
        <v>158</v>
      </c>
      <c r="G1092" s="19" t="s">
        <v>98</v>
      </c>
      <c r="H1092" s="96" t="s">
        <v>306</v>
      </c>
      <c r="I1092" s="28" t="s">
        <v>100</v>
      </c>
      <c r="J1092" s="55" t="s">
        <v>102</v>
      </c>
      <c r="K1092" s="24" t="s">
        <v>2649</v>
      </c>
      <c r="L1092" s="24" t="s">
        <v>106</v>
      </c>
      <c r="M1092" s="19"/>
      <c r="N1092" s="19"/>
      <c r="O1092" s="19"/>
      <c r="P1092" s="19" t="s">
        <v>307</v>
      </c>
      <c r="Q1092" s="12" t="s">
        <v>1441</v>
      </c>
      <c r="R1092" s="24"/>
      <c r="S1092" s="24" t="s">
        <v>65</v>
      </c>
      <c r="T1092" s="19"/>
      <c r="U1092" s="19"/>
      <c r="V1092" s="19"/>
      <c r="W1092" s="19" t="s">
        <v>67</v>
      </c>
      <c r="X1092" s="32">
        <v>46216</v>
      </c>
      <c r="Y1092" s="19"/>
      <c r="Z1092" s="19"/>
    </row>
    <row r="1093" spans="1:26">
      <c r="A1093" s="19" t="s">
        <v>2174</v>
      </c>
      <c r="B1093" s="33">
        <v>46213</v>
      </c>
      <c r="C1093" s="19"/>
      <c r="D1093" s="19" t="s">
        <v>59</v>
      </c>
      <c r="E1093" s="19" t="s">
        <v>96</v>
      </c>
      <c r="F1093" s="19" t="s">
        <v>158</v>
      </c>
      <c r="G1093" s="19" t="s">
        <v>98</v>
      </c>
      <c r="H1093" s="96" t="s">
        <v>306</v>
      </c>
      <c r="I1093" s="28" t="s">
        <v>2650</v>
      </c>
      <c r="J1093" s="55" t="s">
        <v>106</v>
      </c>
      <c r="K1093" s="24" t="s">
        <v>2651</v>
      </c>
      <c r="L1093" s="24" t="s">
        <v>2652</v>
      </c>
      <c r="M1093" s="19"/>
      <c r="N1093" s="19"/>
      <c r="O1093" s="19"/>
      <c r="P1093" s="19" t="s">
        <v>307</v>
      </c>
      <c r="Q1093" s="12" t="s">
        <v>1441</v>
      </c>
      <c r="R1093" s="24"/>
      <c r="S1093" s="24" t="s">
        <v>65</v>
      </c>
      <c r="T1093" s="19"/>
      <c r="U1093" s="19"/>
      <c r="V1093" s="19"/>
      <c r="W1093" s="19" t="s">
        <v>67</v>
      </c>
      <c r="X1093" s="32">
        <v>46216</v>
      </c>
      <c r="Y1093" s="19" t="s">
        <v>2653</v>
      </c>
      <c r="Z1093" s="19"/>
    </row>
    <row r="1094" spans="1:26">
      <c r="A1094" s="19" t="s">
        <v>2174</v>
      </c>
      <c r="B1094" s="197">
        <v>46213</v>
      </c>
      <c r="C1094" s="192" t="s">
        <v>2654</v>
      </c>
      <c r="D1094" s="184" t="s">
        <v>59</v>
      </c>
      <c r="E1094" s="184" t="s">
        <v>1159</v>
      </c>
      <c r="F1094" s="184" t="s">
        <v>248</v>
      </c>
      <c r="G1094" s="184" t="s">
        <v>127</v>
      </c>
      <c r="H1094" s="192" t="s">
        <v>52</v>
      </c>
      <c r="I1094" s="184" t="s">
        <v>2655</v>
      </c>
      <c r="J1094" s="191" t="s">
        <v>28</v>
      </c>
      <c r="K1094" s="24" t="s">
        <v>2656</v>
      </c>
      <c r="L1094" s="24" t="s">
        <v>182</v>
      </c>
      <c r="M1094" s="19"/>
      <c r="N1094" s="19"/>
      <c r="O1094" s="19"/>
      <c r="P1094" s="19" t="s">
        <v>56</v>
      </c>
      <c r="Q1094" s="12" t="s">
        <v>1441</v>
      </c>
      <c r="R1094" s="24"/>
      <c r="S1094" s="24" t="s">
        <v>65</v>
      </c>
      <c r="T1094" s="19"/>
      <c r="U1094" s="19"/>
      <c r="V1094" s="19"/>
      <c r="W1094" s="19" t="s">
        <v>67</v>
      </c>
      <c r="X1094" s="32">
        <v>46219</v>
      </c>
      <c r="Y1094" s="19"/>
      <c r="Z1094" s="19" t="s">
        <v>2657</v>
      </c>
    </row>
    <row r="1095" spans="1:26">
      <c r="A1095" s="19" t="s">
        <v>2174</v>
      </c>
      <c r="B1095" s="186"/>
      <c r="C1095" s="186"/>
      <c r="D1095" s="186"/>
      <c r="E1095" s="186"/>
      <c r="F1095" s="186"/>
      <c r="G1095" s="186"/>
      <c r="H1095" s="186"/>
      <c r="I1095" s="186"/>
      <c r="J1095" s="186"/>
      <c r="K1095" s="24" t="s">
        <v>2035</v>
      </c>
      <c r="L1095" s="24" t="s">
        <v>330</v>
      </c>
      <c r="M1095" s="19"/>
      <c r="N1095" s="19"/>
      <c r="O1095" s="19"/>
      <c r="P1095" s="19" t="s">
        <v>56</v>
      </c>
      <c r="Q1095" s="12" t="s">
        <v>1441</v>
      </c>
      <c r="R1095" s="24"/>
      <c r="S1095" s="24" t="s">
        <v>65</v>
      </c>
      <c r="T1095" s="19"/>
      <c r="U1095" s="19"/>
      <c r="V1095" s="19"/>
      <c r="W1095" s="19" t="s">
        <v>67</v>
      </c>
      <c r="X1095" s="32">
        <v>46219</v>
      </c>
      <c r="Y1095" s="19"/>
      <c r="Z1095" s="19" t="s">
        <v>2658</v>
      </c>
    </row>
    <row r="1096" spans="1:26">
      <c r="A1096" s="19" t="s">
        <v>2174</v>
      </c>
      <c r="B1096" s="33">
        <v>46215</v>
      </c>
      <c r="C1096" s="19"/>
      <c r="D1096" s="19" t="s">
        <v>59</v>
      </c>
      <c r="E1096" s="19" t="s">
        <v>373</v>
      </c>
      <c r="F1096" s="19" t="s">
        <v>2659</v>
      </c>
      <c r="G1096" s="19" t="s">
        <v>2660</v>
      </c>
      <c r="H1096" s="40" t="s">
        <v>2661</v>
      </c>
      <c r="I1096" s="24" t="s">
        <v>2662</v>
      </c>
      <c r="J1096" s="24" t="s">
        <v>2663</v>
      </c>
      <c r="K1096" s="24" t="s">
        <v>2664</v>
      </c>
      <c r="L1096" s="24" t="s">
        <v>375</v>
      </c>
      <c r="M1096" s="19"/>
      <c r="N1096" s="19"/>
      <c r="O1096" s="19"/>
      <c r="P1096" s="19" t="s">
        <v>2665</v>
      </c>
      <c r="Q1096" s="12" t="s">
        <v>89</v>
      </c>
      <c r="R1096" s="24"/>
      <c r="S1096" s="24" t="s">
        <v>65</v>
      </c>
      <c r="T1096" s="19"/>
      <c r="U1096" s="19"/>
      <c r="V1096" s="19"/>
      <c r="W1096" s="19" t="s">
        <v>67</v>
      </c>
      <c r="X1096" s="32">
        <v>46218</v>
      </c>
      <c r="Y1096" s="19"/>
      <c r="Z1096" s="19"/>
    </row>
    <row r="1097" spans="1:26">
      <c r="A1097" s="19" t="s">
        <v>2174</v>
      </c>
      <c r="B1097" s="33">
        <v>46216</v>
      </c>
      <c r="C1097" s="40" t="s">
        <v>2666</v>
      </c>
      <c r="D1097" s="19" t="s">
        <v>59</v>
      </c>
      <c r="E1097" s="19" t="s">
        <v>2242</v>
      </c>
      <c r="F1097" s="19" t="s">
        <v>158</v>
      </c>
      <c r="G1097" s="19" t="s">
        <v>98</v>
      </c>
      <c r="H1097" s="40" t="s">
        <v>306</v>
      </c>
      <c r="I1097" s="19" t="s">
        <v>2667</v>
      </c>
      <c r="J1097" s="24" t="s">
        <v>104</v>
      </c>
      <c r="K1097" s="24" t="s">
        <v>777</v>
      </c>
      <c r="L1097" s="24" t="s">
        <v>2668</v>
      </c>
      <c r="M1097" s="19"/>
      <c r="N1097" s="19"/>
      <c r="O1097" s="19"/>
      <c r="P1097" s="19" t="s">
        <v>307</v>
      </c>
      <c r="Q1097" s="12" t="s">
        <v>89</v>
      </c>
      <c r="R1097" s="24"/>
      <c r="S1097" s="24" t="s">
        <v>65</v>
      </c>
      <c r="T1097" s="19"/>
      <c r="U1097" s="19"/>
      <c r="V1097" s="19"/>
      <c r="W1097" s="19" t="s">
        <v>67</v>
      </c>
      <c r="X1097" s="32">
        <v>46217</v>
      </c>
      <c r="Y1097" s="19"/>
      <c r="Z1097" s="19"/>
    </row>
    <row r="1098" spans="1:26">
      <c r="A1098" s="19" t="s">
        <v>2174</v>
      </c>
      <c r="B1098" s="51">
        <v>46216</v>
      </c>
      <c r="C1098" s="17" t="s">
        <v>2669</v>
      </c>
      <c r="D1098" s="52" t="s">
        <v>59</v>
      </c>
      <c r="E1098" s="52" t="s">
        <v>1159</v>
      </c>
      <c r="F1098" s="52" t="s">
        <v>2488</v>
      </c>
      <c r="G1098" s="52" t="s">
        <v>2670</v>
      </c>
      <c r="H1098" s="17" t="s">
        <v>350</v>
      </c>
      <c r="I1098" s="52" t="s">
        <v>2655</v>
      </c>
      <c r="J1098" s="53" t="s">
        <v>28</v>
      </c>
      <c r="K1098" s="53" t="s">
        <v>2671</v>
      </c>
      <c r="L1098" s="53" t="s">
        <v>2672</v>
      </c>
      <c r="M1098" s="52"/>
      <c r="N1098" s="52"/>
      <c r="O1098" s="52"/>
      <c r="P1098" s="52" t="s">
        <v>353</v>
      </c>
      <c r="Q1098" s="6" t="s">
        <v>1441</v>
      </c>
      <c r="R1098" s="53"/>
      <c r="S1098" s="53" t="s">
        <v>65</v>
      </c>
      <c r="T1098" s="19"/>
      <c r="U1098" s="19"/>
      <c r="V1098" s="19"/>
      <c r="W1098" s="19" t="s">
        <v>67</v>
      </c>
      <c r="X1098" s="32">
        <v>46216</v>
      </c>
      <c r="Y1098" s="52"/>
      <c r="Z1098" s="52"/>
    </row>
    <row r="1099" spans="1:26">
      <c r="A1099" s="19" t="s">
        <v>2174</v>
      </c>
      <c r="B1099" s="33">
        <v>46216</v>
      </c>
      <c r="C1099" s="20"/>
      <c r="D1099" s="19" t="s">
        <v>59</v>
      </c>
      <c r="E1099" s="19" t="s">
        <v>1875</v>
      </c>
      <c r="F1099" s="19" t="s">
        <v>2673</v>
      </c>
      <c r="G1099" s="19" t="s">
        <v>98</v>
      </c>
      <c r="H1099" s="40" t="s">
        <v>238</v>
      </c>
      <c r="I1099" s="24" t="s">
        <v>667</v>
      </c>
      <c r="J1099" s="24" t="s">
        <v>28</v>
      </c>
      <c r="K1099" s="24" t="s">
        <v>130</v>
      </c>
      <c r="L1099" s="24" t="s">
        <v>2674</v>
      </c>
      <c r="M1099" s="19"/>
      <c r="N1099" s="19"/>
      <c r="O1099" s="19"/>
      <c r="P1099" s="19" t="s">
        <v>241</v>
      </c>
      <c r="Q1099" s="12" t="s">
        <v>1441</v>
      </c>
      <c r="R1099" s="24"/>
      <c r="S1099" s="24" t="s">
        <v>65</v>
      </c>
      <c r="T1099" s="19"/>
      <c r="U1099" s="19"/>
      <c r="V1099" s="19"/>
      <c r="W1099" s="19" t="s">
        <v>67</v>
      </c>
      <c r="X1099" s="32">
        <v>46219</v>
      </c>
      <c r="Y1099" s="19"/>
      <c r="Z1099" s="19"/>
    </row>
    <row r="1100" spans="1:26">
      <c r="A1100" s="19" t="s">
        <v>2174</v>
      </c>
      <c r="B1100" s="33">
        <v>46216</v>
      </c>
      <c r="C1100" s="19"/>
      <c r="D1100" s="19" t="s">
        <v>59</v>
      </c>
      <c r="E1100" s="19" t="s">
        <v>2675</v>
      </c>
      <c r="F1100" s="19" t="s">
        <v>2676</v>
      </c>
      <c r="G1100" s="19" t="s">
        <v>51</v>
      </c>
      <c r="H1100" s="40" t="s">
        <v>2540</v>
      </c>
      <c r="I1100" s="24" t="s">
        <v>2677</v>
      </c>
      <c r="J1100" s="24" t="s">
        <v>60</v>
      </c>
      <c r="K1100" s="24" t="s">
        <v>2678</v>
      </c>
      <c r="L1100" s="24" t="s">
        <v>130</v>
      </c>
      <c r="M1100" s="19"/>
      <c r="N1100" s="19"/>
      <c r="O1100" s="19"/>
      <c r="P1100" s="19" t="s">
        <v>2545</v>
      </c>
      <c r="Q1100" s="12" t="s">
        <v>1441</v>
      </c>
      <c r="R1100" s="24"/>
      <c r="S1100" s="24" t="s">
        <v>65</v>
      </c>
      <c r="T1100" s="19"/>
      <c r="U1100" s="19"/>
      <c r="V1100" s="19"/>
      <c r="W1100" s="19" t="s">
        <v>67</v>
      </c>
      <c r="X1100" s="32">
        <v>46219</v>
      </c>
      <c r="Y1100" s="12" t="s">
        <v>2679</v>
      </c>
      <c r="Z1100" s="12" t="s">
        <v>2680</v>
      </c>
    </row>
    <row r="1101" spans="1:26">
      <c r="A1101" s="19" t="s">
        <v>2174</v>
      </c>
      <c r="B1101" s="33">
        <v>46216</v>
      </c>
      <c r="C1101" s="19"/>
      <c r="D1101" s="19" t="s">
        <v>59</v>
      </c>
      <c r="E1101" s="19" t="s">
        <v>373</v>
      </c>
      <c r="F1101" s="19" t="s">
        <v>2681</v>
      </c>
      <c r="G1101" s="19" t="s">
        <v>98</v>
      </c>
      <c r="H1101" s="40" t="s">
        <v>2459</v>
      </c>
      <c r="I1101" s="28" t="s">
        <v>374</v>
      </c>
      <c r="J1101" s="55" t="s">
        <v>375</v>
      </c>
      <c r="K1101" s="24" t="s">
        <v>2593</v>
      </c>
      <c r="L1101" s="24" t="s">
        <v>130</v>
      </c>
      <c r="M1101" s="19"/>
      <c r="N1101" s="19"/>
      <c r="O1101" s="19"/>
      <c r="P1101" s="19" t="s">
        <v>2682</v>
      </c>
      <c r="Q1101" s="12" t="s">
        <v>1441</v>
      </c>
      <c r="R1101" s="24"/>
      <c r="S1101" s="24" t="s">
        <v>65</v>
      </c>
      <c r="T1101" s="19"/>
      <c r="U1101" s="19"/>
      <c r="V1101" s="19"/>
      <c r="W1101" s="19" t="s">
        <v>67</v>
      </c>
      <c r="X1101" s="32">
        <v>46218</v>
      </c>
      <c r="Y1101" s="19"/>
      <c r="Z1101" s="19"/>
    </row>
    <row r="1102" spans="1:26">
      <c r="A1102" s="19" t="s">
        <v>2174</v>
      </c>
      <c r="B1102" s="33">
        <v>46216</v>
      </c>
      <c r="C1102" s="40" t="s">
        <v>2683</v>
      </c>
      <c r="D1102" s="19" t="s">
        <v>59</v>
      </c>
      <c r="E1102" s="19" t="s">
        <v>2684</v>
      </c>
      <c r="F1102" s="19" t="s">
        <v>2685</v>
      </c>
      <c r="G1102" s="19" t="s">
        <v>51</v>
      </c>
      <c r="H1102" s="40" t="s">
        <v>2501</v>
      </c>
      <c r="I1102" s="41" t="s">
        <v>2686</v>
      </c>
      <c r="J1102" s="24" t="s">
        <v>2687</v>
      </c>
      <c r="K1102" s="24" t="s">
        <v>2688</v>
      </c>
      <c r="L1102" s="24" t="s">
        <v>403</v>
      </c>
      <c r="M1102" s="19"/>
      <c r="N1102" s="19"/>
      <c r="O1102" s="19"/>
      <c r="P1102" s="19" t="s">
        <v>2503</v>
      </c>
      <c r="Q1102" s="12" t="s">
        <v>1441</v>
      </c>
      <c r="R1102" s="24"/>
      <c r="S1102" s="24" t="s">
        <v>65</v>
      </c>
      <c r="T1102" s="19"/>
      <c r="U1102" s="19"/>
      <c r="V1102" s="19"/>
      <c r="W1102" s="19" t="s">
        <v>67</v>
      </c>
      <c r="X1102" s="32">
        <v>46219</v>
      </c>
      <c r="Y1102" s="19"/>
      <c r="Z1102" s="19"/>
    </row>
    <row r="1103" spans="1:26">
      <c r="A1103" s="19" t="s">
        <v>2174</v>
      </c>
      <c r="B1103" s="33">
        <v>46217</v>
      </c>
      <c r="C1103" s="19"/>
      <c r="D1103" s="19" t="s">
        <v>59</v>
      </c>
      <c r="E1103" s="19" t="s">
        <v>2689</v>
      </c>
      <c r="F1103" s="19" t="s">
        <v>255</v>
      </c>
      <c r="G1103" s="19" t="s">
        <v>127</v>
      </c>
      <c r="H1103" s="40" t="s">
        <v>2190</v>
      </c>
      <c r="I1103" s="24" t="s">
        <v>1949</v>
      </c>
      <c r="J1103" s="24" t="s">
        <v>60</v>
      </c>
      <c r="K1103" s="97" t="s">
        <v>2690</v>
      </c>
      <c r="L1103" s="24" t="s">
        <v>110</v>
      </c>
      <c r="M1103" s="19"/>
      <c r="N1103" s="19"/>
      <c r="O1103" s="19" t="s">
        <v>2588</v>
      </c>
      <c r="P1103" s="19" t="s">
        <v>2191</v>
      </c>
      <c r="Q1103" s="12" t="s">
        <v>1441</v>
      </c>
      <c r="R1103" s="24" t="s">
        <v>2334</v>
      </c>
      <c r="S1103" s="24" t="s">
        <v>65</v>
      </c>
      <c r="T1103" s="19" t="s">
        <v>2334</v>
      </c>
      <c r="U1103" s="19" t="s">
        <v>2334</v>
      </c>
      <c r="V1103" s="19" t="s">
        <v>2334</v>
      </c>
      <c r="W1103" s="19" t="s">
        <v>67</v>
      </c>
      <c r="X1103" s="32">
        <v>46223</v>
      </c>
      <c r="Y1103" s="19"/>
      <c r="Z1103" s="19"/>
    </row>
    <row r="1104" spans="1:26">
      <c r="A1104" s="19" t="s">
        <v>2174</v>
      </c>
      <c r="B1104" s="33">
        <v>46217</v>
      </c>
      <c r="C1104" s="40" t="s">
        <v>2691</v>
      </c>
      <c r="D1104" s="19" t="s">
        <v>59</v>
      </c>
      <c r="E1104" s="19" t="s">
        <v>2242</v>
      </c>
      <c r="F1104" s="19" t="s">
        <v>1800</v>
      </c>
      <c r="G1104" s="19" t="s">
        <v>51</v>
      </c>
      <c r="H1104" s="40" t="s">
        <v>194</v>
      </c>
      <c r="I1104" s="24" t="s">
        <v>777</v>
      </c>
      <c r="J1104" s="24" t="s">
        <v>28</v>
      </c>
      <c r="K1104" s="24" t="s">
        <v>2692</v>
      </c>
      <c r="L1104" s="24" t="s">
        <v>130</v>
      </c>
      <c r="M1104" s="19">
        <v>231</v>
      </c>
      <c r="N1104" s="19"/>
      <c r="O1104" s="19"/>
      <c r="P1104" s="19" t="s">
        <v>196</v>
      </c>
      <c r="Q1104" s="12" t="s">
        <v>89</v>
      </c>
      <c r="R1104" s="24"/>
      <c r="S1104" s="24" t="s">
        <v>65</v>
      </c>
      <c r="T1104" s="19"/>
      <c r="U1104" s="19"/>
      <c r="V1104" s="19"/>
      <c r="W1104" s="19" t="s">
        <v>67</v>
      </c>
      <c r="X1104" s="32">
        <v>46219</v>
      </c>
      <c r="Y1104" s="19"/>
      <c r="Z1104" s="19"/>
    </row>
    <row r="1105" spans="1:26">
      <c r="A1105" s="19" t="s">
        <v>2174</v>
      </c>
      <c r="B1105" s="33">
        <v>46217</v>
      </c>
      <c r="C1105" s="19"/>
      <c r="D1105" s="19" t="s">
        <v>59</v>
      </c>
      <c r="E1105" s="19" t="s">
        <v>2531</v>
      </c>
      <c r="F1105" s="19" t="s">
        <v>216</v>
      </c>
      <c r="G1105" s="19" t="s">
        <v>1764</v>
      </c>
      <c r="H1105" s="40" t="s">
        <v>2186</v>
      </c>
      <c r="I1105" s="24" t="s">
        <v>2693</v>
      </c>
      <c r="J1105" s="24" t="s">
        <v>144</v>
      </c>
      <c r="K1105" s="24" t="s">
        <v>2694</v>
      </c>
      <c r="L1105" s="24" t="s">
        <v>2695</v>
      </c>
      <c r="M1105" s="19"/>
      <c r="N1105" s="19"/>
      <c r="O1105" s="19"/>
      <c r="P1105" s="19" t="s">
        <v>218</v>
      </c>
      <c r="Q1105" s="12" t="s">
        <v>89</v>
      </c>
      <c r="R1105" s="24"/>
      <c r="S1105" s="24" t="s">
        <v>65</v>
      </c>
      <c r="T1105" s="19"/>
      <c r="U1105" s="19"/>
      <c r="V1105" s="19"/>
      <c r="W1105" s="19" t="s">
        <v>67</v>
      </c>
      <c r="X1105" s="32">
        <v>46220</v>
      </c>
      <c r="Y1105" s="19"/>
      <c r="Z1105" s="19"/>
    </row>
    <row r="1106" spans="1:26">
      <c r="A1106" s="19" t="s">
        <v>2174</v>
      </c>
      <c r="B1106" s="197">
        <v>46217</v>
      </c>
      <c r="C1106" s="184"/>
      <c r="D1106" s="184" t="s">
        <v>59</v>
      </c>
      <c r="E1106" s="184" t="s">
        <v>101</v>
      </c>
      <c r="F1106" s="184" t="s">
        <v>2696</v>
      </c>
      <c r="G1106" s="184" t="s">
        <v>127</v>
      </c>
      <c r="H1106" s="192" t="s">
        <v>2697</v>
      </c>
      <c r="I1106" s="191" t="s">
        <v>129</v>
      </c>
      <c r="J1106" s="191" t="s">
        <v>130</v>
      </c>
      <c r="K1106" s="24" t="s">
        <v>2371</v>
      </c>
      <c r="L1106" s="24" t="s">
        <v>104</v>
      </c>
      <c r="M1106" s="19"/>
      <c r="N1106" s="19"/>
      <c r="O1106" s="19"/>
      <c r="P1106" s="19" t="s">
        <v>2698</v>
      </c>
      <c r="Q1106" s="12" t="s">
        <v>89</v>
      </c>
      <c r="R1106" s="24"/>
      <c r="S1106" s="24" t="s">
        <v>65</v>
      </c>
      <c r="T1106" s="19"/>
      <c r="U1106" s="19"/>
      <c r="V1106" s="19"/>
      <c r="W1106" s="19" t="s">
        <v>67</v>
      </c>
      <c r="X1106" s="32">
        <v>46216</v>
      </c>
      <c r="Y1106" s="19"/>
      <c r="Z1106" s="19"/>
    </row>
    <row r="1107" spans="1:26">
      <c r="A1107" s="19" t="s">
        <v>2174</v>
      </c>
      <c r="B1107" s="186"/>
      <c r="C1107" s="186"/>
      <c r="D1107" s="186"/>
      <c r="E1107" s="186"/>
      <c r="F1107" s="186"/>
      <c r="G1107" s="186"/>
      <c r="H1107" s="186"/>
      <c r="I1107" s="186"/>
      <c r="J1107" s="186"/>
      <c r="K1107" s="24" t="s">
        <v>2372</v>
      </c>
      <c r="L1107" s="24" t="s">
        <v>382</v>
      </c>
      <c r="M1107" s="19"/>
      <c r="N1107" s="19"/>
      <c r="O1107" s="19"/>
      <c r="P1107" s="19" t="s">
        <v>2699</v>
      </c>
      <c r="Q1107" s="12" t="s">
        <v>89</v>
      </c>
      <c r="R1107" s="24"/>
      <c r="S1107" s="24" t="s">
        <v>65</v>
      </c>
      <c r="T1107" s="19"/>
      <c r="U1107" s="19"/>
      <c r="V1107" s="19"/>
      <c r="W1107" s="19" t="s">
        <v>67</v>
      </c>
      <c r="X1107" s="32">
        <v>46219</v>
      </c>
      <c r="Y1107" s="19"/>
      <c r="Z1107" s="19"/>
    </row>
    <row r="1108" spans="1:26">
      <c r="A1108" s="19" t="s">
        <v>2174</v>
      </c>
      <c r="B1108" s="197">
        <v>46217</v>
      </c>
      <c r="C1108" s="19"/>
      <c r="D1108" s="184" t="s">
        <v>59</v>
      </c>
      <c r="E1108" s="184" t="s">
        <v>373</v>
      </c>
      <c r="F1108" s="184" t="s">
        <v>2700</v>
      </c>
      <c r="G1108" s="184" t="s">
        <v>98</v>
      </c>
      <c r="H1108" s="192" t="s">
        <v>306</v>
      </c>
      <c r="I1108" s="193" t="s">
        <v>374</v>
      </c>
      <c r="J1108" s="181" t="s">
        <v>375</v>
      </c>
      <c r="K1108" s="24" t="s">
        <v>2701</v>
      </c>
      <c r="L1108" s="24" t="s">
        <v>403</v>
      </c>
      <c r="M1108" s="19"/>
      <c r="N1108" s="19"/>
      <c r="O1108" s="19" t="s">
        <v>2588</v>
      </c>
      <c r="P1108" s="19" t="s">
        <v>307</v>
      </c>
      <c r="Q1108" s="12" t="s">
        <v>1441</v>
      </c>
      <c r="R1108" s="24" t="s">
        <v>2334</v>
      </c>
      <c r="S1108" s="24" t="s">
        <v>65</v>
      </c>
      <c r="T1108" s="19" t="s">
        <v>2334</v>
      </c>
      <c r="U1108" s="19" t="s">
        <v>2334</v>
      </c>
      <c r="V1108" s="19" t="s">
        <v>2334</v>
      </c>
      <c r="W1108" s="19" t="s">
        <v>67</v>
      </c>
      <c r="X1108" s="32">
        <v>46216</v>
      </c>
      <c r="Y1108" s="19"/>
      <c r="Z1108" s="19"/>
    </row>
    <row r="1109" spans="1:26">
      <c r="A1109" s="19" t="s">
        <v>2174</v>
      </c>
      <c r="B1109" s="186"/>
      <c r="C1109" s="19"/>
      <c r="D1109" s="186"/>
      <c r="E1109" s="186"/>
      <c r="F1109" s="186"/>
      <c r="G1109" s="186"/>
      <c r="H1109" s="186"/>
      <c r="I1109" s="186"/>
      <c r="J1109" s="183"/>
      <c r="K1109" s="24" t="s">
        <v>2702</v>
      </c>
      <c r="L1109" s="24" t="s">
        <v>182</v>
      </c>
      <c r="M1109" s="19"/>
      <c r="N1109" s="19"/>
      <c r="O1109" s="19" t="s">
        <v>2588</v>
      </c>
      <c r="P1109" s="19" t="s">
        <v>307</v>
      </c>
      <c r="Q1109" s="12" t="s">
        <v>1441</v>
      </c>
      <c r="R1109" s="24" t="s">
        <v>2334</v>
      </c>
      <c r="S1109" s="24" t="s">
        <v>65</v>
      </c>
      <c r="T1109" s="19" t="s">
        <v>2334</v>
      </c>
      <c r="U1109" s="19" t="s">
        <v>2334</v>
      </c>
      <c r="V1109" s="19" t="s">
        <v>2334</v>
      </c>
      <c r="W1109" s="19" t="s">
        <v>67</v>
      </c>
      <c r="X1109" s="32">
        <v>46223</v>
      </c>
      <c r="Y1109" s="19"/>
      <c r="Z1109" s="19"/>
    </row>
    <row r="1110" spans="1:26">
      <c r="A1110" s="19" t="s">
        <v>2174</v>
      </c>
      <c r="B1110" s="33">
        <v>46217</v>
      </c>
      <c r="C1110" s="40" t="s">
        <v>2703</v>
      </c>
      <c r="D1110" s="19" t="s">
        <v>59</v>
      </c>
      <c r="E1110" s="19" t="s">
        <v>140</v>
      </c>
      <c r="F1110" s="19" t="s">
        <v>2252</v>
      </c>
      <c r="G1110" s="19" t="s">
        <v>127</v>
      </c>
      <c r="H1110" s="40" t="s">
        <v>143</v>
      </c>
      <c r="I1110" s="24" t="s">
        <v>2704</v>
      </c>
      <c r="J1110" s="24" t="s">
        <v>2705</v>
      </c>
      <c r="K1110" s="24" t="s">
        <v>2706</v>
      </c>
      <c r="L1110" s="24" t="s">
        <v>110</v>
      </c>
      <c r="M1110" s="19"/>
      <c r="N1110" s="19"/>
      <c r="O1110" s="19" t="s">
        <v>2588</v>
      </c>
      <c r="P1110" s="19" t="s">
        <v>462</v>
      </c>
      <c r="Q1110" s="12" t="s">
        <v>1441</v>
      </c>
      <c r="R1110" s="24" t="s">
        <v>2334</v>
      </c>
      <c r="S1110" s="24" t="s">
        <v>65</v>
      </c>
      <c r="T1110" s="19" t="s">
        <v>2334</v>
      </c>
      <c r="U1110" s="19" t="s">
        <v>2334</v>
      </c>
      <c r="V1110" s="19" t="s">
        <v>2334</v>
      </c>
      <c r="W1110" s="19" t="s">
        <v>67</v>
      </c>
      <c r="X1110" s="32">
        <v>46223</v>
      </c>
      <c r="Y1110" s="19"/>
      <c r="Z1110" s="19"/>
    </row>
    <row r="1111" spans="1:26">
      <c r="A1111" s="19" t="s">
        <v>2174</v>
      </c>
      <c r="B1111" s="33">
        <v>46217</v>
      </c>
      <c r="C1111" s="19"/>
      <c r="D1111" s="19" t="s">
        <v>59</v>
      </c>
      <c r="E1111" s="19" t="s">
        <v>71</v>
      </c>
      <c r="F1111" s="19" t="s">
        <v>149</v>
      </c>
      <c r="G1111" s="19" t="s">
        <v>51</v>
      </c>
      <c r="H1111" s="40" t="s">
        <v>2575</v>
      </c>
      <c r="I1111" s="24" t="s">
        <v>2707</v>
      </c>
      <c r="J1111" s="24" t="s">
        <v>60</v>
      </c>
      <c r="K1111" s="24" t="s">
        <v>2708</v>
      </c>
      <c r="L1111" s="24" t="s">
        <v>2248</v>
      </c>
      <c r="M1111" s="19"/>
      <c r="N1111" s="19"/>
      <c r="O1111" s="19" t="s">
        <v>2588</v>
      </c>
      <c r="P1111" s="19" t="s">
        <v>2578</v>
      </c>
      <c r="Q1111" s="12" t="s">
        <v>1441</v>
      </c>
      <c r="R1111" s="24" t="s">
        <v>2334</v>
      </c>
      <c r="S1111" s="24" t="s">
        <v>65</v>
      </c>
      <c r="T1111" s="19" t="s">
        <v>2334</v>
      </c>
      <c r="U1111" s="19" t="s">
        <v>2334</v>
      </c>
      <c r="V1111" s="19" t="s">
        <v>2334</v>
      </c>
      <c r="W1111" s="19" t="s">
        <v>67</v>
      </c>
      <c r="X1111" s="32">
        <v>46225</v>
      </c>
      <c r="Y1111" s="12" t="s">
        <v>2425</v>
      </c>
      <c r="Z1111" s="43" t="s">
        <v>2709</v>
      </c>
    </row>
    <row r="1112" spans="1:26">
      <c r="A1112" s="19" t="s">
        <v>2174</v>
      </c>
      <c r="B1112" s="33">
        <v>46217</v>
      </c>
      <c r="C1112" s="19"/>
      <c r="D1112" s="19" t="s">
        <v>48</v>
      </c>
      <c r="E1112" s="19" t="s">
        <v>2710</v>
      </c>
      <c r="F1112" s="19" t="s">
        <v>2243</v>
      </c>
      <c r="G1112" s="19" t="s">
        <v>51</v>
      </c>
      <c r="H1112" s="40" t="s">
        <v>2244</v>
      </c>
      <c r="I1112" s="24" t="s">
        <v>2711</v>
      </c>
      <c r="J1112" s="24" t="s">
        <v>110</v>
      </c>
      <c r="K1112" s="24" t="s">
        <v>2712</v>
      </c>
      <c r="L1112" s="24" t="s">
        <v>28</v>
      </c>
      <c r="M1112" s="19"/>
      <c r="N1112" s="19"/>
      <c r="O1112" s="19"/>
      <c r="P1112" s="19" t="s">
        <v>2246</v>
      </c>
      <c r="Q1112" s="12" t="s">
        <v>1441</v>
      </c>
      <c r="R1112" s="24"/>
      <c r="S1112" s="24" t="s">
        <v>65</v>
      </c>
      <c r="T1112" s="19"/>
      <c r="U1112" s="19"/>
      <c r="V1112" s="19" t="s">
        <v>2334</v>
      </c>
      <c r="W1112" s="19" t="s">
        <v>67</v>
      </c>
      <c r="X1112" s="32">
        <v>46219</v>
      </c>
      <c r="Y1112" s="12" t="s">
        <v>2315</v>
      </c>
      <c r="Z1112" s="19"/>
    </row>
    <row r="1113" spans="1:26">
      <c r="A1113" s="19" t="s">
        <v>2174</v>
      </c>
      <c r="B1113" s="197">
        <v>46217</v>
      </c>
      <c r="C1113" s="192" t="s">
        <v>2713</v>
      </c>
      <c r="D1113" s="184" t="s">
        <v>48</v>
      </c>
      <c r="E1113" s="184" t="s">
        <v>49</v>
      </c>
      <c r="F1113" s="184" t="s">
        <v>2714</v>
      </c>
      <c r="G1113" s="184" t="s">
        <v>127</v>
      </c>
      <c r="H1113" s="192" t="s">
        <v>161</v>
      </c>
      <c r="I1113" s="193" t="s">
        <v>53</v>
      </c>
      <c r="J1113" s="181" t="s">
        <v>55</v>
      </c>
      <c r="K1113" s="24" t="s">
        <v>2715</v>
      </c>
      <c r="L1113" s="24" t="s">
        <v>104</v>
      </c>
      <c r="M1113" s="19">
        <v>85</v>
      </c>
      <c r="N1113" s="93">
        <f>367.2</f>
        <v>367.2</v>
      </c>
      <c r="O1113" s="19"/>
      <c r="P1113" s="19" t="s">
        <v>166</v>
      </c>
      <c r="Q1113" s="12" t="s">
        <v>1441</v>
      </c>
      <c r="R1113" s="24" t="s">
        <v>2334</v>
      </c>
      <c r="S1113" s="24" t="s">
        <v>65</v>
      </c>
      <c r="T1113" s="19" t="s">
        <v>2334</v>
      </c>
      <c r="U1113" s="19" t="s">
        <v>2334</v>
      </c>
      <c r="V1113" s="19" t="s">
        <v>2334</v>
      </c>
      <c r="W1113" s="19" t="s">
        <v>67</v>
      </c>
      <c r="X1113" s="32">
        <v>46221</v>
      </c>
      <c r="Y1113" s="19"/>
      <c r="Z1113" s="19"/>
    </row>
    <row r="1114" spans="1:26">
      <c r="A1114" s="19" t="s">
        <v>2174</v>
      </c>
      <c r="B1114" s="186"/>
      <c r="C1114" s="186"/>
      <c r="D1114" s="186"/>
      <c r="E1114" s="186"/>
      <c r="F1114" s="186"/>
      <c r="G1114" s="186"/>
      <c r="H1114" s="186"/>
      <c r="I1114" s="186"/>
      <c r="J1114" s="183"/>
      <c r="K1114" s="24" t="s">
        <v>2716</v>
      </c>
      <c r="L1114" s="24" t="s">
        <v>104</v>
      </c>
      <c r="M1114" s="19">
        <f>1+376+170+1</f>
        <v>548</v>
      </c>
      <c r="N1114" s="93">
        <f>15.125+2626.488+1235.52+6.1</f>
        <v>3883.2329999999997</v>
      </c>
      <c r="O1114" s="19"/>
      <c r="P1114" s="19" t="s">
        <v>166</v>
      </c>
      <c r="Q1114" s="12" t="s">
        <v>1441</v>
      </c>
      <c r="R1114" s="24" t="s">
        <v>2334</v>
      </c>
      <c r="S1114" s="24" t="s">
        <v>65</v>
      </c>
      <c r="T1114" s="19" t="s">
        <v>2334</v>
      </c>
      <c r="U1114" s="19" t="s">
        <v>2334</v>
      </c>
      <c r="V1114" s="19" t="s">
        <v>2334</v>
      </c>
      <c r="W1114" s="19" t="s">
        <v>67</v>
      </c>
      <c r="X1114" s="32">
        <v>46221</v>
      </c>
      <c r="Y1114" s="19"/>
      <c r="Z1114" s="19"/>
    </row>
    <row r="1115" spans="1:26">
      <c r="A1115" s="19" t="s">
        <v>2174</v>
      </c>
      <c r="B1115" s="33">
        <v>46217</v>
      </c>
      <c r="C1115" s="19"/>
      <c r="D1115" s="19" t="s">
        <v>48</v>
      </c>
      <c r="E1115" s="19" t="s">
        <v>609</v>
      </c>
      <c r="F1115" s="19" t="s">
        <v>368</v>
      </c>
      <c r="G1115" s="19" t="s">
        <v>51</v>
      </c>
      <c r="H1115" s="19" t="s">
        <v>2717</v>
      </c>
      <c r="I1115" s="24" t="s">
        <v>2718</v>
      </c>
      <c r="J1115" s="24" t="s">
        <v>2719</v>
      </c>
      <c r="K1115" s="24" t="s">
        <v>164</v>
      </c>
      <c r="L1115" s="24" t="s">
        <v>104</v>
      </c>
      <c r="M1115" s="19"/>
      <c r="N1115" s="19"/>
      <c r="O1115" s="19"/>
      <c r="P1115" s="19" t="s">
        <v>132</v>
      </c>
      <c r="Q1115" s="12" t="s">
        <v>1441</v>
      </c>
      <c r="R1115" s="24"/>
      <c r="S1115" s="24" t="s">
        <v>65</v>
      </c>
      <c r="T1115" s="19"/>
      <c r="U1115" s="19"/>
      <c r="V1115" s="19"/>
      <c r="W1115" s="19" t="s">
        <v>67</v>
      </c>
      <c r="X1115" s="32">
        <v>46219</v>
      </c>
      <c r="Y1115" s="19"/>
      <c r="Z1115" s="19"/>
    </row>
    <row r="1116" spans="1:26">
      <c r="A1116" s="19" t="s">
        <v>2174</v>
      </c>
      <c r="B1116" s="33">
        <v>46217</v>
      </c>
      <c r="C1116" s="19"/>
      <c r="D1116" s="19" t="s">
        <v>48</v>
      </c>
      <c r="E1116" s="19" t="s">
        <v>71</v>
      </c>
      <c r="F1116" s="19" t="s">
        <v>2235</v>
      </c>
      <c r="G1116" s="19" t="s">
        <v>173</v>
      </c>
      <c r="H1116" s="40" t="s">
        <v>262</v>
      </c>
      <c r="I1116" s="24" t="s">
        <v>2439</v>
      </c>
      <c r="J1116" s="24" t="s">
        <v>2440</v>
      </c>
      <c r="K1116" s="24" t="s">
        <v>2720</v>
      </c>
      <c r="L1116" s="24" t="s">
        <v>330</v>
      </c>
      <c r="M1116" s="19"/>
      <c r="N1116" s="19"/>
      <c r="O1116" s="19" t="s">
        <v>2588</v>
      </c>
      <c r="P1116" s="19" t="s">
        <v>2449</v>
      </c>
      <c r="Q1116" s="12" t="s">
        <v>1441</v>
      </c>
      <c r="R1116" s="24" t="s">
        <v>2334</v>
      </c>
      <c r="S1116" s="24" t="s">
        <v>65</v>
      </c>
      <c r="T1116" s="19" t="s">
        <v>2334</v>
      </c>
      <c r="U1116" s="19" t="s">
        <v>2334</v>
      </c>
      <c r="V1116" s="19" t="s">
        <v>2334</v>
      </c>
      <c r="W1116" s="19" t="s">
        <v>67</v>
      </c>
      <c r="X1116" s="32">
        <v>46223</v>
      </c>
      <c r="Y1116" s="12" t="s">
        <v>2721</v>
      </c>
      <c r="Z1116" s="43" t="s">
        <v>2722</v>
      </c>
    </row>
    <row r="1117" spans="1:26">
      <c r="A1117" s="19" t="s">
        <v>2174</v>
      </c>
      <c r="B1117" s="33">
        <v>46217</v>
      </c>
      <c r="C1117" s="19"/>
      <c r="D1117" s="19" t="s">
        <v>48</v>
      </c>
      <c r="E1117" s="19" t="s">
        <v>2395</v>
      </c>
      <c r="F1117" s="19" t="s">
        <v>2685</v>
      </c>
      <c r="G1117" s="19" t="s">
        <v>51</v>
      </c>
      <c r="H1117" s="40" t="s">
        <v>2501</v>
      </c>
      <c r="I1117" s="24" t="s">
        <v>2723</v>
      </c>
      <c r="J1117" s="98" t="s">
        <v>2724</v>
      </c>
      <c r="K1117" s="24" t="s">
        <v>110</v>
      </c>
      <c r="L1117" s="24" t="s">
        <v>2725</v>
      </c>
      <c r="M1117" s="19"/>
      <c r="N1117" s="19"/>
      <c r="O1117" s="19" t="s">
        <v>2588</v>
      </c>
      <c r="P1117" s="19" t="s">
        <v>2503</v>
      </c>
      <c r="Q1117" s="12" t="s">
        <v>1441</v>
      </c>
      <c r="R1117" s="24" t="s">
        <v>2334</v>
      </c>
      <c r="S1117" s="24" t="s">
        <v>65</v>
      </c>
      <c r="T1117" s="19" t="s">
        <v>2334</v>
      </c>
      <c r="U1117" s="19" t="s">
        <v>2334</v>
      </c>
      <c r="V1117" s="19" t="s">
        <v>2334</v>
      </c>
      <c r="W1117" s="19" t="s">
        <v>67</v>
      </c>
      <c r="X1117" s="32">
        <v>46221</v>
      </c>
      <c r="Y1117" s="19"/>
      <c r="Z1117" s="19"/>
    </row>
    <row r="1118" spans="1:26">
      <c r="A1118" s="19" t="s">
        <v>2174</v>
      </c>
      <c r="B1118" s="33">
        <v>46217</v>
      </c>
      <c r="C1118" s="40" t="s">
        <v>2726</v>
      </c>
      <c r="D1118" s="19" t="s">
        <v>59</v>
      </c>
      <c r="E1118" s="19" t="s">
        <v>2395</v>
      </c>
      <c r="F1118" s="19" t="s">
        <v>2727</v>
      </c>
      <c r="G1118" s="19" t="s">
        <v>98</v>
      </c>
      <c r="H1118" s="40" t="s">
        <v>717</v>
      </c>
      <c r="I1118" s="24" t="s">
        <v>2728</v>
      </c>
      <c r="J1118" s="99" t="s">
        <v>2729</v>
      </c>
      <c r="K1118" s="24" t="s">
        <v>2730</v>
      </c>
      <c r="L1118" s="24" t="s">
        <v>2731</v>
      </c>
      <c r="M1118" s="19"/>
      <c r="N1118" s="19"/>
      <c r="O1118" s="19"/>
      <c r="P1118" s="19" t="s">
        <v>718</v>
      </c>
      <c r="Q1118" s="12" t="s">
        <v>1441</v>
      </c>
      <c r="R1118" s="24"/>
      <c r="S1118" s="24" t="s">
        <v>65</v>
      </c>
      <c r="T1118" s="19"/>
      <c r="U1118" s="19"/>
      <c r="V1118" s="19"/>
      <c r="W1118" s="19" t="s">
        <v>67</v>
      </c>
      <c r="X1118" s="32">
        <v>46218</v>
      </c>
      <c r="Y1118" s="12" t="s">
        <v>2732</v>
      </c>
      <c r="Z1118" s="19"/>
    </row>
    <row r="1119" spans="1:26">
      <c r="A1119" s="19" t="s">
        <v>2174</v>
      </c>
      <c r="B1119" s="33">
        <v>46218</v>
      </c>
      <c r="C1119" s="19"/>
      <c r="D1119" s="19" t="s">
        <v>48</v>
      </c>
      <c r="E1119" s="19" t="s">
        <v>200</v>
      </c>
      <c r="F1119" s="19" t="s">
        <v>1952</v>
      </c>
      <c r="G1119" s="19" t="s">
        <v>51</v>
      </c>
      <c r="H1119" s="40" t="s">
        <v>52</v>
      </c>
      <c r="I1119" s="24" t="s">
        <v>200</v>
      </c>
      <c r="J1119" s="24" t="s">
        <v>2733</v>
      </c>
      <c r="K1119" s="24" t="s">
        <v>2734</v>
      </c>
      <c r="L1119" s="24" t="s">
        <v>104</v>
      </c>
      <c r="M1119" s="19"/>
      <c r="N1119" s="19"/>
      <c r="O1119" s="19" t="s">
        <v>2588</v>
      </c>
      <c r="P1119" s="19" t="s">
        <v>56</v>
      </c>
      <c r="Q1119" s="12" t="s">
        <v>1441</v>
      </c>
      <c r="R1119" s="24" t="s">
        <v>2334</v>
      </c>
      <c r="S1119" s="24" t="s">
        <v>65</v>
      </c>
      <c r="T1119" s="19" t="s">
        <v>2334</v>
      </c>
      <c r="U1119" s="19" t="s">
        <v>2334</v>
      </c>
      <c r="V1119" s="19" t="s">
        <v>2334</v>
      </c>
      <c r="W1119" s="19" t="s">
        <v>67</v>
      </c>
      <c r="X1119" s="32">
        <v>46216</v>
      </c>
      <c r="Y1119" s="19"/>
      <c r="Z1119" s="19"/>
    </row>
    <row r="1120" spans="1:26">
      <c r="A1120" s="19" t="s">
        <v>2174</v>
      </c>
      <c r="B1120" s="197">
        <v>46218</v>
      </c>
      <c r="C1120" s="19"/>
      <c r="D1120" s="184" t="s">
        <v>48</v>
      </c>
      <c r="E1120" s="184" t="s">
        <v>200</v>
      </c>
      <c r="F1120" s="184" t="s">
        <v>1821</v>
      </c>
      <c r="G1120" s="184" t="s">
        <v>2735</v>
      </c>
      <c r="H1120" s="192" t="s">
        <v>2227</v>
      </c>
      <c r="I1120" s="191" t="s">
        <v>2736</v>
      </c>
      <c r="J1120" s="191" t="s">
        <v>388</v>
      </c>
      <c r="K1120" s="24" t="s">
        <v>2737</v>
      </c>
      <c r="L1120" s="24" t="s">
        <v>2738</v>
      </c>
      <c r="M1120" s="19"/>
      <c r="N1120" s="19"/>
      <c r="O1120" s="19" t="s">
        <v>2588</v>
      </c>
      <c r="P1120" s="19" t="s">
        <v>593</v>
      </c>
      <c r="Q1120" s="12" t="s">
        <v>1441</v>
      </c>
      <c r="R1120" s="24" t="s">
        <v>2334</v>
      </c>
      <c r="S1120" s="24" t="s">
        <v>65</v>
      </c>
      <c r="T1120" s="19" t="s">
        <v>2334</v>
      </c>
      <c r="U1120" s="19" t="s">
        <v>2334</v>
      </c>
      <c r="V1120" s="19" t="s">
        <v>2334</v>
      </c>
      <c r="W1120" s="19" t="s">
        <v>67</v>
      </c>
      <c r="X1120" s="32">
        <v>46223</v>
      </c>
      <c r="Y1120" s="195" t="s">
        <v>2254</v>
      </c>
      <c r="Z1120" s="19"/>
    </row>
    <row r="1121" spans="1:26">
      <c r="A1121" s="19" t="s">
        <v>2174</v>
      </c>
      <c r="B1121" s="185"/>
      <c r="C1121" s="19"/>
      <c r="D1121" s="185"/>
      <c r="E1121" s="185"/>
      <c r="F1121" s="185"/>
      <c r="G1121" s="185"/>
      <c r="H1121" s="185"/>
      <c r="I1121" s="185"/>
      <c r="J1121" s="185"/>
      <c r="K1121" s="24" t="s">
        <v>2739</v>
      </c>
      <c r="L1121" s="24" t="s">
        <v>2740</v>
      </c>
      <c r="M1121" s="19"/>
      <c r="N1121" s="19"/>
      <c r="O1121" s="19" t="s">
        <v>2588</v>
      </c>
      <c r="P1121" s="19" t="s">
        <v>593</v>
      </c>
      <c r="Q1121" s="12" t="s">
        <v>1441</v>
      </c>
      <c r="R1121" s="24" t="s">
        <v>2334</v>
      </c>
      <c r="S1121" s="24" t="s">
        <v>65</v>
      </c>
      <c r="T1121" s="19" t="s">
        <v>2334</v>
      </c>
      <c r="U1121" s="19" t="s">
        <v>2334</v>
      </c>
      <c r="V1121" s="19" t="s">
        <v>2334</v>
      </c>
      <c r="W1121" s="19" t="s">
        <v>67</v>
      </c>
      <c r="X1121" s="32">
        <v>46223</v>
      </c>
      <c r="Y1121" s="185"/>
      <c r="Z1121" s="19"/>
    </row>
    <row r="1122" spans="1:26">
      <c r="A1122" s="19" t="s">
        <v>2174</v>
      </c>
      <c r="B1122" s="186"/>
      <c r="C1122" s="19"/>
      <c r="D1122" s="186"/>
      <c r="E1122" s="186"/>
      <c r="F1122" s="186"/>
      <c r="G1122" s="186"/>
      <c r="H1122" s="186"/>
      <c r="I1122" s="186"/>
      <c r="J1122" s="186"/>
      <c r="K1122" s="24" t="s">
        <v>2741</v>
      </c>
      <c r="L1122" s="24" t="s">
        <v>2742</v>
      </c>
      <c r="M1122" s="19"/>
      <c r="N1122" s="19"/>
      <c r="O1122" s="19" t="s">
        <v>2588</v>
      </c>
      <c r="P1122" s="19" t="s">
        <v>593</v>
      </c>
      <c r="Q1122" s="12" t="s">
        <v>1441</v>
      </c>
      <c r="R1122" s="24" t="s">
        <v>2334</v>
      </c>
      <c r="S1122" s="24" t="s">
        <v>65</v>
      </c>
      <c r="T1122" s="19" t="s">
        <v>2334</v>
      </c>
      <c r="U1122" s="19" t="s">
        <v>2334</v>
      </c>
      <c r="V1122" s="19" t="s">
        <v>2334</v>
      </c>
      <c r="W1122" s="19" t="s">
        <v>67</v>
      </c>
      <c r="X1122" s="32">
        <v>46223</v>
      </c>
      <c r="Y1122" s="186"/>
      <c r="Z1122" s="19"/>
    </row>
    <row r="1123" spans="1:26">
      <c r="A1123" s="19" t="s">
        <v>2174</v>
      </c>
      <c r="B1123" s="81">
        <v>46218</v>
      </c>
      <c r="C1123" s="82" t="s">
        <v>2743</v>
      </c>
      <c r="D1123" s="49" t="s">
        <v>48</v>
      </c>
      <c r="E1123" s="49" t="s">
        <v>621</v>
      </c>
      <c r="F1123" s="49" t="s">
        <v>2744</v>
      </c>
      <c r="G1123" s="49" t="s">
        <v>98</v>
      </c>
      <c r="H1123" s="82" t="s">
        <v>99</v>
      </c>
      <c r="I1123" s="83" t="s">
        <v>685</v>
      </c>
      <c r="J1123" s="83" t="s">
        <v>110</v>
      </c>
      <c r="K1123" s="83" t="s">
        <v>2745</v>
      </c>
      <c r="L1123" s="83" t="s">
        <v>104</v>
      </c>
      <c r="M1123" s="49"/>
      <c r="N1123" s="49"/>
      <c r="O1123" s="49" t="s">
        <v>2588</v>
      </c>
      <c r="P1123" s="49" t="s">
        <v>107</v>
      </c>
      <c r="Q1123" s="84" t="s">
        <v>1441</v>
      </c>
      <c r="R1123" s="83" t="s">
        <v>2334</v>
      </c>
      <c r="S1123" s="83" t="s">
        <v>65</v>
      </c>
      <c r="T1123" s="49" t="s">
        <v>2334</v>
      </c>
      <c r="U1123" s="49" t="s">
        <v>2334</v>
      </c>
      <c r="V1123" s="49" t="s">
        <v>2334</v>
      </c>
      <c r="W1123" s="49" t="s">
        <v>67</v>
      </c>
      <c r="X1123" s="50">
        <v>46224</v>
      </c>
      <c r="Y1123" s="100"/>
      <c r="Z1123" s="101" t="s">
        <v>2746</v>
      </c>
    </row>
    <row r="1124" spans="1:26">
      <c r="A1124" s="19" t="s">
        <v>2174</v>
      </c>
      <c r="B1124" s="102">
        <v>46218</v>
      </c>
      <c r="C1124" s="103"/>
      <c r="D1124" s="104" t="s">
        <v>59</v>
      </c>
      <c r="E1124" s="104" t="s">
        <v>140</v>
      </c>
      <c r="F1124" s="104" t="s">
        <v>2747</v>
      </c>
      <c r="G1124" s="104" t="s">
        <v>98</v>
      </c>
      <c r="H1124" s="105" t="s">
        <v>2459</v>
      </c>
      <c r="I1124" s="106" t="s">
        <v>2442</v>
      </c>
      <c r="J1124" s="107" t="s">
        <v>2748</v>
      </c>
      <c r="K1124" s="106" t="s">
        <v>2749</v>
      </c>
      <c r="L1124" s="106" t="s">
        <v>612</v>
      </c>
      <c r="M1124" s="104"/>
      <c r="N1124" s="104"/>
      <c r="O1124" s="104" t="s">
        <v>2334</v>
      </c>
      <c r="P1124" s="104" t="s">
        <v>2750</v>
      </c>
      <c r="Q1124" s="108" t="s">
        <v>89</v>
      </c>
      <c r="R1124" s="106"/>
      <c r="S1124" s="106" t="s">
        <v>2751</v>
      </c>
      <c r="T1124" s="104"/>
      <c r="U1124" s="104"/>
      <c r="V1124" s="104"/>
      <c r="W1124" s="104"/>
      <c r="X1124" s="104"/>
      <c r="Y1124" s="104"/>
      <c r="Z1124" s="104"/>
    </row>
    <row r="1125" spans="1:26">
      <c r="A1125" s="19" t="s">
        <v>2174</v>
      </c>
      <c r="B1125" s="102">
        <v>46218</v>
      </c>
      <c r="C1125" s="104"/>
      <c r="D1125" s="104" t="s">
        <v>59</v>
      </c>
      <c r="E1125" s="104" t="s">
        <v>140</v>
      </c>
      <c r="F1125" s="104" t="s">
        <v>2752</v>
      </c>
      <c r="G1125" s="104" t="s">
        <v>98</v>
      </c>
      <c r="H1125" s="105" t="s">
        <v>2753</v>
      </c>
      <c r="I1125" s="106" t="s">
        <v>2442</v>
      </c>
      <c r="J1125" s="109" t="s">
        <v>2748</v>
      </c>
      <c r="K1125" s="106" t="s">
        <v>2754</v>
      </c>
      <c r="L1125" s="106" t="s">
        <v>612</v>
      </c>
      <c r="M1125" s="104"/>
      <c r="N1125" s="104"/>
      <c r="O1125" s="104" t="s">
        <v>2334</v>
      </c>
      <c r="P1125" s="104" t="s">
        <v>2755</v>
      </c>
      <c r="Q1125" s="108" t="s">
        <v>89</v>
      </c>
      <c r="R1125" s="106"/>
      <c r="S1125" s="106" t="s">
        <v>2751</v>
      </c>
      <c r="T1125" s="104"/>
      <c r="U1125" s="104"/>
      <c r="V1125" s="104"/>
      <c r="W1125" s="104"/>
      <c r="X1125" s="104"/>
      <c r="Y1125" s="104"/>
      <c r="Z1125" s="104"/>
    </row>
    <row r="1126" spans="1:26">
      <c r="A1126" s="19" t="s">
        <v>2174</v>
      </c>
      <c r="B1126" s="197">
        <v>46218</v>
      </c>
      <c r="C1126" s="19"/>
      <c r="D1126" s="184" t="s">
        <v>59</v>
      </c>
      <c r="E1126" s="184" t="s">
        <v>236</v>
      </c>
      <c r="F1126" s="184" t="s">
        <v>2756</v>
      </c>
      <c r="G1126" s="184" t="s">
        <v>98</v>
      </c>
      <c r="H1126" s="192" t="s">
        <v>2459</v>
      </c>
      <c r="I1126" s="193" t="s">
        <v>239</v>
      </c>
      <c r="J1126" s="181" t="s">
        <v>240</v>
      </c>
      <c r="K1126" s="24" t="s">
        <v>2757</v>
      </c>
      <c r="L1126" s="24" t="s">
        <v>135</v>
      </c>
      <c r="M1126" s="19">
        <v>21</v>
      </c>
      <c r="N1126" s="19"/>
      <c r="O1126" s="184"/>
      <c r="P1126" s="19" t="s">
        <v>2758</v>
      </c>
      <c r="Q1126" s="12" t="s">
        <v>1441</v>
      </c>
      <c r="R1126" s="24" t="s">
        <v>2334</v>
      </c>
      <c r="S1126" s="24" t="s">
        <v>65</v>
      </c>
      <c r="T1126" s="19" t="s">
        <v>2334</v>
      </c>
      <c r="U1126" s="19" t="s">
        <v>2334</v>
      </c>
      <c r="V1126" s="19" t="s">
        <v>2334</v>
      </c>
      <c r="W1126" s="19" t="s">
        <v>67</v>
      </c>
      <c r="X1126" s="32">
        <v>46219</v>
      </c>
      <c r="Y1126" s="19"/>
      <c r="Z1126" s="19"/>
    </row>
    <row r="1127" spans="1:26">
      <c r="A1127" s="19" t="s">
        <v>2174</v>
      </c>
      <c r="B1127" s="186"/>
      <c r="C1127" s="19"/>
      <c r="D1127" s="186"/>
      <c r="E1127" s="186"/>
      <c r="F1127" s="186"/>
      <c r="G1127" s="186"/>
      <c r="H1127" s="186"/>
      <c r="I1127" s="186"/>
      <c r="J1127" s="183"/>
      <c r="K1127" s="24" t="s">
        <v>2759</v>
      </c>
      <c r="L1127" s="24" t="s">
        <v>144</v>
      </c>
      <c r="M1127" s="19">
        <f>1+2+28+102+80+4+1+1+3</f>
        <v>222</v>
      </c>
      <c r="N1127" s="19"/>
      <c r="O1127" s="186"/>
      <c r="P1127" s="19" t="s">
        <v>2758</v>
      </c>
      <c r="Q1127" s="12" t="s">
        <v>1441</v>
      </c>
      <c r="R1127" s="24" t="s">
        <v>2334</v>
      </c>
      <c r="S1127" s="24" t="s">
        <v>65</v>
      </c>
      <c r="T1127" s="19" t="s">
        <v>2334</v>
      </c>
      <c r="U1127" s="19" t="s">
        <v>2334</v>
      </c>
      <c r="V1127" s="19" t="s">
        <v>2334</v>
      </c>
      <c r="W1127" s="19" t="s">
        <v>67</v>
      </c>
      <c r="X1127" s="32">
        <v>46219</v>
      </c>
      <c r="Y1127" s="12" t="s">
        <v>2760</v>
      </c>
      <c r="Z1127" s="12"/>
    </row>
    <row r="1128" spans="1:26">
      <c r="A1128" s="19" t="s">
        <v>2174</v>
      </c>
      <c r="B1128" s="33">
        <v>46218</v>
      </c>
      <c r="C1128" s="40" t="s">
        <v>2761</v>
      </c>
      <c r="D1128" s="19" t="s">
        <v>59</v>
      </c>
      <c r="E1128" s="19" t="s">
        <v>230</v>
      </c>
      <c r="F1128" s="19" t="s">
        <v>219</v>
      </c>
      <c r="G1128" s="19" t="s">
        <v>127</v>
      </c>
      <c r="H1128" s="40" t="s">
        <v>221</v>
      </c>
      <c r="I1128" s="24" t="s">
        <v>2762</v>
      </c>
      <c r="J1128" s="24" t="s">
        <v>28</v>
      </c>
      <c r="K1128" s="24" t="s">
        <v>2763</v>
      </c>
      <c r="L1128" s="24" t="s">
        <v>60</v>
      </c>
      <c r="M1128" s="19"/>
      <c r="N1128" s="19"/>
      <c r="O1128" s="19" t="s">
        <v>2588</v>
      </c>
      <c r="P1128" s="19" t="s">
        <v>573</v>
      </c>
      <c r="Q1128" s="12" t="s">
        <v>1441</v>
      </c>
      <c r="R1128" s="24" t="s">
        <v>2334</v>
      </c>
      <c r="S1128" s="24" t="s">
        <v>65</v>
      </c>
      <c r="T1128" s="19" t="s">
        <v>2334</v>
      </c>
      <c r="U1128" s="19" t="s">
        <v>2334</v>
      </c>
      <c r="V1128" s="19" t="s">
        <v>2334</v>
      </c>
      <c r="W1128" s="19" t="s">
        <v>67</v>
      </c>
      <c r="X1128" s="32">
        <v>46221</v>
      </c>
      <c r="Y1128" s="19"/>
      <c r="Z1128" s="19"/>
    </row>
    <row r="1129" spans="1:26">
      <c r="A1129" s="19" t="s">
        <v>2174</v>
      </c>
      <c r="B1129" s="33">
        <v>46218</v>
      </c>
      <c r="C1129" s="19"/>
      <c r="D1129" s="19" t="s">
        <v>59</v>
      </c>
      <c r="E1129" s="19" t="s">
        <v>72</v>
      </c>
      <c r="F1129" s="19" t="s">
        <v>2764</v>
      </c>
      <c r="G1129" s="19" t="s">
        <v>98</v>
      </c>
      <c r="H1129" s="40" t="s">
        <v>717</v>
      </c>
      <c r="I1129" s="28" t="s">
        <v>286</v>
      </c>
      <c r="J1129" s="55" t="s">
        <v>287</v>
      </c>
      <c r="K1129" s="24" t="s">
        <v>2009</v>
      </c>
      <c r="L1129" s="24" t="s">
        <v>110</v>
      </c>
      <c r="M1129" s="19"/>
      <c r="N1129" s="19" t="s">
        <v>2765</v>
      </c>
      <c r="O1129" s="19" t="s">
        <v>2588</v>
      </c>
      <c r="P1129" s="19" t="s">
        <v>2766</v>
      </c>
      <c r="Q1129" s="12" t="s">
        <v>89</v>
      </c>
      <c r="R1129" s="24" t="s">
        <v>2591</v>
      </c>
      <c r="S1129" s="24" t="s">
        <v>65</v>
      </c>
      <c r="T1129" s="19" t="s">
        <v>2334</v>
      </c>
      <c r="U1129" s="19" t="s">
        <v>2334</v>
      </c>
      <c r="V1129" s="19" t="s">
        <v>2334</v>
      </c>
      <c r="W1129" s="19" t="s">
        <v>67</v>
      </c>
      <c r="X1129" s="32">
        <v>46225</v>
      </c>
      <c r="Y1129" s="19"/>
      <c r="Z1129" s="19"/>
    </row>
    <row r="1130" spans="1:26">
      <c r="A1130" s="19" t="s">
        <v>2174</v>
      </c>
      <c r="B1130" s="33">
        <v>46218</v>
      </c>
      <c r="C1130" s="40" t="s">
        <v>2767</v>
      </c>
      <c r="D1130" s="19" t="s">
        <v>48</v>
      </c>
      <c r="E1130" s="19" t="s">
        <v>49</v>
      </c>
      <c r="F1130" s="19" t="s">
        <v>2768</v>
      </c>
      <c r="G1130" s="19" t="s">
        <v>220</v>
      </c>
      <c r="H1130" s="40" t="s">
        <v>2769</v>
      </c>
      <c r="I1130" s="28" t="s">
        <v>53</v>
      </c>
      <c r="J1130" s="55" t="s">
        <v>55</v>
      </c>
      <c r="K1130" s="24" t="s">
        <v>2770</v>
      </c>
      <c r="L1130" s="24" t="s">
        <v>665</v>
      </c>
      <c r="M1130" s="19">
        <f>932+38+30+59+2+21</f>
        <v>1082</v>
      </c>
      <c r="N1130" s="93">
        <f>6516.452+164.16+129.6+385.847+2.698+15+88.2</f>
        <v>7301.9570000000003</v>
      </c>
      <c r="O1130" s="19" t="s">
        <v>2588</v>
      </c>
      <c r="P1130" s="19" t="s">
        <v>290</v>
      </c>
      <c r="Q1130" s="12" t="s">
        <v>1441</v>
      </c>
      <c r="R1130" s="24" t="s">
        <v>2334</v>
      </c>
      <c r="S1130" s="24" t="s">
        <v>65</v>
      </c>
      <c r="T1130" s="19" t="s">
        <v>2334</v>
      </c>
      <c r="U1130" s="19" t="s">
        <v>2334</v>
      </c>
      <c r="V1130" s="19"/>
      <c r="W1130" s="19" t="s">
        <v>67</v>
      </c>
      <c r="X1130" s="32">
        <v>46223</v>
      </c>
      <c r="Y1130" s="12" t="s">
        <v>2592</v>
      </c>
      <c r="Z1130" s="19"/>
    </row>
    <row r="1131" spans="1:26">
      <c r="A1131" s="19" t="s">
        <v>2174</v>
      </c>
      <c r="B1131" s="33">
        <v>46218</v>
      </c>
      <c r="C1131" s="19"/>
      <c r="D1131" s="19" t="s">
        <v>48</v>
      </c>
      <c r="E1131" s="19" t="s">
        <v>609</v>
      </c>
      <c r="F1131" s="19" t="s">
        <v>2771</v>
      </c>
      <c r="G1131" s="19" t="s">
        <v>127</v>
      </c>
      <c r="H1131" s="40" t="s">
        <v>2190</v>
      </c>
      <c r="I1131" s="24" t="s">
        <v>2772</v>
      </c>
      <c r="J1131" s="24" t="s">
        <v>182</v>
      </c>
      <c r="K1131" s="24" t="s">
        <v>2773</v>
      </c>
      <c r="L1131" s="24" t="s">
        <v>144</v>
      </c>
      <c r="M1131" s="19"/>
      <c r="N1131" s="19"/>
      <c r="O1131" s="19" t="s">
        <v>2588</v>
      </c>
      <c r="P1131" s="19" t="s">
        <v>2191</v>
      </c>
      <c r="Q1131" s="12" t="s">
        <v>89</v>
      </c>
      <c r="R1131" s="24" t="s">
        <v>2334</v>
      </c>
      <c r="S1131" s="24" t="s">
        <v>65</v>
      </c>
      <c r="T1131" s="19" t="s">
        <v>2334</v>
      </c>
      <c r="U1131" s="19" t="s">
        <v>2334</v>
      </c>
      <c r="V1131" s="19" t="s">
        <v>2334</v>
      </c>
      <c r="W1131" s="19" t="s">
        <v>67</v>
      </c>
      <c r="X1131" s="32">
        <v>46223</v>
      </c>
      <c r="Y1131" s="19"/>
      <c r="Z1131" s="19"/>
    </row>
    <row r="1132" spans="1:26">
      <c r="A1132" s="19" t="s">
        <v>2174</v>
      </c>
      <c r="B1132" s="33">
        <v>46218</v>
      </c>
      <c r="C1132" s="19"/>
      <c r="D1132" s="19" t="s">
        <v>48</v>
      </c>
      <c r="E1132" s="19" t="s">
        <v>284</v>
      </c>
      <c r="F1132" s="19" t="s">
        <v>201</v>
      </c>
      <c r="G1132" s="19" t="s">
        <v>98</v>
      </c>
      <c r="H1132" s="40" t="s">
        <v>2290</v>
      </c>
      <c r="I1132" s="24" t="s">
        <v>2775</v>
      </c>
      <c r="J1132" s="24" t="s">
        <v>2642</v>
      </c>
      <c r="K1132" s="24" t="s">
        <v>2776</v>
      </c>
      <c r="L1132" s="24" t="s">
        <v>110</v>
      </c>
      <c r="M1132" s="19"/>
      <c r="N1132" s="19"/>
      <c r="O1132" s="19" t="s">
        <v>2588</v>
      </c>
      <c r="P1132" s="19" t="s">
        <v>2358</v>
      </c>
      <c r="Q1132" s="12" t="s">
        <v>1441</v>
      </c>
      <c r="R1132" s="24" t="s">
        <v>2334</v>
      </c>
      <c r="S1132" s="24" t="s">
        <v>65</v>
      </c>
      <c r="T1132" s="19" t="s">
        <v>2334</v>
      </c>
      <c r="U1132" s="19" t="s">
        <v>2334</v>
      </c>
      <c r="V1132" s="19" t="s">
        <v>2334</v>
      </c>
      <c r="W1132" s="19" t="s">
        <v>67</v>
      </c>
      <c r="X1132" s="32">
        <v>46223</v>
      </c>
      <c r="Y1132" s="19"/>
      <c r="Z1132" s="19"/>
    </row>
    <row r="1133" spans="1:26">
      <c r="A1133" s="19" t="s">
        <v>2174</v>
      </c>
      <c r="B1133" s="33">
        <v>46218</v>
      </c>
      <c r="C1133" s="19"/>
      <c r="D1133" s="19" t="s">
        <v>48</v>
      </c>
      <c r="E1133" s="19" t="s">
        <v>284</v>
      </c>
      <c r="F1133" s="19" t="s">
        <v>386</v>
      </c>
      <c r="G1133" s="19" t="s">
        <v>173</v>
      </c>
      <c r="H1133" s="40" t="s">
        <v>2486</v>
      </c>
      <c r="I1133" s="24" t="s">
        <v>2777</v>
      </c>
      <c r="J1133" s="24" t="s">
        <v>2778</v>
      </c>
      <c r="K1133" s="24" t="s">
        <v>2779</v>
      </c>
      <c r="L1133" s="24" t="s">
        <v>678</v>
      </c>
      <c r="M1133" s="19"/>
      <c r="N1133" s="19"/>
      <c r="O1133" s="19" t="s">
        <v>2588</v>
      </c>
      <c r="P1133" s="19" t="s">
        <v>458</v>
      </c>
      <c r="Q1133" s="12" t="s">
        <v>1441</v>
      </c>
      <c r="R1133" s="24" t="s">
        <v>2334</v>
      </c>
      <c r="S1133" s="24" t="s">
        <v>65</v>
      </c>
      <c r="T1133" s="19" t="s">
        <v>2334</v>
      </c>
      <c r="U1133" s="19" t="s">
        <v>2334</v>
      </c>
      <c r="V1133" s="19" t="s">
        <v>2334</v>
      </c>
      <c r="W1133" s="19" t="s">
        <v>67</v>
      </c>
      <c r="X1133" s="32">
        <v>46223</v>
      </c>
      <c r="Y1133" s="19"/>
      <c r="Z1133" s="19"/>
    </row>
    <row r="1134" spans="1:26">
      <c r="A1134" s="19" t="s">
        <v>2174</v>
      </c>
      <c r="B1134" s="197">
        <v>46218</v>
      </c>
      <c r="C1134" s="19"/>
      <c r="D1134" s="184" t="s">
        <v>59</v>
      </c>
      <c r="E1134" s="184" t="s">
        <v>1140</v>
      </c>
      <c r="F1134" s="184" t="s">
        <v>2780</v>
      </c>
      <c r="G1134" s="184" t="s">
        <v>51</v>
      </c>
      <c r="H1134" s="192" t="s">
        <v>2781</v>
      </c>
      <c r="I1134" s="191" t="s">
        <v>2782</v>
      </c>
      <c r="J1134" s="191" t="s">
        <v>2783</v>
      </c>
      <c r="K1134" s="24" t="s">
        <v>2784</v>
      </c>
      <c r="L1134" s="24" t="s">
        <v>1123</v>
      </c>
      <c r="M1134" s="19"/>
      <c r="N1134" s="19"/>
      <c r="O1134" s="184" t="s">
        <v>2334</v>
      </c>
      <c r="P1134" s="19" t="s">
        <v>2785</v>
      </c>
      <c r="Q1134" s="12" t="s">
        <v>89</v>
      </c>
      <c r="R1134" s="24" t="s">
        <v>2334</v>
      </c>
      <c r="S1134" s="24" t="s">
        <v>65</v>
      </c>
      <c r="T1134" s="19" t="s">
        <v>2334</v>
      </c>
      <c r="U1134" s="19" t="s">
        <v>2334</v>
      </c>
      <c r="V1134" s="19" t="s">
        <v>2334</v>
      </c>
      <c r="W1134" s="19" t="s">
        <v>67</v>
      </c>
      <c r="X1134" s="32">
        <v>46224</v>
      </c>
      <c r="Y1134" s="19"/>
      <c r="Z1134" s="12" t="s">
        <v>2786</v>
      </c>
    </row>
    <row r="1135" spans="1:26">
      <c r="A1135" s="19" t="s">
        <v>2174</v>
      </c>
      <c r="B1135" s="186"/>
      <c r="C1135" s="19"/>
      <c r="D1135" s="186"/>
      <c r="E1135" s="186"/>
      <c r="F1135" s="186"/>
      <c r="G1135" s="186"/>
      <c r="H1135" s="186"/>
      <c r="I1135" s="186"/>
      <c r="J1135" s="186"/>
      <c r="K1135" s="24" t="s">
        <v>2787</v>
      </c>
      <c r="L1135" s="24" t="s">
        <v>330</v>
      </c>
      <c r="M1135" s="19"/>
      <c r="N1135" s="19"/>
      <c r="O1135" s="186"/>
      <c r="P1135" s="19" t="s">
        <v>2788</v>
      </c>
      <c r="Q1135" s="12" t="s">
        <v>89</v>
      </c>
      <c r="R1135" s="24" t="s">
        <v>2334</v>
      </c>
      <c r="S1135" s="24" t="s">
        <v>65</v>
      </c>
      <c r="T1135" s="19" t="s">
        <v>2334</v>
      </c>
      <c r="U1135" s="19" t="s">
        <v>2334</v>
      </c>
      <c r="V1135" s="19" t="s">
        <v>2334</v>
      </c>
      <c r="W1135" s="19" t="s">
        <v>67</v>
      </c>
      <c r="X1135" s="32">
        <v>46224</v>
      </c>
      <c r="Y1135" s="19"/>
      <c r="Z1135" s="19"/>
    </row>
    <row r="1136" spans="1:26">
      <c r="A1136" s="19" t="s">
        <v>2174</v>
      </c>
      <c r="B1136" s="197">
        <v>46218</v>
      </c>
      <c r="C1136" s="19"/>
      <c r="D1136" s="184" t="s">
        <v>48</v>
      </c>
      <c r="E1136" s="184" t="s">
        <v>609</v>
      </c>
      <c r="F1136" s="184" t="s">
        <v>2789</v>
      </c>
      <c r="G1136" s="184" t="s">
        <v>51</v>
      </c>
      <c r="H1136" s="192" t="s">
        <v>2790</v>
      </c>
      <c r="I1136" s="191" t="s">
        <v>2570</v>
      </c>
      <c r="J1136" s="191" t="s">
        <v>330</v>
      </c>
      <c r="K1136" s="24" t="s">
        <v>2791</v>
      </c>
      <c r="L1136" s="24" t="s">
        <v>246</v>
      </c>
      <c r="M1136" s="19"/>
      <c r="N1136" s="19"/>
      <c r="O1136" s="184" t="s">
        <v>2588</v>
      </c>
      <c r="P1136" s="19" t="s">
        <v>2792</v>
      </c>
      <c r="Q1136" s="12" t="s">
        <v>89</v>
      </c>
      <c r="R1136" s="24" t="s">
        <v>2334</v>
      </c>
      <c r="S1136" s="24" t="s">
        <v>65</v>
      </c>
      <c r="T1136" s="19" t="s">
        <v>2334</v>
      </c>
      <c r="U1136" s="19" t="s">
        <v>2334</v>
      </c>
      <c r="V1136" s="19" t="s">
        <v>2334</v>
      </c>
      <c r="W1136" s="19" t="s">
        <v>67</v>
      </c>
      <c r="X1136" s="32">
        <v>46221</v>
      </c>
      <c r="Y1136" s="19"/>
      <c r="Z1136" s="19"/>
    </row>
    <row r="1137" spans="1:26">
      <c r="A1137" s="19" t="s">
        <v>2174</v>
      </c>
      <c r="B1137" s="186"/>
      <c r="C1137" s="19"/>
      <c r="D1137" s="186"/>
      <c r="E1137" s="186"/>
      <c r="F1137" s="186"/>
      <c r="G1137" s="186"/>
      <c r="H1137" s="186"/>
      <c r="I1137" s="186"/>
      <c r="J1137" s="186"/>
      <c r="K1137" s="24" t="s">
        <v>2793</v>
      </c>
      <c r="L1137" s="24" t="s">
        <v>246</v>
      </c>
      <c r="M1137" s="19"/>
      <c r="N1137" s="19"/>
      <c r="O1137" s="186"/>
      <c r="P1137" s="19" t="s">
        <v>2792</v>
      </c>
      <c r="Q1137" s="12" t="s">
        <v>89</v>
      </c>
      <c r="R1137" s="24" t="s">
        <v>2334</v>
      </c>
      <c r="S1137" s="24" t="s">
        <v>65</v>
      </c>
      <c r="T1137" s="19" t="s">
        <v>2334</v>
      </c>
      <c r="U1137" s="19" t="s">
        <v>2334</v>
      </c>
      <c r="V1137" s="19" t="s">
        <v>2334</v>
      </c>
      <c r="W1137" s="49" t="s">
        <v>67</v>
      </c>
      <c r="X1137" s="50">
        <v>46224</v>
      </c>
      <c r="Y1137" s="19"/>
      <c r="Z1137" s="19"/>
    </row>
    <row r="1138" spans="1:26">
      <c r="A1138" s="19" t="s">
        <v>2174</v>
      </c>
      <c r="B1138" s="110">
        <v>46218</v>
      </c>
      <c r="C1138" s="111" t="s">
        <v>2794</v>
      </c>
      <c r="D1138" s="112" t="s">
        <v>48</v>
      </c>
      <c r="E1138" s="112" t="s">
        <v>609</v>
      </c>
      <c r="F1138" s="112" t="s">
        <v>2795</v>
      </c>
      <c r="G1138" s="112" t="s">
        <v>51</v>
      </c>
      <c r="H1138" s="111" t="s">
        <v>2796</v>
      </c>
      <c r="I1138" s="113" t="s">
        <v>2305</v>
      </c>
      <c r="J1138" s="113" t="s">
        <v>330</v>
      </c>
      <c r="K1138" s="113" t="s">
        <v>2797</v>
      </c>
      <c r="L1138" s="113" t="s">
        <v>246</v>
      </c>
      <c r="M1138" s="112"/>
      <c r="N1138" s="112"/>
      <c r="O1138" s="112" t="s">
        <v>2334</v>
      </c>
      <c r="P1138" s="112" t="s">
        <v>2798</v>
      </c>
      <c r="Q1138" s="114" t="s">
        <v>89</v>
      </c>
      <c r="R1138" s="113" t="s">
        <v>2334</v>
      </c>
      <c r="S1138" s="113" t="s">
        <v>65</v>
      </c>
      <c r="T1138" s="112" t="s">
        <v>2334</v>
      </c>
      <c r="U1138" s="112" t="s">
        <v>2334</v>
      </c>
      <c r="V1138" s="112" t="s">
        <v>2334</v>
      </c>
      <c r="W1138" s="49" t="s">
        <v>67</v>
      </c>
      <c r="X1138" s="81">
        <v>46223</v>
      </c>
      <c r="Y1138" s="112"/>
      <c r="Z1138" s="112"/>
    </row>
    <row r="1139" spans="1:26">
      <c r="A1139" s="19" t="s">
        <v>2174</v>
      </c>
      <c r="B1139" s="33">
        <v>46219</v>
      </c>
      <c r="C1139" s="19"/>
      <c r="D1139" s="19" t="s">
        <v>59</v>
      </c>
      <c r="E1139" s="19" t="s">
        <v>450</v>
      </c>
      <c r="F1139" s="19" t="s">
        <v>2799</v>
      </c>
      <c r="G1139" s="19" t="s">
        <v>51</v>
      </c>
      <c r="H1139" s="40" t="s">
        <v>2800</v>
      </c>
      <c r="I1139" s="24" t="s">
        <v>2801</v>
      </c>
      <c r="J1139" s="24" t="s">
        <v>2802</v>
      </c>
      <c r="K1139" s="24" t="s">
        <v>2803</v>
      </c>
      <c r="L1139" s="24" t="s">
        <v>2804</v>
      </c>
      <c r="M1139" s="19"/>
      <c r="N1139" s="19"/>
      <c r="O1139" s="19" t="s">
        <v>2334</v>
      </c>
      <c r="P1139" s="19" t="s">
        <v>2805</v>
      </c>
      <c r="Q1139" s="12" t="s">
        <v>1441</v>
      </c>
      <c r="R1139" s="24" t="s">
        <v>2334</v>
      </c>
      <c r="S1139" s="24" t="s">
        <v>65</v>
      </c>
      <c r="T1139" s="19" t="s">
        <v>2334</v>
      </c>
      <c r="U1139" s="19" t="s">
        <v>2334</v>
      </c>
      <c r="V1139" s="19" t="s">
        <v>2334</v>
      </c>
      <c r="W1139" s="19" t="s">
        <v>67</v>
      </c>
      <c r="X1139" s="32">
        <v>46225</v>
      </c>
      <c r="Y1139" s="19"/>
      <c r="Z1139" s="19"/>
    </row>
    <row r="1140" spans="1:26">
      <c r="A1140" s="19" t="s">
        <v>2174</v>
      </c>
      <c r="B1140" s="224">
        <v>46219</v>
      </c>
      <c r="C1140" s="49"/>
      <c r="D1140" s="221" t="s">
        <v>59</v>
      </c>
      <c r="E1140" s="221" t="s">
        <v>373</v>
      </c>
      <c r="F1140" s="221" t="s">
        <v>2243</v>
      </c>
      <c r="G1140" s="221" t="s">
        <v>51</v>
      </c>
      <c r="H1140" s="222" t="s">
        <v>2244</v>
      </c>
      <c r="I1140" s="223" t="s">
        <v>374</v>
      </c>
      <c r="J1140" s="230" t="s">
        <v>375</v>
      </c>
      <c r="K1140" s="83" t="s">
        <v>2806</v>
      </c>
      <c r="L1140" s="83" t="s">
        <v>116</v>
      </c>
      <c r="M1140" s="49"/>
      <c r="N1140" s="49"/>
      <c r="O1140" s="49" t="s">
        <v>2588</v>
      </c>
      <c r="P1140" s="49" t="s">
        <v>2246</v>
      </c>
      <c r="Q1140" s="84" t="s">
        <v>89</v>
      </c>
      <c r="R1140" s="83" t="s">
        <v>2334</v>
      </c>
      <c r="S1140" s="83" t="s">
        <v>65</v>
      </c>
      <c r="T1140" s="49" t="s">
        <v>2334</v>
      </c>
      <c r="U1140" s="49" t="s">
        <v>2334</v>
      </c>
      <c r="V1140" s="49" t="s">
        <v>2334</v>
      </c>
      <c r="W1140" s="19" t="s">
        <v>67</v>
      </c>
      <c r="X1140" s="32">
        <v>46225</v>
      </c>
      <c r="Y1140" s="84" t="s">
        <v>2807</v>
      </c>
      <c r="Z1140" s="49"/>
    </row>
    <row r="1141" spans="1:26">
      <c r="A1141" s="19" t="s">
        <v>2174</v>
      </c>
      <c r="B1141" s="186"/>
      <c r="C1141" s="49"/>
      <c r="D1141" s="186"/>
      <c r="E1141" s="186"/>
      <c r="F1141" s="186"/>
      <c r="G1141" s="186"/>
      <c r="H1141" s="186"/>
      <c r="I1141" s="186"/>
      <c r="J1141" s="183"/>
      <c r="K1141" s="83" t="s">
        <v>2808</v>
      </c>
      <c r="L1141" s="83" t="s">
        <v>263</v>
      </c>
      <c r="M1141" s="49"/>
      <c r="N1141" s="49"/>
      <c r="O1141" s="49" t="s">
        <v>2588</v>
      </c>
      <c r="P1141" s="49" t="s">
        <v>2246</v>
      </c>
      <c r="Q1141" s="84" t="s">
        <v>89</v>
      </c>
      <c r="R1141" s="83" t="s">
        <v>2334</v>
      </c>
      <c r="S1141" s="83" t="s">
        <v>65</v>
      </c>
      <c r="T1141" s="49" t="s">
        <v>2334</v>
      </c>
      <c r="U1141" s="49" t="s">
        <v>2334</v>
      </c>
      <c r="V1141" s="49" t="s">
        <v>2334</v>
      </c>
      <c r="W1141" s="19" t="s">
        <v>67</v>
      </c>
      <c r="X1141" s="32">
        <v>46225</v>
      </c>
      <c r="Y1141" s="84" t="s">
        <v>2425</v>
      </c>
      <c r="Z1141" s="49"/>
    </row>
    <row r="1142" spans="1:26">
      <c r="A1142" s="19" t="s">
        <v>2174</v>
      </c>
      <c r="B1142" s="81">
        <v>46219</v>
      </c>
      <c r="C1142" s="49"/>
      <c r="D1142" s="49" t="s">
        <v>59</v>
      </c>
      <c r="E1142" s="49" t="s">
        <v>236</v>
      </c>
      <c r="F1142" s="49" t="s">
        <v>2809</v>
      </c>
      <c r="G1142" s="49" t="s">
        <v>186</v>
      </c>
      <c r="H1142" s="82" t="s">
        <v>2810</v>
      </c>
      <c r="I1142" s="75" t="s">
        <v>239</v>
      </c>
      <c r="J1142" s="76" t="s">
        <v>240</v>
      </c>
      <c r="K1142" s="83" t="s">
        <v>2811</v>
      </c>
      <c r="L1142" s="83" t="s">
        <v>2812</v>
      </c>
      <c r="M1142" s="49"/>
      <c r="N1142" s="49"/>
      <c r="O1142" s="49" t="s">
        <v>2334</v>
      </c>
      <c r="P1142" s="49" t="s">
        <v>2813</v>
      </c>
      <c r="Q1142" s="84" t="s">
        <v>1441</v>
      </c>
      <c r="R1142" s="83" t="s">
        <v>2334</v>
      </c>
      <c r="S1142" s="83" t="s">
        <v>65</v>
      </c>
      <c r="T1142" s="49" t="s">
        <v>2334</v>
      </c>
      <c r="U1142" s="49" t="s">
        <v>2334</v>
      </c>
      <c r="V1142" s="49" t="s">
        <v>2334</v>
      </c>
      <c r="W1142" s="49" t="s">
        <v>67</v>
      </c>
      <c r="X1142" s="81">
        <v>46221</v>
      </c>
      <c r="Y1142" s="84" t="s">
        <v>2814</v>
      </c>
      <c r="Z1142" s="49"/>
    </row>
    <row r="1143" spans="1:26">
      <c r="A1143" s="19" t="s">
        <v>2174</v>
      </c>
      <c r="B1143" s="33">
        <v>46219</v>
      </c>
      <c r="C1143" s="19"/>
      <c r="D1143" s="19" t="s">
        <v>48</v>
      </c>
      <c r="E1143" s="19" t="s">
        <v>2395</v>
      </c>
      <c r="F1143" s="19" t="s">
        <v>50</v>
      </c>
      <c r="G1143" s="19" t="s">
        <v>51</v>
      </c>
      <c r="H1143" s="40" t="s">
        <v>2290</v>
      </c>
      <c r="I1143" s="24" t="s">
        <v>2815</v>
      </c>
      <c r="J1143" s="24" t="s">
        <v>2816</v>
      </c>
      <c r="K1143" s="24" t="s">
        <v>2817</v>
      </c>
      <c r="L1143" s="24" t="s">
        <v>338</v>
      </c>
      <c r="M1143" s="19"/>
      <c r="N1143" s="19"/>
      <c r="O1143" s="19" t="s">
        <v>2334</v>
      </c>
      <c r="P1143" s="19" t="s">
        <v>2358</v>
      </c>
      <c r="Q1143" s="12" t="s">
        <v>1441</v>
      </c>
      <c r="R1143" s="24" t="s">
        <v>2334</v>
      </c>
      <c r="S1143" s="24" t="s">
        <v>65</v>
      </c>
      <c r="T1143" s="19" t="s">
        <v>2334</v>
      </c>
      <c r="U1143" s="19" t="s">
        <v>2334</v>
      </c>
      <c r="V1143" s="19" t="s">
        <v>2334</v>
      </c>
      <c r="W1143" s="19" t="s">
        <v>67</v>
      </c>
      <c r="X1143" s="32">
        <v>46223</v>
      </c>
      <c r="Y1143" s="19"/>
      <c r="Z1143" s="12" t="s">
        <v>2818</v>
      </c>
    </row>
    <row r="1144" spans="1:26">
      <c r="A1144" s="19" t="s">
        <v>2174</v>
      </c>
      <c r="B1144" s="33">
        <v>46219</v>
      </c>
      <c r="C1144" s="19"/>
      <c r="D1144" s="19" t="s">
        <v>59</v>
      </c>
      <c r="E1144" s="19" t="s">
        <v>2234</v>
      </c>
      <c r="F1144" s="19" t="s">
        <v>347</v>
      </c>
      <c r="G1144" s="19" t="s">
        <v>558</v>
      </c>
      <c r="H1144" s="40" t="s">
        <v>2819</v>
      </c>
      <c r="I1144" s="24" t="s">
        <v>2820</v>
      </c>
      <c r="J1144" s="24" t="s">
        <v>28</v>
      </c>
      <c r="K1144" s="24" t="s">
        <v>2821</v>
      </c>
      <c r="L1144" s="24" t="s">
        <v>431</v>
      </c>
      <c r="M1144" s="19"/>
      <c r="N1144" s="19"/>
      <c r="O1144" s="19"/>
      <c r="P1144" s="19" t="s">
        <v>2822</v>
      </c>
      <c r="Q1144" s="12" t="s">
        <v>1441</v>
      </c>
      <c r="R1144" s="24" t="s">
        <v>2334</v>
      </c>
      <c r="S1144" s="24" t="s">
        <v>65</v>
      </c>
      <c r="T1144" s="19" t="s">
        <v>2334</v>
      </c>
      <c r="U1144" s="19" t="s">
        <v>2334</v>
      </c>
      <c r="V1144" s="19" t="s">
        <v>2334</v>
      </c>
      <c r="W1144" s="19" t="s">
        <v>67</v>
      </c>
      <c r="X1144" s="32">
        <v>46219</v>
      </c>
      <c r="Y1144" s="19"/>
      <c r="Z1144" s="19"/>
    </row>
    <row r="1145" spans="1:26">
      <c r="A1145" s="19" t="s">
        <v>2174</v>
      </c>
      <c r="B1145" s="33">
        <v>46219</v>
      </c>
      <c r="C1145" s="40" t="s">
        <v>2823</v>
      </c>
      <c r="D1145" s="19" t="s">
        <v>48</v>
      </c>
      <c r="E1145" s="19" t="s">
        <v>621</v>
      </c>
      <c r="F1145" s="19" t="s">
        <v>2685</v>
      </c>
      <c r="G1145" s="19" t="s">
        <v>51</v>
      </c>
      <c r="H1145" s="40" t="s">
        <v>2501</v>
      </c>
      <c r="I1145" s="24" t="s">
        <v>685</v>
      </c>
      <c r="J1145" s="24" t="s">
        <v>110</v>
      </c>
      <c r="K1145" s="24" t="s">
        <v>2824</v>
      </c>
      <c r="L1145" s="24" t="s">
        <v>246</v>
      </c>
      <c r="M1145" s="19"/>
      <c r="N1145" s="19"/>
      <c r="O1145" s="19" t="s">
        <v>2588</v>
      </c>
      <c r="P1145" s="19" t="s">
        <v>2503</v>
      </c>
      <c r="Q1145" s="12" t="s">
        <v>1441</v>
      </c>
      <c r="R1145" s="24" t="s">
        <v>2334</v>
      </c>
      <c r="S1145" s="24" t="s">
        <v>65</v>
      </c>
      <c r="T1145" s="19" t="s">
        <v>2334</v>
      </c>
      <c r="U1145" s="19" t="s">
        <v>2334</v>
      </c>
      <c r="V1145" s="19" t="s">
        <v>2591</v>
      </c>
      <c r="W1145" s="19" t="s">
        <v>67</v>
      </c>
      <c r="X1145" s="32">
        <v>46227</v>
      </c>
      <c r="Y1145" s="12" t="s">
        <v>2825</v>
      </c>
      <c r="Z1145" s="43" t="s">
        <v>2826</v>
      </c>
    </row>
    <row r="1146" spans="1:26">
      <c r="A1146" s="19" t="s">
        <v>2174</v>
      </c>
      <c r="B1146" s="197">
        <v>46219</v>
      </c>
      <c r="C1146" s="19"/>
      <c r="D1146" s="184" t="s">
        <v>59</v>
      </c>
      <c r="E1146" s="184" t="s">
        <v>96</v>
      </c>
      <c r="F1146" s="184" t="s">
        <v>1822</v>
      </c>
      <c r="G1146" s="184" t="s">
        <v>98</v>
      </c>
      <c r="H1146" s="192" t="s">
        <v>2827</v>
      </c>
      <c r="I1146" s="193" t="s">
        <v>100</v>
      </c>
      <c r="J1146" s="181" t="s">
        <v>102</v>
      </c>
      <c r="K1146" s="24" t="s">
        <v>2828</v>
      </c>
      <c r="L1146" s="24" t="s">
        <v>104</v>
      </c>
      <c r="M1146" s="19"/>
      <c r="N1146" s="19"/>
      <c r="O1146" s="19" t="s">
        <v>2588</v>
      </c>
      <c r="P1146" s="19" t="s">
        <v>2829</v>
      </c>
      <c r="Q1146" s="12" t="s">
        <v>1441</v>
      </c>
      <c r="R1146" s="24" t="s">
        <v>2334</v>
      </c>
      <c r="S1146" s="24" t="s">
        <v>65</v>
      </c>
      <c r="T1146" s="19" t="s">
        <v>2334</v>
      </c>
      <c r="U1146" s="19" t="s">
        <v>2334</v>
      </c>
      <c r="V1146" s="19" t="s">
        <v>2334</v>
      </c>
      <c r="W1146" s="19"/>
      <c r="X1146" s="19"/>
      <c r="Y1146" s="19"/>
      <c r="Z1146" s="87"/>
    </row>
    <row r="1147" spans="1:26">
      <c r="A1147" s="19" t="s">
        <v>2174</v>
      </c>
      <c r="B1147" s="186"/>
      <c r="C1147" s="19"/>
      <c r="D1147" s="186"/>
      <c r="E1147" s="186"/>
      <c r="F1147" s="186"/>
      <c r="G1147" s="186"/>
      <c r="H1147" s="186"/>
      <c r="I1147" s="186"/>
      <c r="J1147" s="183"/>
      <c r="K1147" s="24" t="s">
        <v>2830</v>
      </c>
      <c r="L1147" s="24" t="s">
        <v>104</v>
      </c>
      <c r="M1147" s="19"/>
      <c r="N1147" s="19"/>
      <c r="O1147" s="19" t="s">
        <v>2588</v>
      </c>
      <c r="P1147" s="19" t="s">
        <v>2829</v>
      </c>
      <c r="Q1147" s="12" t="s">
        <v>1441</v>
      </c>
      <c r="R1147" s="24" t="s">
        <v>2334</v>
      </c>
      <c r="S1147" s="24" t="s">
        <v>65</v>
      </c>
      <c r="T1147" s="19" t="s">
        <v>2334</v>
      </c>
      <c r="U1147" s="19" t="s">
        <v>2334</v>
      </c>
      <c r="V1147" s="19" t="s">
        <v>2334</v>
      </c>
      <c r="W1147" s="19"/>
      <c r="X1147" s="19"/>
      <c r="Y1147" s="19"/>
      <c r="Z1147" s="87"/>
    </row>
    <row r="1148" spans="1:26">
      <c r="A1148" s="19" t="s">
        <v>2174</v>
      </c>
      <c r="B1148" s="33">
        <v>46219</v>
      </c>
      <c r="C1148" s="40" t="s">
        <v>2831</v>
      </c>
      <c r="D1148" s="19" t="s">
        <v>59</v>
      </c>
      <c r="E1148" s="19" t="s">
        <v>230</v>
      </c>
      <c r="F1148" s="19" t="s">
        <v>2832</v>
      </c>
      <c r="G1148" s="19" t="s">
        <v>127</v>
      </c>
      <c r="H1148" s="40" t="s">
        <v>221</v>
      </c>
      <c r="I1148" s="37" t="s">
        <v>2833</v>
      </c>
      <c r="J1148" s="42" t="s">
        <v>28</v>
      </c>
      <c r="K1148" s="24" t="s">
        <v>2834</v>
      </c>
      <c r="L1148" s="24" t="s">
        <v>60</v>
      </c>
      <c r="M1148" s="19"/>
      <c r="N1148" s="19"/>
      <c r="O1148" s="19" t="s">
        <v>2590</v>
      </c>
      <c r="P1148" s="19" t="s">
        <v>573</v>
      </c>
      <c r="Q1148" s="12" t="s">
        <v>1441</v>
      </c>
      <c r="R1148" s="24" t="s">
        <v>2334</v>
      </c>
      <c r="S1148" s="24" t="s">
        <v>65</v>
      </c>
      <c r="T1148" s="19" t="s">
        <v>2334</v>
      </c>
      <c r="U1148" s="19" t="s">
        <v>2334</v>
      </c>
      <c r="V1148" s="19" t="s">
        <v>2334</v>
      </c>
      <c r="W1148" s="19"/>
      <c r="X1148" s="19"/>
      <c r="Y1148" s="19"/>
      <c r="Z1148" s="87"/>
    </row>
    <row r="1149" spans="1:26">
      <c r="A1149" s="19" t="s">
        <v>2174</v>
      </c>
      <c r="B1149" s="81">
        <v>46220</v>
      </c>
      <c r="C1149" s="49"/>
      <c r="D1149" s="49" t="s">
        <v>59</v>
      </c>
      <c r="E1149" s="49" t="s">
        <v>140</v>
      </c>
      <c r="F1149" s="49" t="s">
        <v>2537</v>
      </c>
      <c r="G1149" s="49" t="s">
        <v>1764</v>
      </c>
      <c r="H1149" s="82" t="s">
        <v>128</v>
      </c>
      <c r="I1149" s="83" t="s">
        <v>2835</v>
      </c>
      <c r="J1149" s="83" t="s">
        <v>2836</v>
      </c>
      <c r="K1149" s="83" t="s">
        <v>2837</v>
      </c>
      <c r="L1149" s="83" t="s">
        <v>2838</v>
      </c>
      <c r="M1149" s="49"/>
      <c r="N1149" s="49"/>
      <c r="O1149" s="49" t="s">
        <v>2334</v>
      </c>
      <c r="P1149" s="49" t="s">
        <v>132</v>
      </c>
      <c r="Q1149" s="84" t="s">
        <v>89</v>
      </c>
      <c r="R1149" s="83" t="s">
        <v>2334</v>
      </c>
      <c r="S1149" s="83" t="s">
        <v>65</v>
      </c>
      <c r="T1149" s="49" t="s">
        <v>2334</v>
      </c>
      <c r="U1149" s="49" t="s">
        <v>2334</v>
      </c>
      <c r="V1149" s="49" t="s">
        <v>2591</v>
      </c>
      <c r="W1149" s="19" t="s">
        <v>67</v>
      </c>
      <c r="X1149" s="32">
        <v>46225</v>
      </c>
      <c r="Y1149" s="49"/>
      <c r="Z1149" s="49"/>
    </row>
    <row r="1150" spans="1:26">
      <c r="A1150" s="19" t="s">
        <v>2174</v>
      </c>
      <c r="B1150" s="81">
        <v>46220</v>
      </c>
      <c r="C1150" s="49"/>
      <c r="D1150" s="49" t="s">
        <v>48</v>
      </c>
      <c r="E1150" s="49" t="s">
        <v>450</v>
      </c>
      <c r="F1150" s="49" t="s">
        <v>2839</v>
      </c>
      <c r="G1150" s="49" t="s">
        <v>51</v>
      </c>
      <c r="H1150" s="82" t="s">
        <v>2840</v>
      </c>
      <c r="I1150" s="83" t="s">
        <v>2841</v>
      </c>
      <c r="J1150" s="83" t="s">
        <v>2842</v>
      </c>
      <c r="K1150" s="83" t="s">
        <v>2843</v>
      </c>
      <c r="L1150" s="83" t="s">
        <v>2844</v>
      </c>
      <c r="M1150" s="49"/>
      <c r="N1150" s="49"/>
      <c r="O1150" s="49" t="s">
        <v>2334</v>
      </c>
      <c r="P1150" s="49" t="s">
        <v>2845</v>
      </c>
      <c r="Q1150" s="84" t="s">
        <v>1441</v>
      </c>
      <c r="R1150" s="83" t="s">
        <v>2334</v>
      </c>
      <c r="S1150" s="83" t="s">
        <v>65</v>
      </c>
      <c r="T1150" s="49" t="s">
        <v>2334</v>
      </c>
      <c r="U1150" s="49" t="s">
        <v>2334</v>
      </c>
      <c r="V1150" s="49" t="s">
        <v>2334</v>
      </c>
      <c r="W1150" s="19" t="s">
        <v>67</v>
      </c>
      <c r="X1150" s="32">
        <v>46227</v>
      </c>
      <c r="Y1150" s="49"/>
      <c r="Z1150" s="49"/>
    </row>
    <row r="1151" spans="1:26">
      <c r="A1151" s="19" t="s">
        <v>2174</v>
      </c>
      <c r="B1151" s="197">
        <v>46220</v>
      </c>
      <c r="C1151" s="40" t="s">
        <v>2846</v>
      </c>
      <c r="D1151" s="184" t="s">
        <v>48</v>
      </c>
      <c r="E1151" s="184" t="s">
        <v>49</v>
      </c>
      <c r="F1151" s="184" t="s">
        <v>2382</v>
      </c>
      <c r="G1151" s="184" t="s">
        <v>127</v>
      </c>
      <c r="H1151" s="192" t="s">
        <v>143</v>
      </c>
      <c r="I1151" s="193" t="s">
        <v>53</v>
      </c>
      <c r="J1151" s="181" t="s">
        <v>2847</v>
      </c>
      <c r="K1151" s="28" t="s">
        <v>2848</v>
      </c>
      <c r="L1151" s="55" t="s">
        <v>106</v>
      </c>
      <c r="M1151" s="19">
        <f>235+40</f>
        <v>275</v>
      </c>
      <c r="N1151" s="93">
        <f>1613.884+172.8</f>
        <v>1786.684</v>
      </c>
      <c r="O1151" s="19" t="s">
        <v>2588</v>
      </c>
      <c r="P1151" s="19" t="s">
        <v>462</v>
      </c>
      <c r="Q1151" s="12" t="s">
        <v>1441</v>
      </c>
      <c r="R1151" s="24" t="s">
        <v>2334</v>
      </c>
      <c r="S1151" s="24" t="s">
        <v>65</v>
      </c>
      <c r="T1151" s="19" t="s">
        <v>2334</v>
      </c>
      <c r="U1151" s="19" t="s">
        <v>2334</v>
      </c>
      <c r="V1151" s="19" t="s">
        <v>2334</v>
      </c>
      <c r="W1151" s="19" t="s">
        <v>67</v>
      </c>
      <c r="X1151" s="33">
        <v>46224</v>
      </c>
      <c r="Y1151" s="195" t="s">
        <v>2592</v>
      </c>
      <c r="Z1151" s="19"/>
    </row>
    <row r="1152" spans="1:26">
      <c r="A1152" s="19" t="s">
        <v>2174</v>
      </c>
      <c r="B1152" s="186"/>
      <c r="C1152" s="40" t="s">
        <v>2849</v>
      </c>
      <c r="D1152" s="186"/>
      <c r="E1152" s="186"/>
      <c r="F1152" s="186"/>
      <c r="G1152" s="186"/>
      <c r="H1152" s="186"/>
      <c r="I1152" s="186"/>
      <c r="J1152" s="183"/>
      <c r="K1152" s="24" t="s">
        <v>2850</v>
      </c>
      <c r="L1152" s="24" t="s">
        <v>120</v>
      </c>
      <c r="M1152" s="19">
        <f>329+1+2+23</f>
        <v>355</v>
      </c>
      <c r="N1152" s="93">
        <f>2315.476+4.7+31+99.36</f>
        <v>2450.5360000000001</v>
      </c>
      <c r="O1152" s="19" t="s">
        <v>2588</v>
      </c>
      <c r="P1152" s="19" t="s">
        <v>462</v>
      </c>
      <c r="Q1152" s="12" t="s">
        <v>1441</v>
      </c>
      <c r="R1152" s="24" t="s">
        <v>2334</v>
      </c>
      <c r="S1152" s="24" t="s">
        <v>65</v>
      </c>
      <c r="T1152" s="19" t="s">
        <v>2334</v>
      </c>
      <c r="U1152" s="19" t="s">
        <v>2334</v>
      </c>
      <c r="V1152" s="19" t="s">
        <v>2334</v>
      </c>
      <c r="W1152" s="19" t="s">
        <v>67</v>
      </c>
      <c r="X1152" s="33">
        <v>46224</v>
      </c>
      <c r="Y1152" s="186"/>
      <c r="Z1152" s="19"/>
    </row>
    <row r="1153" spans="1:26">
      <c r="A1153" s="19" t="s">
        <v>2174</v>
      </c>
      <c r="B1153" s="33">
        <v>46220</v>
      </c>
      <c r="C1153" s="19"/>
      <c r="D1153" s="19" t="s">
        <v>48</v>
      </c>
      <c r="E1153" s="19" t="s">
        <v>609</v>
      </c>
      <c r="F1153" s="19" t="s">
        <v>2235</v>
      </c>
      <c r="G1153" s="19" t="s">
        <v>2293</v>
      </c>
      <c r="H1153" s="40" t="s">
        <v>262</v>
      </c>
      <c r="I1153" s="24" t="s">
        <v>1956</v>
      </c>
      <c r="J1153" s="24" t="s">
        <v>2719</v>
      </c>
      <c r="K1153" s="24" t="s">
        <v>150</v>
      </c>
      <c r="L1153" s="24" t="s">
        <v>246</v>
      </c>
      <c r="M1153" s="19"/>
      <c r="N1153" s="19"/>
      <c r="O1153" s="19" t="s">
        <v>2588</v>
      </c>
      <c r="P1153" s="19" t="s">
        <v>2851</v>
      </c>
      <c r="Q1153" s="12" t="s">
        <v>1441</v>
      </c>
      <c r="R1153" s="24" t="s">
        <v>2334</v>
      </c>
      <c r="S1153" s="24" t="s">
        <v>65</v>
      </c>
      <c r="T1153" s="19" t="s">
        <v>2334</v>
      </c>
      <c r="U1153" s="19" t="s">
        <v>2334</v>
      </c>
      <c r="V1153" s="19" t="s">
        <v>2334</v>
      </c>
      <c r="W1153" s="19" t="s">
        <v>67</v>
      </c>
      <c r="X1153" s="32">
        <v>46227</v>
      </c>
      <c r="Y1153" s="19"/>
      <c r="Z1153" s="19"/>
    </row>
    <row r="1154" spans="1:26">
      <c r="A1154" s="19" t="s">
        <v>2174</v>
      </c>
      <c r="B1154" s="81">
        <v>46220</v>
      </c>
      <c r="C1154" s="49"/>
      <c r="D1154" s="49" t="s">
        <v>59</v>
      </c>
      <c r="E1154" s="49" t="s">
        <v>72</v>
      </c>
      <c r="F1154" s="49" t="s">
        <v>216</v>
      </c>
      <c r="G1154" s="49" t="s">
        <v>127</v>
      </c>
      <c r="H1154" s="82" t="s">
        <v>217</v>
      </c>
      <c r="I1154" s="75" t="s">
        <v>286</v>
      </c>
      <c r="J1154" s="76" t="s">
        <v>287</v>
      </c>
      <c r="K1154" s="83" t="s">
        <v>2251</v>
      </c>
      <c r="L1154" s="83" t="s">
        <v>130</v>
      </c>
      <c r="M1154" s="49"/>
      <c r="N1154" s="49"/>
      <c r="O1154" s="49" t="s">
        <v>2588</v>
      </c>
      <c r="P1154" s="49" t="s">
        <v>218</v>
      </c>
      <c r="Q1154" s="84" t="s">
        <v>89</v>
      </c>
      <c r="R1154" s="83" t="s">
        <v>2334</v>
      </c>
      <c r="S1154" s="83" t="s">
        <v>65</v>
      </c>
      <c r="T1154" s="49" t="s">
        <v>2334</v>
      </c>
      <c r="U1154" s="49" t="s">
        <v>2334</v>
      </c>
      <c r="V1154" s="49" t="s">
        <v>2334</v>
      </c>
      <c r="W1154" s="19" t="s">
        <v>67</v>
      </c>
      <c r="X1154" s="32">
        <v>46223</v>
      </c>
      <c r="Y1154" s="49"/>
      <c r="Z1154" s="49"/>
    </row>
    <row r="1155" spans="1:26">
      <c r="A1155" s="19" t="s">
        <v>2174</v>
      </c>
      <c r="B1155" s="197">
        <v>46220</v>
      </c>
      <c r="C1155" s="19"/>
      <c r="D1155" s="184" t="s">
        <v>59</v>
      </c>
      <c r="E1155" s="184" t="s">
        <v>2234</v>
      </c>
      <c r="F1155" s="184" t="s">
        <v>305</v>
      </c>
      <c r="G1155" s="184" t="s">
        <v>2511</v>
      </c>
      <c r="H1155" s="192" t="s">
        <v>2459</v>
      </c>
      <c r="I1155" s="191" t="s">
        <v>2852</v>
      </c>
      <c r="J1155" s="191" t="s">
        <v>28</v>
      </c>
      <c r="K1155" s="24" t="s">
        <v>2853</v>
      </c>
      <c r="L1155" s="24" t="s">
        <v>431</v>
      </c>
      <c r="M1155" s="19"/>
      <c r="N1155" s="19"/>
      <c r="O1155" s="19" t="s">
        <v>2588</v>
      </c>
      <c r="P1155" s="19" t="s">
        <v>2854</v>
      </c>
      <c r="Q1155" s="12"/>
      <c r="R1155" s="24" t="s">
        <v>2334</v>
      </c>
      <c r="S1155" s="24" t="s">
        <v>65</v>
      </c>
      <c r="T1155" s="19" t="s">
        <v>2334</v>
      </c>
      <c r="U1155" s="19" t="s">
        <v>2334</v>
      </c>
      <c r="V1155" s="19" t="s">
        <v>2334</v>
      </c>
      <c r="W1155" s="19"/>
      <c r="X1155" s="19"/>
      <c r="Y1155" s="19"/>
      <c r="Z1155" s="19"/>
    </row>
    <row r="1156" spans="1:26">
      <c r="A1156" s="19" t="s">
        <v>2174</v>
      </c>
      <c r="B1156" s="186"/>
      <c r="C1156" s="19"/>
      <c r="D1156" s="186"/>
      <c r="E1156" s="186"/>
      <c r="F1156" s="186"/>
      <c r="G1156" s="186"/>
      <c r="H1156" s="186"/>
      <c r="I1156" s="186"/>
      <c r="J1156" s="186"/>
      <c r="K1156" s="24" t="s">
        <v>2855</v>
      </c>
      <c r="L1156" s="24" t="s">
        <v>431</v>
      </c>
      <c r="M1156" s="19"/>
      <c r="N1156" s="19"/>
      <c r="O1156" s="19" t="s">
        <v>2588</v>
      </c>
      <c r="P1156" s="19" t="s">
        <v>2854</v>
      </c>
      <c r="Q1156" s="12"/>
      <c r="R1156" s="24" t="s">
        <v>2334</v>
      </c>
      <c r="S1156" s="24" t="s">
        <v>65</v>
      </c>
      <c r="T1156" s="19" t="s">
        <v>2334</v>
      </c>
      <c r="U1156" s="19" t="s">
        <v>2334</v>
      </c>
      <c r="V1156" s="19" t="s">
        <v>2334</v>
      </c>
      <c r="W1156" s="19"/>
      <c r="X1156" s="19"/>
      <c r="Y1156" s="19"/>
      <c r="Z1156" s="19"/>
    </row>
    <row r="1157" spans="1:26">
      <c r="A1157" s="19" t="s">
        <v>2174</v>
      </c>
      <c r="B1157" s="33">
        <v>46220</v>
      </c>
      <c r="C1157" s="19"/>
      <c r="D1157" s="19" t="s">
        <v>59</v>
      </c>
      <c r="E1157" s="19" t="s">
        <v>200</v>
      </c>
      <c r="F1157" s="19" t="s">
        <v>201</v>
      </c>
      <c r="G1157" s="19" t="s">
        <v>98</v>
      </c>
      <c r="H1157" s="20" t="s">
        <v>2856</v>
      </c>
      <c r="I1157" s="24" t="s">
        <v>2736</v>
      </c>
      <c r="J1157" s="24" t="s">
        <v>2857</v>
      </c>
      <c r="K1157" s="24" t="s">
        <v>2858</v>
      </c>
      <c r="L1157" s="24" t="s">
        <v>2859</v>
      </c>
      <c r="M1157" s="19"/>
      <c r="N1157" s="19"/>
      <c r="O1157" s="19" t="s">
        <v>2334</v>
      </c>
      <c r="P1157" s="19" t="s">
        <v>2503</v>
      </c>
      <c r="Q1157" s="12" t="s">
        <v>1441</v>
      </c>
      <c r="R1157" s="24" t="s">
        <v>2334</v>
      </c>
      <c r="S1157" s="24" t="s">
        <v>65</v>
      </c>
      <c r="T1157" s="19" t="s">
        <v>2334</v>
      </c>
      <c r="U1157" s="19" t="s">
        <v>2334</v>
      </c>
      <c r="V1157" s="19" t="s">
        <v>2334</v>
      </c>
      <c r="W1157" s="19" t="s">
        <v>67</v>
      </c>
      <c r="X1157" s="32">
        <v>46216</v>
      </c>
      <c r="Y1157" s="12" t="s">
        <v>2496</v>
      </c>
      <c r="Z1157" s="19"/>
    </row>
    <row r="1158" spans="1:26">
      <c r="A1158" s="19" t="s">
        <v>2174</v>
      </c>
      <c r="B1158" s="33">
        <v>46220</v>
      </c>
      <c r="C1158" s="40" t="s">
        <v>2860</v>
      </c>
      <c r="D1158" s="19" t="s">
        <v>59</v>
      </c>
      <c r="E1158" s="19" t="s">
        <v>140</v>
      </c>
      <c r="F1158" s="19" t="s">
        <v>2727</v>
      </c>
      <c r="G1158" s="19" t="s">
        <v>2511</v>
      </c>
      <c r="H1158" s="40" t="s">
        <v>717</v>
      </c>
      <c r="I1158" s="24" t="s">
        <v>2861</v>
      </c>
      <c r="J1158" s="24" t="s">
        <v>2862</v>
      </c>
      <c r="K1158" s="24" t="s">
        <v>2863</v>
      </c>
      <c r="L1158" s="24" t="s">
        <v>2864</v>
      </c>
      <c r="M1158" s="40" t="s">
        <v>2865</v>
      </c>
      <c r="N1158" s="19"/>
      <c r="O1158" s="19" t="s">
        <v>2588</v>
      </c>
      <c r="P1158" s="19" t="s">
        <v>718</v>
      </c>
      <c r="Q1158" s="12" t="s">
        <v>1441</v>
      </c>
      <c r="R1158" s="24" t="s">
        <v>2334</v>
      </c>
      <c r="S1158" s="24" t="s">
        <v>65</v>
      </c>
      <c r="T1158" s="19" t="s">
        <v>2334</v>
      </c>
      <c r="U1158" s="19" t="s">
        <v>2334</v>
      </c>
      <c r="V1158" s="19" t="s">
        <v>2334</v>
      </c>
      <c r="W1158" s="19"/>
      <c r="X1158" s="19"/>
      <c r="Y1158" s="19"/>
      <c r="Z1158" s="19"/>
    </row>
    <row r="1159" spans="1:26">
      <c r="A1159" s="19" t="s">
        <v>2174</v>
      </c>
      <c r="B1159" s="81">
        <v>46220</v>
      </c>
      <c r="C1159" s="49"/>
      <c r="D1159" s="49" t="s">
        <v>59</v>
      </c>
      <c r="E1159" s="49" t="s">
        <v>2866</v>
      </c>
      <c r="F1159" s="49" t="s">
        <v>2867</v>
      </c>
      <c r="G1159" s="49" t="s">
        <v>186</v>
      </c>
      <c r="H1159" s="82" t="s">
        <v>2868</v>
      </c>
      <c r="I1159" s="83" t="s">
        <v>2869</v>
      </c>
      <c r="J1159" s="83" t="s">
        <v>2870</v>
      </c>
      <c r="K1159" s="83" t="s">
        <v>2871</v>
      </c>
      <c r="L1159" s="83" t="s">
        <v>2872</v>
      </c>
      <c r="M1159" s="49"/>
      <c r="N1159" s="49"/>
      <c r="O1159" s="49" t="s">
        <v>2334</v>
      </c>
      <c r="P1159" s="49" t="s">
        <v>2873</v>
      </c>
      <c r="Q1159" s="84" t="s">
        <v>89</v>
      </c>
      <c r="R1159" s="83" t="s">
        <v>2334</v>
      </c>
      <c r="S1159" s="83" t="s">
        <v>65</v>
      </c>
      <c r="T1159" s="49" t="s">
        <v>2334</v>
      </c>
      <c r="U1159" s="49" t="s">
        <v>2334</v>
      </c>
      <c r="V1159" s="49" t="s">
        <v>2334</v>
      </c>
      <c r="W1159" s="49" t="s">
        <v>67</v>
      </c>
      <c r="X1159" s="81">
        <v>46228</v>
      </c>
      <c r="Y1159" s="84" t="s">
        <v>2874</v>
      </c>
      <c r="Z1159" s="49"/>
    </row>
    <row r="1160" spans="1:26">
      <c r="A1160" s="19" t="s">
        <v>2174</v>
      </c>
      <c r="B1160" s="33">
        <v>46220</v>
      </c>
      <c r="C1160" s="19"/>
      <c r="D1160" s="19" t="s">
        <v>59</v>
      </c>
      <c r="E1160" s="19" t="s">
        <v>1140</v>
      </c>
      <c r="F1160" s="19" t="s">
        <v>2875</v>
      </c>
      <c r="G1160" s="19" t="s">
        <v>127</v>
      </c>
      <c r="H1160" s="40" t="s">
        <v>52</v>
      </c>
      <c r="I1160" s="24" t="s">
        <v>1770</v>
      </c>
      <c r="J1160" s="24" t="s">
        <v>2323</v>
      </c>
      <c r="K1160" s="24" t="s">
        <v>338</v>
      </c>
      <c r="L1160" s="24" t="s">
        <v>338</v>
      </c>
      <c r="M1160" s="95"/>
      <c r="N1160" s="19"/>
      <c r="O1160" s="19" t="s">
        <v>2588</v>
      </c>
      <c r="P1160" s="19" t="s">
        <v>56</v>
      </c>
      <c r="Q1160" s="12" t="s">
        <v>89</v>
      </c>
      <c r="R1160" s="24" t="s">
        <v>2334</v>
      </c>
      <c r="S1160" s="24" t="s">
        <v>65</v>
      </c>
      <c r="T1160" s="19" t="s">
        <v>2334</v>
      </c>
      <c r="U1160" s="19" t="s">
        <v>2334</v>
      </c>
      <c r="V1160" s="19" t="s">
        <v>2334</v>
      </c>
      <c r="W1160" s="19" t="s">
        <v>67</v>
      </c>
      <c r="X1160" s="32">
        <v>46227</v>
      </c>
      <c r="Y1160" s="19"/>
      <c r="Z1160" s="19"/>
    </row>
    <row r="1161" spans="1:26">
      <c r="A1161" s="19" t="s">
        <v>2174</v>
      </c>
      <c r="B1161" s="197">
        <v>46220</v>
      </c>
      <c r="C1161" s="19"/>
      <c r="D1161" s="184" t="s">
        <v>48</v>
      </c>
      <c r="E1161" s="184" t="s">
        <v>609</v>
      </c>
      <c r="F1161" s="184" t="s">
        <v>2700</v>
      </c>
      <c r="G1161" s="184" t="s">
        <v>51</v>
      </c>
      <c r="H1161" s="192" t="s">
        <v>306</v>
      </c>
      <c r="I1161" s="191" t="s">
        <v>2876</v>
      </c>
      <c r="J1161" s="191" t="s">
        <v>330</v>
      </c>
      <c r="K1161" s="41" t="s">
        <v>2877</v>
      </c>
      <c r="L1161" s="24" t="s">
        <v>104</v>
      </c>
      <c r="M1161" s="19"/>
      <c r="N1161" s="19"/>
      <c r="O1161" s="19" t="s">
        <v>2588</v>
      </c>
      <c r="P1161" s="19" t="s">
        <v>307</v>
      </c>
      <c r="Q1161" s="12" t="s">
        <v>89</v>
      </c>
      <c r="R1161" s="24" t="s">
        <v>2334</v>
      </c>
      <c r="S1161" s="24" t="s">
        <v>65</v>
      </c>
      <c r="T1161" s="19" t="s">
        <v>2334</v>
      </c>
      <c r="U1161" s="19" t="s">
        <v>2334</v>
      </c>
      <c r="V1161" s="19" t="s">
        <v>2334</v>
      </c>
      <c r="W1161" s="19" t="s">
        <v>67</v>
      </c>
      <c r="X1161" s="32">
        <v>46223</v>
      </c>
      <c r="Y1161" s="19"/>
      <c r="Z1161" s="19"/>
    </row>
    <row r="1162" spans="1:26">
      <c r="A1162" s="19" t="s">
        <v>2174</v>
      </c>
      <c r="B1162" s="186"/>
      <c r="C1162" s="19"/>
      <c r="D1162" s="186"/>
      <c r="E1162" s="186"/>
      <c r="F1162" s="186"/>
      <c r="G1162" s="186"/>
      <c r="H1162" s="186"/>
      <c r="I1162" s="186"/>
      <c r="J1162" s="186"/>
      <c r="K1162" s="41" t="s">
        <v>2878</v>
      </c>
      <c r="L1162" s="24" t="s">
        <v>104</v>
      </c>
      <c r="M1162" s="19"/>
      <c r="N1162" s="19"/>
      <c r="O1162" s="19" t="s">
        <v>2588</v>
      </c>
      <c r="P1162" s="19" t="s">
        <v>307</v>
      </c>
      <c r="Q1162" s="12" t="s">
        <v>89</v>
      </c>
      <c r="R1162" s="24" t="s">
        <v>2334</v>
      </c>
      <c r="S1162" s="24" t="s">
        <v>65</v>
      </c>
      <c r="T1162" s="19" t="s">
        <v>2334</v>
      </c>
      <c r="U1162" s="19" t="s">
        <v>2334</v>
      </c>
      <c r="V1162" s="19" t="s">
        <v>2334</v>
      </c>
      <c r="W1162" s="19" t="s">
        <v>67</v>
      </c>
      <c r="X1162" s="32">
        <v>46227</v>
      </c>
      <c r="Y1162" s="19"/>
      <c r="Z1162" s="19"/>
    </row>
    <row r="1163" spans="1:26">
      <c r="A1163" s="19" t="s">
        <v>2174</v>
      </c>
      <c r="B1163" s="33">
        <v>46220</v>
      </c>
      <c r="C1163" s="19"/>
      <c r="D1163" s="19" t="s">
        <v>59</v>
      </c>
      <c r="E1163" s="19" t="s">
        <v>200</v>
      </c>
      <c r="F1163" s="19" t="s">
        <v>2879</v>
      </c>
      <c r="G1163" s="19" t="s">
        <v>51</v>
      </c>
      <c r="H1163" s="40" t="s">
        <v>2367</v>
      </c>
      <c r="I1163" s="24" t="s">
        <v>806</v>
      </c>
      <c r="J1163" s="117" t="s">
        <v>2880</v>
      </c>
      <c r="K1163" s="24" t="s">
        <v>2881</v>
      </c>
      <c r="L1163" s="24" t="s">
        <v>2882</v>
      </c>
      <c r="M1163" s="19"/>
      <c r="N1163" s="19"/>
      <c r="O1163" s="19" t="s">
        <v>2588</v>
      </c>
      <c r="P1163" s="19" t="s">
        <v>2883</v>
      </c>
      <c r="Q1163" s="12" t="s">
        <v>89</v>
      </c>
      <c r="R1163" s="24" t="s">
        <v>2334</v>
      </c>
      <c r="S1163" s="24" t="s">
        <v>65</v>
      </c>
      <c r="T1163" s="19" t="s">
        <v>2334</v>
      </c>
      <c r="U1163" s="19" t="s">
        <v>2334</v>
      </c>
      <c r="V1163" s="19" t="s">
        <v>2334</v>
      </c>
      <c r="W1163" s="19" t="s">
        <v>67</v>
      </c>
      <c r="X1163" s="32">
        <v>46225</v>
      </c>
      <c r="Y1163" s="12" t="s">
        <v>2400</v>
      </c>
      <c r="Z1163" s="19"/>
    </row>
    <row r="1164" spans="1:26">
      <c r="A1164" s="19" t="s">
        <v>2174</v>
      </c>
      <c r="B1164" s="81">
        <v>46220</v>
      </c>
      <c r="C1164" s="49"/>
      <c r="D1164" s="49" t="s">
        <v>59</v>
      </c>
      <c r="E1164" s="49" t="s">
        <v>1140</v>
      </c>
      <c r="F1164" s="49" t="s">
        <v>2884</v>
      </c>
      <c r="G1164" s="49" t="s">
        <v>51</v>
      </c>
      <c r="H1164" s="82" t="s">
        <v>2885</v>
      </c>
      <c r="I1164" s="83" t="s">
        <v>1770</v>
      </c>
      <c r="J1164" s="118" t="s">
        <v>2323</v>
      </c>
      <c r="K1164" s="83" t="s">
        <v>2886</v>
      </c>
      <c r="L1164" s="83" t="s">
        <v>678</v>
      </c>
      <c r="M1164" s="49"/>
      <c r="N1164" s="49"/>
      <c r="O1164" s="49" t="s">
        <v>2334</v>
      </c>
      <c r="P1164" s="49" t="s">
        <v>2887</v>
      </c>
      <c r="Q1164" s="84" t="s">
        <v>89</v>
      </c>
      <c r="R1164" s="83" t="s">
        <v>2334</v>
      </c>
      <c r="S1164" s="83" t="s">
        <v>65</v>
      </c>
      <c r="T1164" s="49" t="s">
        <v>2334</v>
      </c>
      <c r="U1164" s="49" t="s">
        <v>2334</v>
      </c>
      <c r="V1164" s="49" t="s">
        <v>2334</v>
      </c>
      <c r="W1164" s="19" t="s">
        <v>67</v>
      </c>
      <c r="X1164" s="32">
        <v>46225</v>
      </c>
      <c r="Y1164" s="49"/>
      <c r="Z1164" s="49"/>
    </row>
    <row r="1165" spans="1:26">
      <c r="A1165" s="19" t="s">
        <v>2174</v>
      </c>
      <c r="B1165" s="197">
        <v>46220</v>
      </c>
      <c r="C1165" s="19"/>
      <c r="D1165" s="184" t="s">
        <v>48</v>
      </c>
      <c r="E1165" s="184" t="s">
        <v>609</v>
      </c>
      <c r="F1165" s="184" t="s">
        <v>2363</v>
      </c>
      <c r="G1165" s="184" t="s">
        <v>98</v>
      </c>
      <c r="H1165" s="192" t="s">
        <v>2290</v>
      </c>
      <c r="I1165" s="191" t="s">
        <v>2888</v>
      </c>
      <c r="J1165" s="231" t="s">
        <v>330</v>
      </c>
      <c r="K1165" s="24" t="s">
        <v>2889</v>
      </c>
      <c r="L1165" s="24" t="s">
        <v>104</v>
      </c>
      <c r="M1165" s="19"/>
      <c r="N1165" s="19"/>
      <c r="O1165" s="19" t="s">
        <v>2588</v>
      </c>
      <c r="P1165" s="19" t="s">
        <v>2890</v>
      </c>
      <c r="Q1165" s="12" t="s">
        <v>1441</v>
      </c>
      <c r="R1165" s="24" t="s">
        <v>2334</v>
      </c>
      <c r="S1165" s="24" t="s">
        <v>65</v>
      </c>
      <c r="T1165" s="19" t="s">
        <v>2334</v>
      </c>
      <c r="U1165" s="19" t="s">
        <v>2334</v>
      </c>
      <c r="V1165" s="19" t="s">
        <v>2334</v>
      </c>
      <c r="W1165" s="19" t="s">
        <v>67</v>
      </c>
      <c r="X1165" s="32">
        <v>46223</v>
      </c>
      <c r="Y1165" s="19"/>
      <c r="Z1165" s="19"/>
    </row>
    <row r="1166" spans="1:26">
      <c r="A1166" s="19" t="s">
        <v>2174</v>
      </c>
      <c r="B1166" s="185"/>
      <c r="C1166" s="19"/>
      <c r="D1166" s="185"/>
      <c r="E1166" s="185"/>
      <c r="F1166" s="185"/>
      <c r="G1166" s="185"/>
      <c r="H1166" s="185"/>
      <c r="I1166" s="185"/>
      <c r="J1166" s="185"/>
      <c r="K1166" s="24" t="s">
        <v>2891</v>
      </c>
      <c r="L1166" s="24" t="s">
        <v>104</v>
      </c>
      <c r="M1166" s="19"/>
      <c r="N1166" s="19"/>
      <c r="O1166" s="19" t="s">
        <v>2588</v>
      </c>
      <c r="P1166" s="19" t="s">
        <v>83</v>
      </c>
      <c r="Q1166" s="12" t="s">
        <v>1441</v>
      </c>
      <c r="R1166" s="24" t="s">
        <v>2334</v>
      </c>
      <c r="S1166" s="24" t="s">
        <v>65</v>
      </c>
      <c r="T1166" s="19" t="s">
        <v>2334</v>
      </c>
      <c r="U1166" s="19" t="s">
        <v>2334</v>
      </c>
      <c r="V1166" s="19" t="s">
        <v>2591</v>
      </c>
      <c r="W1166" s="19" t="s">
        <v>67</v>
      </c>
      <c r="X1166" s="32">
        <v>46223</v>
      </c>
      <c r="Y1166" s="19"/>
      <c r="Z1166" s="19"/>
    </row>
    <row r="1167" spans="1:26">
      <c r="A1167" s="19" t="s">
        <v>2174</v>
      </c>
      <c r="B1167" s="186"/>
      <c r="C1167" s="19"/>
      <c r="D1167" s="186"/>
      <c r="E1167" s="186"/>
      <c r="F1167" s="186"/>
      <c r="G1167" s="186"/>
      <c r="H1167" s="186"/>
      <c r="I1167" s="186"/>
      <c r="J1167" s="186"/>
      <c r="K1167" s="41" t="s">
        <v>2892</v>
      </c>
      <c r="L1167" s="24" t="s">
        <v>104</v>
      </c>
      <c r="M1167" s="19"/>
      <c r="N1167" s="19"/>
      <c r="O1167" s="19" t="s">
        <v>2588</v>
      </c>
      <c r="P1167" s="19" t="s">
        <v>2890</v>
      </c>
      <c r="Q1167" s="12" t="s">
        <v>1441</v>
      </c>
      <c r="R1167" s="24" t="s">
        <v>2334</v>
      </c>
      <c r="S1167" s="24" t="s">
        <v>65</v>
      </c>
      <c r="T1167" s="19" t="s">
        <v>2334</v>
      </c>
      <c r="U1167" s="19" t="s">
        <v>2334</v>
      </c>
      <c r="V1167" s="19" t="s">
        <v>2334</v>
      </c>
      <c r="W1167" s="19" t="s">
        <v>67</v>
      </c>
      <c r="X1167" s="32">
        <v>46223</v>
      </c>
      <c r="Y1167" s="19"/>
      <c r="Z1167" s="19"/>
    </row>
    <row r="1168" spans="1:26">
      <c r="A1168" s="19" t="s">
        <v>2174</v>
      </c>
      <c r="B1168" s="197">
        <v>46221</v>
      </c>
      <c r="C1168" s="19"/>
      <c r="D1168" s="184" t="s">
        <v>59</v>
      </c>
      <c r="E1168" s="184" t="s">
        <v>2893</v>
      </c>
      <c r="F1168" s="184" t="s">
        <v>160</v>
      </c>
      <c r="G1168" s="184" t="s">
        <v>51</v>
      </c>
      <c r="H1168" s="192" t="s">
        <v>161</v>
      </c>
      <c r="I1168" s="191" t="s">
        <v>2894</v>
      </c>
      <c r="J1168" s="191" t="s">
        <v>365</v>
      </c>
      <c r="K1168" s="24" t="s">
        <v>2895</v>
      </c>
      <c r="L1168" s="24" t="s">
        <v>246</v>
      </c>
      <c r="M1168" s="19"/>
      <c r="N1168" s="19"/>
      <c r="O1168" s="19" t="s">
        <v>2588</v>
      </c>
      <c r="P1168" s="19" t="s">
        <v>166</v>
      </c>
      <c r="Q1168" s="12" t="s">
        <v>1441</v>
      </c>
      <c r="R1168" s="24" t="s">
        <v>2334</v>
      </c>
      <c r="S1168" s="24" t="s">
        <v>65</v>
      </c>
      <c r="T1168" s="19" t="s">
        <v>2334</v>
      </c>
      <c r="U1168" s="19" t="s">
        <v>2334</v>
      </c>
      <c r="V1168" s="19" t="s">
        <v>2591</v>
      </c>
      <c r="W1168" s="19" t="s">
        <v>67</v>
      </c>
      <c r="X1168" s="32">
        <v>46227</v>
      </c>
      <c r="Y1168" s="19"/>
      <c r="Z1168" s="43" t="s">
        <v>2896</v>
      </c>
    </row>
    <row r="1169" spans="1:26">
      <c r="A1169" s="19" t="s">
        <v>2174</v>
      </c>
      <c r="B1169" s="186"/>
      <c r="C1169" s="19"/>
      <c r="D1169" s="186"/>
      <c r="E1169" s="186"/>
      <c r="F1169" s="186"/>
      <c r="G1169" s="186"/>
      <c r="H1169" s="186"/>
      <c r="I1169" s="186"/>
      <c r="J1169" s="186"/>
      <c r="K1169" s="24" t="s">
        <v>2897</v>
      </c>
      <c r="L1169" s="24" t="s">
        <v>182</v>
      </c>
      <c r="M1169" s="19"/>
      <c r="N1169" s="19"/>
      <c r="O1169" s="19" t="s">
        <v>2588</v>
      </c>
      <c r="P1169" s="19" t="s">
        <v>166</v>
      </c>
      <c r="Q1169" s="12" t="s">
        <v>1441</v>
      </c>
      <c r="R1169" s="24" t="s">
        <v>2334</v>
      </c>
      <c r="S1169" s="24" t="s">
        <v>65</v>
      </c>
      <c r="T1169" s="19" t="s">
        <v>2334</v>
      </c>
      <c r="U1169" s="19" t="s">
        <v>2334</v>
      </c>
      <c r="V1169" s="19" t="s">
        <v>2334</v>
      </c>
      <c r="W1169" s="19" t="s">
        <v>67</v>
      </c>
      <c r="X1169" s="32">
        <v>46227</v>
      </c>
      <c r="Y1169" s="12" t="s">
        <v>2425</v>
      </c>
      <c r="Z1169" s="19"/>
    </row>
    <row r="1170" spans="1:26">
      <c r="A1170" s="19" t="s">
        <v>2174</v>
      </c>
      <c r="B1170" s="81">
        <v>46221</v>
      </c>
      <c r="C1170" s="49"/>
      <c r="D1170" s="49" t="s">
        <v>48</v>
      </c>
      <c r="E1170" s="49" t="s">
        <v>450</v>
      </c>
      <c r="F1170" s="49" t="s">
        <v>2898</v>
      </c>
      <c r="G1170" s="49" t="s">
        <v>51</v>
      </c>
      <c r="H1170" s="82" t="s">
        <v>2899</v>
      </c>
      <c r="I1170" s="83" t="s">
        <v>2900</v>
      </c>
      <c r="J1170" s="83" t="s">
        <v>2901</v>
      </c>
      <c r="K1170" s="83" t="s">
        <v>2902</v>
      </c>
      <c r="L1170" s="83" t="s">
        <v>2804</v>
      </c>
      <c r="M1170" s="49"/>
      <c r="N1170" s="49"/>
      <c r="O1170" s="49" t="s">
        <v>2588</v>
      </c>
      <c r="P1170" s="49" t="s">
        <v>2903</v>
      </c>
      <c r="Q1170" s="84" t="s">
        <v>1441</v>
      </c>
      <c r="R1170" s="83" t="s">
        <v>2334</v>
      </c>
      <c r="S1170" s="83" t="s">
        <v>65</v>
      </c>
      <c r="T1170" s="49" t="s">
        <v>2334</v>
      </c>
      <c r="U1170" s="49" t="s">
        <v>2334</v>
      </c>
      <c r="V1170" s="49" t="s">
        <v>2334</v>
      </c>
      <c r="W1170" s="49" t="s">
        <v>67</v>
      </c>
      <c r="X1170" s="81">
        <v>46228</v>
      </c>
      <c r="Y1170" s="49"/>
      <c r="Z1170" s="49"/>
    </row>
    <row r="1171" spans="1:26">
      <c r="A1171" s="19" t="s">
        <v>2174</v>
      </c>
      <c r="B1171" s="197">
        <v>46221</v>
      </c>
      <c r="C1171" s="19"/>
      <c r="D1171" s="184" t="s">
        <v>59</v>
      </c>
      <c r="E1171" s="184" t="s">
        <v>2904</v>
      </c>
      <c r="F1171" s="184" t="s">
        <v>285</v>
      </c>
      <c r="G1171" s="184" t="s">
        <v>127</v>
      </c>
      <c r="H1171" s="192" t="s">
        <v>288</v>
      </c>
      <c r="I1171" s="191" t="s">
        <v>2905</v>
      </c>
      <c r="J1171" s="191" t="s">
        <v>2906</v>
      </c>
      <c r="K1171" s="24" t="s">
        <v>2907</v>
      </c>
      <c r="L1171" s="24" t="s">
        <v>2908</v>
      </c>
      <c r="M1171" s="19"/>
      <c r="N1171" s="19"/>
      <c r="O1171" s="19" t="s">
        <v>2588</v>
      </c>
      <c r="P1171" s="19" t="s">
        <v>290</v>
      </c>
      <c r="Q1171" s="12" t="s">
        <v>89</v>
      </c>
      <c r="R1171" s="24" t="s">
        <v>2334</v>
      </c>
      <c r="S1171" s="24" t="s">
        <v>65</v>
      </c>
      <c r="T1171" s="19" t="s">
        <v>2334</v>
      </c>
      <c r="U1171" s="19" t="s">
        <v>2334</v>
      </c>
      <c r="V1171" s="19" t="s">
        <v>2334</v>
      </c>
      <c r="W1171" s="19" t="s">
        <v>67</v>
      </c>
      <c r="X1171" s="32">
        <v>46226</v>
      </c>
      <c r="Y1171" s="19"/>
      <c r="Z1171" s="19"/>
    </row>
    <row r="1172" spans="1:26">
      <c r="A1172" s="19" t="s">
        <v>2174</v>
      </c>
      <c r="B1172" s="186"/>
      <c r="C1172" s="19"/>
      <c r="D1172" s="186"/>
      <c r="E1172" s="186"/>
      <c r="F1172" s="186"/>
      <c r="G1172" s="186"/>
      <c r="H1172" s="186"/>
      <c r="I1172" s="186"/>
      <c r="J1172" s="186"/>
      <c r="K1172" s="24" t="s">
        <v>2909</v>
      </c>
      <c r="L1172" s="24" t="s">
        <v>2910</v>
      </c>
      <c r="M1172" s="19"/>
      <c r="N1172" s="19"/>
      <c r="O1172" s="19" t="s">
        <v>2588</v>
      </c>
      <c r="P1172" s="19" t="s">
        <v>290</v>
      </c>
      <c r="Q1172" s="12" t="s">
        <v>89</v>
      </c>
      <c r="R1172" s="24" t="s">
        <v>2334</v>
      </c>
      <c r="S1172" s="24" t="s">
        <v>65</v>
      </c>
      <c r="T1172" s="19" t="s">
        <v>2334</v>
      </c>
      <c r="U1172" s="19" t="s">
        <v>2334</v>
      </c>
      <c r="V1172" s="19" t="s">
        <v>2334</v>
      </c>
      <c r="W1172" s="19" t="s">
        <v>67</v>
      </c>
      <c r="X1172" s="32">
        <v>46226</v>
      </c>
      <c r="Y1172" s="19"/>
      <c r="Z1172" s="19"/>
    </row>
    <row r="1173" spans="1:26">
      <c r="A1173" s="19" t="s">
        <v>2174</v>
      </c>
      <c r="B1173" s="197">
        <v>46221</v>
      </c>
      <c r="C1173" s="184"/>
      <c r="D1173" s="184" t="s">
        <v>59</v>
      </c>
      <c r="E1173" s="184" t="s">
        <v>373</v>
      </c>
      <c r="F1173" s="184" t="s">
        <v>2911</v>
      </c>
      <c r="G1173" s="184" t="s">
        <v>98</v>
      </c>
      <c r="H1173" s="184" t="s">
        <v>2596</v>
      </c>
      <c r="I1173" s="193" t="s">
        <v>374</v>
      </c>
      <c r="J1173" s="181" t="s">
        <v>375</v>
      </c>
      <c r="K1173" s="24" t="s">
        <v>2912</v>
      </c>
      <c r="L1173" s="24" t="s">
        <v>403</v>
      </c>
      <c r="M1173" s="19"/>
      <c r="N1173" s="19"/>
      <c r="O1173" s="19" t="s">
        <v>2588</v>
      </c>
      <c r="P1173" s="19" t="s">
        <v>107</v>
      </c>
      <c r="Q1173" s="12" t="s">
        <v>1441</v>
      </c>
      <c r="R1173" s="24" t="s">
        <v>2334</v>
      </c>
      <c r="S1173" s="24" t="s">
        <v>65</v>
      </c>
      <c r="T1173" s="19" t="s">
        <v>2334</v>
      </c>
      <c r="U1173" s="19" t="s">
        <v>2334</v>
      </c>
      <c r="V1173" s="19" t="s">
        <v>2334</v>
      </c>
      <c r="W1173" s="19" t="s">
        <v>67</v>
      </c>
      <c r="X1173" s="32">
        <v>46225</v>
      </c>
      <c r="Y1173" s="19"/>
      <c r="Z1173" s="19"/>
    </row>
    <row r="1174" spans="1:26">
      <c r="A1174" s="19" t="s">
        <v>2174</v>
      </c>
      <c r="B1174" s="185"/>
      <c r="C1174" s="185"/>
      <c r="D1174" s="185"/>
      <c r="E1174" s="185"/>
      <c r="F1174" s="185"/>
      <c r="G1174" s="185"/>
      <c r="H1174" s="185"/>
      <c r="I1174" s="185"/>
      <c r="J1174" s="182"/>
      <c r="K1174" s="24" t="s">
        <v>2913</v>
      </c>
      <c r="L1174" s="24" t="s">
        <v>330</v>
      </c>
      <c r="M1174" s="19"/>
      <c r="N1174" s="19"/>
      <c r="O1174" s="19" t="s">
        <v>2588</v>
      </c>
      <c r="P1174" s="19" t="s">
        <v>107</v>
      </c>
      <c r="Q1174" s="12" t="s">
        <v>1441</v>
      </c>
      <c r="R1174" s="24" t="s">
        <v>2334</v>
      </c>
      <c r="S1174" s="24" t="s">
        <v>65</v>
      </c>
      <c r="T1174" s="19" t="s">
        <v>2334</v>
      </c>
      <c r="U1174" s="19" t="s">
        <v>2334</v>
      </c>
      <c r="V1174" s="19" t="s">
        <v>2334</v>
      </c>
      <c r="W1174" s="19" t="s">
        <v>67</v>
      </c>
      <c r="X1174" s="32">
        <v>46225</v>
      </c>
      <c r="Y1174" s="19"/>
      <c r="Z1174" s="19"/>
    </row>
    <row r="1175" spans="1:26">
      <c r="A1175" s="19" t="s">
        <v>2174</v>
      </c>
      <c r="B1175" s="185"/>
      <c r="C1175" s="185"/>
      <c r="D1175" s="185"/>
      <c r="E1175" s="185"/>
      <c r="F1175" s="185"/>
      <c r="G1175" s="185"/>
      <c r="H1175" s="185"/>
      <c r="I1175" s="185"/>
      <c r="J1175" s="182"/>
      <c r="K1175" s="24" t="s">
        <v>2914</v>
      </c>
      <c r="L1175" s="24" t="s">
        <v>110</v>
      </c>
      <c r="M1175" s="19"/>
      <c r="N1175" s="19"/>
      <c r="O1175" s="19" t="s">
        <v>2588</v>
      </c>
      <c r="P1175" s="19" t="s">
        <v>107</v>
      </c>
      <c r="Q1175" s="12" t="s">
        <v>1441</v>
      </c>
      <c r="R1175" s="24" t="s">
        <v>2334</v>
      </c>
      <c r="S1175" s="24" t="s">
        <v>65</v>
      </c>
      <c r="T1175" s="19" t="s">
        <v>2334</v>
      </c>
      <c r="U1175" s="19" t="s">
        <v>2334</v>
      </c>
      <c r="V1175" s="19" t="s">
        <v>2334</v>
      </c>
      <c r="W1175" s="19" t="s">
        <v>67</v>
      </c>
      <c r="X1175" s="32">
        <v>46225</v>
      </c>
      <c r="Y1175" s="12" t="s">
        <v>2394</v>
      </c>
      <c r="Z1175" s="12"/>
    </row>
    <row r="1176" spans="1:26">
      <c r="A1176" s="19" t="s">
        <v>2174</v>
      </c>
      <c r="B1176" s="186"/>
      <c r="C1176" s="186"/>
      <c r="D1176" s="186"/>
      <c r="E1176" s="186"/>
      <c r="F1176" s="186"/>
      <c r="G1176" s="186"/>
      <c r="H1176" s="186"/>
      <c r="I1176" s="186"/>
      <c r="J1176" s="183"/>
      <c r="K1176" s="24" t="s">
        <v>2915</v>
      </c>
      <c r="L1176" s="24" t="s">
        <v>110</v>
      </c>
      <c r="M1176" s="19"/>
      <c r="N1176" s="19"/>
      <c r="O1176" s="19" t="s">
        <v>2588</v>
      </c>
      <c r="P1176" s="19" t="s">
        <v>107</v>
      </c>
      <c r="Q1176" s="12" t="s">
        <v>1441</v>
      </c>
      <c r="R1176" s="24" t="s">
        <v>2334</v>
      </c>
      <c r="S1176" s="24" t="s">
        <v>65</v>
      </c>
      <c r="T1176" s="19" t="s">
        <v>2334</v>
      </c>
      <c r="U1176" s="19" t="s">
        <v>2334</v>
      </c>
      <c r="V1176" s="19" t="s">
        <v>2334</v>
      </c>
      <c r="W1176" s="19" t="s">
        <v>67</v>
      </c>
      <c r="X1176" s="32">
        <v>46225</v>
      </c>
      <c r="Y1176" s="19"/>
      <c r="Z1176" s="19"/>
    </row>
    <row r="1177" spans="1:26">
      <c r="A1177" s="19" t="s">
        <v>2174</v>
      </c>
      <c r="B1177" s="33">
        <v>46221</v>
      </c>
      <c r="C1177" s="19"/>
      <c r="D1177" s="19" t="s">
        <v>59</v>
      </c>
      <c r="E1177" s="19" t="s">
        <v>2335</v>
      </c>
      <c r="F1177" s="19" t="s">
        <v>2916</v>
      </c>
      <c r="G1177" s="19" t="s">
        <v>54</v>
      </c>
      <c r="H1177" s="40" t="s">
        <v>2290</v>
      </c>
      <c r="I1177" s="24" t="s">
        <v>2917</v>
      </c>
      <c r="J1177" s="24" t="s">
        <v>2918</v>
      </c>
      <c r="K1177" s="24" t="s">
        <v>2919</v>
      </c>
      <c r="L1177" s="24" t="s">
        <v>246</v>
      </c>
      <c r="M1177" s="19"/>
      <c r="N1177" s="19"/>
      <c r="O1177" s="19" t="s">
        <v>2588</v>
      </c>
      <c r="P1177" s="19" t="s">
        <v>2920</v>
      </c>
      <c r="Q1177" s="12" t="s">
        <v>1441</v>
      </c>
      <c r="R1177" s="24" t="s">
        <v>2334</v>
      </c>
      <c r="S1177" s="24" t="s">
        <v>65</v>
      </c>
      <c r="T1177" s="19" t="s">
        <v>2334</v>
      </c>
      <c r="U1177" s="19" t="s">
        <v>2334</v>
      </c>
      <c r="V1177" s="19" t="s">
        <v>2334</v>
      </c>
      <c r="W1177" s="19" t="s">
        <v>67</v>
      </c>
      <c r="X1177" s="32">
        <v>46225</v>
      </c>
      <c r="Y1177" s="19"/>
      <c r="Z1177" s="43" t="s">
        <v>2921</v>
      </c>
    </row>
    <row r="1178" spans="1:26">
      <c r="A1178" s="19" t="s">
        <v>2174</v>
      </c>
      <c r="B1178" s="224">
        <v>46222</v>
      </c>
      <c r="C1178" s="49"/>
      <c r="D1178" s="221" t="s">
        <v>59</v>
      </c>
      <c r="E1178" s="221" t="s">
        <v>1159</v>
      </c>
      <c r="F1178" s="221" t="s">
        <v>142</v>
      </c>
      <c r="G1178" s="221" t="s">
        <v>127</v>
      </c>
      <c r="H1178" s="222" t="s">
        <v>2922</v>
      </c>
      <c r="I1178" s="220" t="s">
        <v>2655</v>
      </c>
      <c r="J1178" s="220" t="s">
        <v>1160</v>
      </c>
      <c r="K1178" s="83" t="s">
        <v>2923</v>
      </c>
      <c r="L1178" s="83" t="s">
        <v>2924</v>
      </c>
      <c r="M1178" s="49"/>
      <c r="N1178" s="49"/>
      <c r="O1178" s="49" t="s">
        <v>2588</v>
      </c>
      <c r="P1178" s="49" t="s">
        <v>2822</v>
      </c>
      <c r="Q1178" s="84" t="s">
        <v>89</v>
      </c>
      <c r="R1178" s="83" t="s">
        <v>2334</v>
      </c>
      <c r="S1178" s="83" t="s">
        <v>65</v>
      </c>
      <c r="T1178" s="49" t="s">
        <v>2334</v>
      </c>
      <c r="U1178" s="49" t="s">
        <v>2334</v>
      </c>
      <c r="V1178" s="49" t="s">
        <v>2334</v>
      </c>
      <c r="W1178" s="19" t="s">
        <v>67</v>
      </c>
      <c r="X1178" s="32">
        <v>46226</v>
      </c>
      <c r="Y1178" s="49"/>
      <c r="Z1178" s="119" t="s">
        <v>2925</v>
      </c>
    </row>
    <row r="1179" spans="1:26">
      <c r="A1179" s="19" t="s">
        <v>2174</v>
      </c>
      <c r="B1179" s="186"/>
      <c r="C1179" s="49"/>
      <c r="D1179" s="186"/>
      <c r="E1179" s="186"/>
      <c r="F1179" s="186"/>
      <c r="G1179" s="186"/>
      <c r="H1179" s="186"/>
      <c r="I1179" s="186"/>
      <c r="J1179" s="186"/>
      <c r="K1179" s="83" t="s">
        <v>2926</v>
      </c>
      <c r="L1179" s="83" t="s">
        <v>182</v>
      </c>
      <c r="M1179" s="49"/>
      <c r="N1179" s="49"/>
      <c r="O1179" s="49" t="s">
        <v>2588</v>
      </c>
      <c r="P1179" s="49" t="s">
        <v>2822</v>
      </c>
      <c r="Q1179" s="84" t="s">
        <v>89</v>
      </c>
      <c r="R1179" s="83" t="s">
        <v>2334</v>
      </c>
      <c r="S1179" s="83" t="s">
        <v>65</v>
      </c>
      <c r="T1179" s="49" t="s">
        <v>2334</v>
      </c>
      <c r="U1179" s="49" t="s">
        <v>2334</v>
      </c>
      <c r="V1179" s="49" t="s">
        <v>2334</v>
      </c>
      <c r="W1179" s="19" t="s">
        <v>67</v>
      </c>
      <c r="X1179" s="32">
        <v>46226</v>
      </c>
      <c r="Y1179" s="49"/>
      <c r="Z1179" s="41" t="s">
        <v>2927</v>
      </c>
    </row>
    <row r="1180" spans="1:26">
      <c r="A1180" s="19" t="s">
        <v>2174</v>
      </c>
      <c r="B1180" s="81">
        <v>46223</v>
      </c>
      <c r="C1180" s="82" t="s">
        <v>2928</v>
      </c>
      <c r="D1180" s="49" t="s">
        <v>59</v>
      </c>
      <c r="E1180" s="49" t="s">
        <v>2242</v>
      </c>
      <c r="F1180" s="49" t="s">
        <v>2929</v>
      </c>
      <c r="G1180" s="49" t="s">
        <v>51</v>
      </c>
      <c r="H1180" s="82" t="s">
        <v>2930</v>
      </c>
      <c r="I1180" s="83" t="s">
        <v>777</v>
      </c>
      <c r="J1180" s="83" t="s">
        <v>28</v>
      </c>
      <c r="K1180" s="83" t="s">
        <v>673</v>
      </c>
      <c r="L1180" s="83" t="s">
        <v>110</v>
      </c>
      <c r="M1180" s="49">
        <v>209</v>
      </c>
      <c r="N1180" s="49"/>
      <c r="O1180" s="49" t="s">
        <v>2588</v>
      </c>
      <c r="P1180" s="49" t="s">
        <v>2931</v>
      </c>
      <c r="Q1180" s="84" t="s">
        <v>89</v>
      </c>
      <c r="R1180" s="83" t="s">
        <v>2334</v>
      </c>
      <c r="S1180" s="83" t="s">
        <v>65</v>
      </c>
      <c r="T1180" s="49" t="s">
        <v>2334</v>
      </c>
      <c r="U1180" s="49" t="s">
        <v>2334</v>
      </c>
      <c r="V1180" s="49" t="s">
        <v>2334</v>
      </c>
      <c r="W1180" s="19" t="s">
        <v>67</v>
      </c>
      <c r="X1180" s="32">
        <v>46227</v>
      </c>
      <c r="Y1180" s="49"/>
      <c r="Z1180" s="84" t="s">
        <v>2932</v>
      </c>
    </row>
    <row r="1181" spans="1:26">
      <c r="A1181" s="19" t="s">
        <v>2174</v>
      </c>
      <c r="B1181" s="33">
        <v>46223</v>
      </c>
      <c r="C1181" s="40" t="s">
        <v>2933</v>
      </c>
      <c r="D1181" s="19" t="s">
        <v>59</v>
      </c>
      <c r="E1181" s="19" t="s">
        <v>308</v>
      </c>
      <c r="F1181" s="19" t="s">
        <v>2175</v>
      </c>
      <c r="G1181" s="19" t="s">
        <v>51</v>
      </c>
      <c r="H1181" s="40" t="s">
        <v>194</v>
      </c>
      <c r="I1181" s="24" t="s">
        <v>1072</v>
      </c>
      <c r="J1181" s="24" t="s">
        <v>60</v>
      </c>
      <c r="K1181" s="24" t="s">
        <v>2934</v>
      </c>
      <c r="L1181" s="24" t="s">
        <v>130</v>
      </c>
      <c r="M1181" s="19"/>
      <c r="N1181" s="19"/>
      <c r="O1181" s="19" t="s">
        <v>2588</v>
      </c>
      <c r="P1181" s="19" t="s">
        <v>196</v>
      </c>
      <c r="Q1181" s="12" t="s">
        <v>89</v>
      </c>
      <c r="R1181" s="24" t="s">
        <v>2334</v>
      </c>
      <c r="S1181" s="24" t="s">
        <v>65</v>
      </c>
      <c r="T1181" s="19" t="s">
        <v>2334</v>
      </c>
      <c r="U1181" s="19" t="s">
        <v>2334</v>
      </c>
      <c r="V1181" s="19" t="s">
        <v>2334</v>
      </c>
      <c r="W1181" s="19" t="s">
        <v>67</v>
      </c>
      <c r="X1181" s="32">
        <v>46225</v>
      </c>
      <c r="Y1181" s="19"/>
      <c r="Z1181" s="19"/>
    </row>
    <row r="1182" spans="1:26">
      <c r="A1182" s="19" t="s">
        <v>2174</v>
      </c>
      <c r="B1182" s="81">
        <v>46223</v>
      </c>
      <c r="C1182" s="82" t="s">
        <v>2935</v>
      </c>
      <c r="D1182" s="49" t="s">
        <v>59</v>
      </c>
      <c r="E1182" s="49" t="s">
        <v>1159</v>
      </c>
      <c r="F1182" s="49" t="s">
        <v>2936</v>
      </c>
      <c r="G1182" s="49" t="s">
        <v>51</v>
      </c>
      <c r="H1182" s="82" t="s">
        <v>2937</v>
      </c>
      <c r="I1182" s="83" t="s">
        <v>2938</v>
      </c>
      <c r="J1182" s="83" t="s">
        <v>144</v>
      </c>
      <c r="K1182" s="83" t="s">
        <v>2939</v>
      </c>
      <c r="L1182" s="83" t="s">
        <v>110</v>
      </c>
      <c r="M1182" s="49"/>
      <c r="N1182" s="49"/>
      <c r="O1182" s="49" t="s">
        <v>2588</v>
      </c>
      <c r="P1182" s="49" t="s">
        <v>2940</v>
      </c>
      <c r="Q1182" s="84" t="s">
        <v>89</v>
      </c>
      <c r="R1182" s="83" t="s">
        <v>2334</v>
      </c>
      <c r="S1182" s="83" t="s">
        <v>65</v>
      </c>
      <c r="T1182" s="49" t="s">
        <v>2334</v>
      </c>
      <c r="U1182" s="49" t="s">
        <v>2334</v>
      </c>
      <c r="V1182" s="49" t="s">
        <v>2334</v>
      </c>
      <c r="W1182" s="19" t="s">
        <v>67</v>
      </c>
      <c r="X1182" s="32">
        <v>46230</v>
      </c>
      <c r="Y1182" s="84" t="s">
        <v>2941</v>
      </c>
      <c r="Z1182" s="49"/>
    </row>
    <row r="1183" spans="1:26">
      <c r="A1183" s="19" t="s">
        <v>2174</v>
      </c>
      <c r="B1183" s="33">
        <v>46223</v>
      </c>
      <c r="C1183" s="19"/>
      <c r="D1183" s="19" t="s">
        <v>59</v>
      </c>
      <c r="E1183" s="19" t="s">
        <v>1875</v>
      </c>
      <c r="F1183" s="19" t="s">
        <v>219</v>
      </c>
      <c r="G1183" s="19" t="s">
        <v>127</v>
      </c>
      <c r="H1183" s="40" t="s">
        <v>221</v>
      </c>
      <c r="I1183" s="24" t="s">
        <v>1875</v>
      </c>
      <c r="J1183" s="24" t="s">
        <v>28</v>
      </c>
      <c r="K1183" s="24" t="s">
        <v>229</v>
      </c>
      <c r="L1183" s="24" t="s">
        <v>130</v>
      </c>
      <c r="M1183" s="19"/>
      <c r="N1183" s="19"/>
      <c r="O1183" s="19" t="s">
        <v>2588</v>
      </c>
      <c r="P1183" s="19" t="s">
        <v>573</v>
      </c>
      <c r="Q1183" s="12" t="s">
        <v>1441</v>
      </c>
      <c r="R1183" s="24" t="s">
        <v>2334</v>
      </c>
      <c r="S1183" s="24" t="s">
        <v>65</v>
      </c>
      <c r="T1183" s="19" t="s">
        <v>2334</v>
      </c>
      <c r="U1183" s="19" t="s">
        <v>2334</v>
      </c>
      <c r="V1183" s="19" t="s">
        <v>2334</v>
      </c>
      <c r="W1183" s="19" t="s">
        <v>67</v>
      </c>
      <c r="X1183" s="32">
        <v>46226</v>
      </c>
      <c r="Y1183" s="19"/>
      <c r="Z1183" s="19"/>
    </row>
    <row r="1184" spans="1:26">
      <c r="A1184" s="19" t="s">
        <v>2174</v>
      </c>
      <c r="B1184" s="81">
        <v>46223</v>
      </c>
      <c r="C1184" s="115" t="s">
        <v>2942</v>
      </c>
      <c r="D1184" s="49" t="s">
        <v>59</v>
      </c>
      <c r="E1184" s="49" t="s">
        <v>1716</v>
      </c>
      <c r="F1184" s="49" t="s">
        <v>716</v>
      </c>
      <c r="G1184" s="49" t="s">
        <v>98</v>
      </c>
      <c r="H1184" s="82" t="s">
        <v>2227</v>
      </c>
      <c r="I1184" s="83" t="s">
        <v>2943</v>
      </c>
      <c r="J1184" s="83" t="s">
        <v>2944</v>
      </c>
      <c r="K1184" s="83" t="s">
        <v>962</v>
      </c>
      <c r="L1184" s="83" t="s">
        <v>962</v>
      </c>
      <c r="M1184" s="49"/>
      <c r="N1184" s="49"/>
      <c r="O1184" s="49" t="s">
        <v>2588</v>
      </c>
      <c r="P1184" s="49" t="s">
        <v>593</v>
      </c>
      <c r="Q1184" s="84" t="s">
        <v>1441</v>
      </c>
      <c r="R1184" s="83" t="s">
        <v>2334</v>
      </c>
      <c r="S1184" s="83" t="s">
        <v>65</v>
      </c>
      <c r="T1184" s="49" t="s">
        <v>2334</v>
      </c>
      <c r="U1184" s="49" t="s">
        <v>2334</v>
      </c>
      <c r="V1184" s="49" t="s">
        <v>2334</v>
      </c>
      <c r="W1184" s="19" t="s">
        <v>67</v>
      </c>
      <c r="X1184" s="32">
        <v>46225</v>
      </c>
      <c r="Y1184" s="49"/>
      <c r="Z1184" s="49"/>
    </row>
    <row r="1185" spans="1:26">
      <c r="A1185" s="19" t="s">
        <v>2174</v>
      </c>
      <c r="B1185" s="33">
        <v>46223</v>
      </c>
      <c r="C1185" s="40" t="s">
        <v>2945</v>
      </c>
      <c r="D1185" s="19" t="s">
        <v>59</v>
      </c>
      <c r="E1185" s="19" t="s">
        <v>308</v>
      </c>
      <c r="F1185" s="19" t="s">
        <v>2946</v>
      </c>
      <c r="G1185" s="19" t="s">
        <v>186</v>
      </c>
      <c r="H1185" s="40" t="s">
        <v>2947</v>
      </c>
      <c r="I1185" s="24" t="s">
        <v>2948</v>
      </c>
      <c r="J1185" s="24" t="s">
        <v>60</v>
      </c>
      <c r="K1185" s="24" t="s">
        <v>2949</v>
      </c>
      <c r="L1185" s="24" t="s">
        <v>234</v>
      </c>
      <c r="M1185" s="19"/>
      <c r="N1185" s="19"/>
      <c r="O1185" s="19" t="s">
        <v>2588</v>
      </c>
      <c r="P1185" s="19" t="s">
        <v>2950</v>
      </c>
      <c r="Q1185" s="12" t="s">
        <v>1441</v>
      </c>
      <c r="R1185" s="24" t="s">
        <v>2334</v>
      </c>
      <c r="S1185" s="24" t="s">
        <v>65</v>
      </c>
      <c r="T1185" s="19" t="s">
        <v>2334</v>
      </c>
      <c r="U1185" s="19" t="s">
        <v>2334</v>
      </c>
      <c r="V1185" s="19" t="s">
        <v>2334</v>
      </c>
      <c r="W1185" s="19" t="s">
        <v>67</v>
      </c>
      <c r="X1185" s="32">
        <v>46225</v>
      </c>
      <c r="Y1185" s="19"/>
      <c r="Z1185" s="19"/>
    </row>
    <row r="1186" spans="1:26">
      <c r="A1186" s="19" t="s">
        <v>2174</v>
      </c>
      <c r="B1186" s="197">
        <v>46223</v>
      </c>
      <c r="C1186" s="19"/>
      <c r="D1186" s="184" t="s">
        <v>59</v>
      </c>
      <c r="E1186" s="184" t="s">
        <v>96</v>
      </c>
      <c r="F1186" s="184" t="s">
        <v>2021</v>
      </c>
      <c r="G1186" s="184" t="s">
        <v>51</v>
      </c>
      <c r="H1186" s="192" t="s">
        <v>2186</v>
      </c>
      <c r="I1186" s="193" t="s">
        <v>100</v>
      </c>
      <c r="J1186" s="181" t="s">
        <v>102</v>
      </c>
      <c r="K1186" s="24" t="s">
        <v>2951</v>
      </c>
      <c r="L1186" s="24" t="s">
        <v>395</v>
      </c>
      <c r="M1186" s="19"/>
      <c r="N1186" s="19"/>
      <c r="O1186" s="19" t="s">
        <v>2588</v>
      </c>
      <c r="P1186" s="19" t="s">
        <v>218</v>
      </c>
      <c r="Q1186" s="12" t="s">
        <v>1441</v>
      </c>
      <c r="R1186" s="24" t="s">
        <v>2334</v>
      </c>
      <c r="S1186" s="24" t="s">
        <v>65</v>
      </c>
      <c r="T1186" s="19" t="s">
        <v>2334</v>
      </c>
      <c r="U1186" s="19" t="s">
        <v>2334</v>
      </c>
      <c r="V1186" s="19" t="s">
        <v>2334</v>
      </c>
      <c r="W1186" s="19" t="s">
        <v>67</v>
      </c>
      <c r="X1186" s="32">
        <v>46227</v>
      </c>
      <c r="Y1186" s="19"/>
      <c r="Z1186" s="19"/>
    </row>
    <row r="1187" spans="1:26">
      <c r="A1187" s="19" t="s">
        <v>2174</v>
      </c>
      <c r="B1187" s="185"/>
      <c r="C1187" s="19"/>
      <c r="D1187" s="185"/>
      <c r="E1187" s="185"/>
      <c r="F1187" s="185"/>
      <c r="G1187" s="185"/>
      <c r="H1187" s="185"/>
      <c r="I1187" s="185"/>
      <c r="J1187" s="182"/>
      <c r="K1187" s="24" t="s">
        <v>2952</v>
      </c>
      <c r="L1187" s="24" t="s">
        <v>945</v>
      </c>
      <c r="M1187" s="19"/>
      <c r="N1187" s="19"/>
      <c r="O1187" s="19" t="s">
        <v>2588</v>
      </c>
      <c r="P1187" s="19" t="s">
        <v>218</v>
      </c>
      <c r="Q1187" s="12" t="s">
        <v>1441</v>
      </c>
      <c r="R1187" s="24" t="s">
        <v>2334</v>
      </c>
      <c r="S1187" s="24" t="s">
        <v>65</v>
      </c>
      <c r="T1187" s="19" t="s">
        <v>2334</v>
      </c>
      <c r="U1187" s="19" t="s">
        <v>2334</v>
      </c>
      <c r="V1187" s="19" t="s">
        <v>2334</v>
      </c>
      <c r="W1187" s="19" t="s">
        <v>67</v>
      </c>
      <c r="X1187" s="32">
        <v>46227</v>
      </c>
      <c r="Y1187" s="19"/>
      <c r="Z1187" s="19"/>
    </row>
    <row r="1188" spans="1:26">
      <c r="A1188" s="19" t="s">
        <v>2174</v>
      </c>
      <c r="B1188" s="186"/>
      <c r="C1188" s="19"/>
      <c r="D1188" s="186"/>
      <c r="E1188" s="186"/>
      <c r="F1188" s="186"/>
      <c r="G1188" s="186"/>
      <c r="H1188" s="186"/>
      <c r="I1188" s="186"/>
      <c r="J1188" s="183"/>
      <c r="K1188" s="24" t="s">
        <v>2953</v>
      </c>
      <c r="L1188" s="24" t="s">
        <v>170</v>
      </c>
      <c r="M1188" s="19"/>
      <c r="N1188" s="19"/>
      <c r="O1188" s="19" t="s">
        <v>2588</v>
      </c>
      <c r="P1188" s="19" t="s">
        <v>218</v>
      </c>
      <c r="Q1188" s="12" t="s">
        <v>1441</v>
      </c>
      <c r="R1188" s="24" t="s">
        <v>2334</v>
      </c>
      <c r="S1188" s="24" t="s">
        <v>65</v>
      </c>
      <c r="T1188" s="19" t="s">
        <v>2334</v>
      </c>
      <c r="U1188" s="19" t="s">
        <v>2334</v>
      </c>
      <c r="V1188" s="19" t="s">
        <v>2334</v>
      </c>
      <c r="W1188" s="19" t="s">
        <v>67</v>
      </c>
      <c r="X1188" s="32">
        <v>46227</v>
      </c>
      <c r="Y1188" s="19"/>
      <c r="Z1188" s="19"/>
    </row>
    <row r="1189" spans="1:26">
      <c r="A1189" s="19" t="s">
        <v>2174</v>
      </c>
      <c r="B1189" s="33">
        <v>46223</v>
      </c>
      <c r="C1189" s="19"/>
      <c r="D1189" s="19" t="s">
        <v>59</v>
      </c>
      <c r="E1189" s="19" t="s">
        <v>1140</v>
      </c>
      <c r="F1189" s="19" t="s">
        <v>255</v>
      </c>
      <c r="G1189" s="19" t="s">
        <v>127</v>
      </c>
      <c r="H1189" s="40" t="s">
        <v>2190</v>
      </c>
      <c r="I1189" s="28" t="s">
        <v>1770</v>
      </c>
      <c r="J1189" s="55" t="s">
        <v>2323</v>
      </c>
      <c r="K1189" s="24" t="s">
        <v>2954</v>
      </c>
      <c r="L1189" s="24" t="s">
        <v>338</v>
      </c>
      <c r="M1189" s="19"/>
      <c r="N1189" s="19"/>
      <c r="O1189" s="19" t="s">
        <v>2588</v>
      </c>
      <c r="P1189" s="19" t="s">
        <v>2955</v>
      </c>
      <c r="Q1189" s="12" t="s">
        <v>1441</v>
      </c>
      <c r="R1189" s="24" t="s">
        <v>2334</v>
      </c>
      <c r="S1189" s="24" t="s">
        <v>65</v>
      </c>
      <c r="T1189" s="19" t="s">
        <v>2334</v>
      </c>
      <c r="U1189" s="19" t="s">
        <v>2334</v>
      </c>
      <c r="V1189" s="19" t="s">
        <v>2334</v>
      </c>
      <c r="W1189" s="19" t="s">
        <v>67</v>
      </c>
      <c r="X1189" s="32">
        <v>46230</v>
      </c>
      <c r="Y1189" s="19"/>
      <c r="Z1189" s="19"/>
    </row>
    <row r="1190" spans="1:26">
      <c r="A1190" s="19" t="s">
        <v>2174</v>
      </c>
      <c r="B1190" s="81">
        <v>46224</v>
      </c>
      <c r="C1190" s="49"/>
      <c r="D1190" s="49" t="s">
        <v>59</v>
      </c>
      <c r="E1190" s="49" t="s">
        <v>236</v>
      </c>
      <c r="F1190" s="49" t="s">
        <v>319</v>
      </c>
      <c r="G1190" s="49" t="s">
        <v>51</v>
      </c>
      <c r="H1190" s="82" t="s">
        <v>75</v>
      </c>
      <c r="I1190" s="75" t="s">
        <v>239</v>
      </c>
      <c r="J1190" s="76" t="s">
        <v>240</v>
      </c>
      <c r="K1190" s="83" t="s">
        <v>2956</v>
      </c>
      <c r="L1190" s="83" t="s">
        <v>151</v>
      </c>
      <c r="M1190" s="49"/>
      <c r="N1190" s="49"/>
      <c r="O1190" s="49" t="s">
        <v>2588</v>
      </c>
      <c r="P1190" s="49" t="s">
        <v>83</v>
      </c>
      <c r="Q1190" s="84" t="s">
        <v>1441</v>
      </c>
      <c r="R1190" s="83" t="s">
        <v>2334</v>
      </c>
      <c r="S1190" s="83" t="s">
        <v>65</v>
      </c>
      <c r="T1190" s="49" t="s">
        <v>2334</v>
      </c>
      <c r="U1190" s="49" t="s">
        <v>2334</v>
      </c>
      <c r="V1190" s="49" t="s">
        <v>2334</v>
      </c>
      <c r="W1190" s="49" t="s">
        <v>67</v>
      </c>
      <c r="X1190" s="81">
        <v>46226</v>
      </c>
      <c r="Y1190" s="84" t="s">
        <v>2496</v>
      </c>
      <c r="Z1190" s="49"/>
    </row>
    <row r="1191" spans="1:26">
      <c r="A1191" s="19" t="s">
        <v>2174</v>
      </c>
      <c r="B1191" s="33">
        <v>46224</v>
      </c>
      <c r="C1191" s="19"/>
      <c r="D1191" s="19" t="s">
        <v>59</v>
      </c>
      <c r="E1191" s="19" t="s">
        <v>200</v>
      </c>
      <c r="F1191" s="19" t="s">
        <v>201</v>
      </c>
      <c r="G1191" s="19" t="s">
        <v>98</v>
      </c>
      <c r="H1191" s="40" t="s">
        <v>2290</v>
      </c>
      <c r="I1191" s="19" t="s">
        <v>2957</v>
      </c>
      <c r="J1191" s="24" t="s">
        <v>388</v>
      </c>
      <c r="K1191" s="24" t="s">
        <v>2958</v>
      </c>
      <c r="L1191" s="99" t="s">
        <v>2959</v>
      </c>
      <c r="M1191" s="19"/>
      <c r="N1191" s="19"/>
      <c r="O1191" s="19" t="s">
        <v>2588</v>
      </c>
      <c r="P1191" s="19" t="s">
        <v>2358</v>
      </c>
      <c r="Q1191" s="12" t="s">
        <v>1441</v>
      </c>
      <c r="R1191" s="24" t="s">
        <v>2334</v>
      </c>
      <c r="S1191" s="24" t="s">
        <v>65</v>
      </c>
      <c r="T1191" s="19" t="s">
        <v>2334</v>
      </c>
      <c r="U1191" s="19" t="s">
        <v>2334</v>
      </c>
      <c r="V1191" s="19" t="s">
        <v>2334</v>
      </c>
      <c r="W1191" s="19" t="s">
        <v>67</v>
      </c>
      <c r="X1191" s="32">
        <v>46230</v>
      </c>
      <c r="Y1191" s="12" t="s">
        <v>2496</v>
      </c>
      <c r="Z1191" s="19"/>
    </row>
    <row r="1192" spans="1:26">
      <c r="A1192" s="19" t="s">
        <v>2174</v>
      </c>
      <c r="B1192" s="197">
        <v>46224</v>
      </c>
      <c r="C1192" s="19"/>
      <c r="D1192" s="184" t="s">
        <v>59</v>
      </c>
      <c r="E1192" s="184" t="s">
        <v>101</v>
      </c>
      <c r="F1192" s="184" t="s">
        <v>2960</v>
      </c>
      <c r="G1192" s="184" t="s">
        <v>51</v>
      </c>
      <c r="H1192" s="192" t="s">
        <v>221</v>
      </c>
      <c r="I1192" s="184" t="s">
        <v>2961</v>
      </c>
      <c r="J1192" s="191" t="s">
        <v>130</v>
      </c>
      <c r="K1192" s="24" t="s">
        <v>2240</v>
      </c>
      <c r="L1192" s="24" t="s">
        <v>104</v>
      </c>
      <c r="M1192" s="19"/>
      <c r="N1192" s="19"/>
      <c r="O1192" s="19" t="s">
        <v>2588</v>
      </c>
      <c r="P1192" s="19" t="s">
        <v>573</v>
      </c>
      <c r="Q1192" s="12" t="s">
        <v>89</v>
      </c>
      <c r="R1192" s="24" t="s">
        <v>2334</v>
      </c>
      <c r="S1192" s="24" t="s">
        <v>65</v>
      </c>
      <c r="T1192" s="19" t="s">
        <v>2334</v>
      </c>
      <c r="U1192" s="19" t="s">
        <v>2334</v>
      </c>
      <c r="V1192" s="19" t="s">
        <v>2334</v>
      </c>
      <c r="W1192" s="19" t="s">
        <v>67</v>
      </c>
      <c r="X1192" s="32">
        <v>46226</v>
      </c>
      <c r="Y1192" s="19"/>
      <c r="Z1192" s="19"/>
    </row>
    <row r="1193" spans="1:26">
      <c r="A1193" s="19" t="s">
        <v>2174</v>
      </c>
      <c r="B1193" s="186"/>
      <c r="C1193" s="19"/>
      <c r="D1193" s="186"/>
      <c r="E1193" s="186"/>
      <c r="F1193" s="186"/>
      <c r="G1193" s="186"/>
      <c r="H1193" s="186"/>
      <c r="I1193" s="186"/>
      <c r="J1193" s="186"/>
      <c r="K1193" s="24" t="s">
        <v>2372</v>
      </c>
      <c r="L1193" s="24" t="s">
        <v>382</v>
      </c>
      <c r="M1193" s="19"/>
      <c r="N1193" s="19"/>
      <c r="O1193" s="19" t="s">
        <v>2588</v>
      </c>
      <c r="P1193" s="19" t="s">
        <v>2962</v>
      </c>
      <c r="Q1193" s="12" t="s">
        <v>89</v>
      </c>
      <c r="R1193" s="24" t="s">
        <v>2334</v>
      </c>
      <c r="S1193" s="24" t="s">
        <v>65</v>
      </c>
      <c r="T1193" s="19" t="s">
        <v>2334</v>
      </c>
      <c r="U1193" s="19" t="s">
        <v>2334</v>
      </c>
      <c r="V1193" s="19" t="s">
        <v>2334</v>
      </c>
      <c r="W1193" s="19" t="s">
        <v>67</v>
      </c>
      <c r="X1193" s="32">
        <v>46227</v>
      </c>
      <c r="Y1193" s="19"/>
      <c r="Z1193" s="19"/>
    </row>
    <row r="1194" spans="1:26">
      <c r="A1194" s="19" t="s">
        <v>2174</v>
      </c>
      <c r="B1194" s="224">
        <v>46224</v>
      </c>
      <c r="C1194" s="49"/>
      <c r="D1194" s="221" t="s">
        <v>59</v>
      </c>
      <c r="E1194" s="221" t="s">
        <v>2395</v>
      </c>
      <c r="F1194" s="221" t="s">
        <v>237</v>
      </c>
      <c r="G1194" s="221" t="s">
        <v>98</v>
      </c>
      <c r="H1194" s="222" t="s">
        <v>238</v>
      </c>
      <c r="I1194" s="220" t="s">
        <v>2963</v>
      </c>
      <c r="J1194" s="220" t="s">
        <v>2397</v>
      </c>
      <c r="K1194" s="83" t="s">
        <v>2555</v>
      </c>
      <c r="L1194" s="83" t="s">
        <v>175</v>
      </c>
      <c r="M1194" s="49"/>
      <c r="N1194" s="49"/>
      <c r="O1194" s="49" t="s">
        <v>2588</v>
      </c>
      <c r="P1194" s="49" t="s">
        <v>241</v>
      </c>
      <c r="Q1194" s="84" t="s">
        <v>1441</v>
      </c>
      <c r="R1194" s="83" t="s">
        <v>2334</v>
      </c>
      <c r="S1194" s="83" t="s">
        <v>65</v>
      </c>
      <c r="T1194" s="49" t="s">
        <v>2334</v>
      </c>
      <c r="U1194" s="49" t="s">
        <v>2334</v>
      </c>
      <c r="V1194" s="49" t="s">
        <v>2334</v>
      </c>
      <c r="W1194" s="49" t="s">
        <v>2964</v>
      </c>
      <c r="X1194" s="81">
        <v>46225</v>
      </c>
      <c r="Y1194" s="234" t="s">
        <v>2400</v>
      </c>
      <c r="Z1194" s="49"/>
    </row>
    <row r="1195" spans="1:26">
      <c r="A1195" s="19" t="s">
        <v>2174</v>
      </c>
      <c r="B1195" s="186"/>
      <c r="C1195" s="49"/>
      <c r="D1195" s="186"/>
      <c r="E1195" s="186"/>
      <c r="F1195" s="186"/>
      <c r="G1195" s="186"/>
      <c r="H1195" s="186"/>
      <c r="I1195" s="186"/>
      <c r="J1195" s="186"/>
      <c r="K1195" s="83" t="s">
        <v>2965</v>
      </c>
      <c r="L1195" s="83" t="s">
        <v>175</v>
      </c>
      <c r="M1195" s="49"/>
      <c r="N1195" s="49"/>
      <c r="O1195" s="49" t="s">
        <v>2588</v>
      </c>
      <c r="P1195" s="49" t="s">
        <v>241</v>
      </c>
      <c r="Q1195" s="84" t="s">
        <v>1441</v>
      </c>
      <c r="R1195" s="83" t="s">
        <v>2334</v>
      </c>
      <c r="S1195" s="83" t="s">
        <v>65</v>
      </c>
      <c r="T1195" s="49" t="s">
        <v>2334</v>
      </c>
      <c r="U1195" s="49" t="s">
        <v>2334</v>
      </c>
      <c r="V1195" s="49" t="s">
        <v>2334</v>
      </c>
      <c r="W1195" s="49" t="s">
        <v>2964</v>
      </c>
      <c r="X1195" s="81">
        <v>46225</v>
      </c>
      <c r="Y1195" s="186"/>
      <c r="Z1195" s="49"/>
    </row>
    <row r="1196" spans="1:26">
      <c r="A1196" s="19" t="s">
        <v>2174</v>
      </c>
      <c r="B1196" s="33">
        <v>46224</v>
      </c>
      <c r="C1196" s="19"/>
      <c r="D1196" s="19" t="s">
        <v>59</v>
      </c>
      <c r="E1196" s="19" t="s">
        <v>71</v>
      </c>
      <c r="F1196" s="19" t="s">
        <v>2700</v>
      </c>
      <c r="G1196" s="19" t="s">
        <v>98</v>
      </c>
      <c r="H1196" s="40" t="s">
        <v>306</v>
      </c>
      <c r="I1196" s="24" t="s">
        <v>2966</v>
      </c>
      <c r="J1196" s="24" t="s">
        <v>60</v>
      </c>
      <c r="K1196" s="24" t="s">
        <v>2967</v>
      </c>
      <c r="L1196" s="24" t="s">
        <v>2498</v>
      </c>
      <c r="M1196" s="19"/>
      <c r="N1196" s="19"/>
      <c r="O1196" s="19" t="s">
        <v>2588</v>
      </c>
      <c r="P1196" s="19" t="s">
        <v>307</v>
      </c>
      <c r="Q1196" s="12" t="s">
        <v>1441</v>
      </c>
      <c r="R1196" s="24" t="s">
        <v>2334</v>
      </c>
      <c r="S1196" s="24" t="s">
        <v>65</v>
      </c>
      <c r="T1196" s="19" t="s">
        <v>2334</v>
      </c>
      <c r="U1196" s="19" t="s">
        <v>2334</v>
      </c>
      <c r="V1196" s="19" t="s">
        <v>2334</v>
      </c>
      <c r="W1196" s="19" t="s">
        <v>67</v>
      </c>
      <c r="X1196" s="32">
        <v>46230</v>
      </c>
      <c r="Y1196" s="19"/>
      <c r="Z1196" s="12" t="s">
        <v>2968</v>
      </c>
    </row>
    <row r="1197" spans="1:26">
      <c r="A1197" s="19" t="s">
        <v>2174</v>
      </c>
      <c r="B1197" s="224">
        <v>46224</v>
      </c>
      <c r="C1197" s="49"/>
      <c r="D1197" s="221" t="s">
        <v>59</v>
      </c>
      <c r="E1197" s="221" t="s">
        <v>1159</v>
      </c>
      <c r="F1197" s="221" t="s">
        <v>2252</v>
      </c>
      <c r="G1197" s="221" t="s">
        <v>127</v>
      </c>
      <c r="H1197" s="222" t="s">
        <v>143</v>
      </c>
      <c r="I1197" s="220" t="s">
        <v>2655</v>
      </c>
      <c r="J1197" s="220" t="s">
        <v>2969</v>
      </c>
      <c r="K1197" s="83" t="s">
        <v>2970</v>
      </c>
      <c r="L1197" s="83" t="s">
        <v>182</v>
      </c>
      <c r="M1197" s="49"/>
      <c r="N1197" s="49"/>
      <c r="O1197" s="49" t="s">
        <v>2588</v>
      </c>
      <c r="P1197" s="49" t="s">
        <v>462</v>
      </c>
      <c r="Q1197" s="84" t="s">
        <v>89</v>
      </c>
      <c r="R1197" s="83" t="s">
        <v>2334</v>
      </c>
      <c r="S1197" s="83" t="s">
        <v>65</v>
      </c>
      <c r="T1197" s="49" t="s">
        <v>2334</v>
      </c>
      <c r="U1197" s="49" t="s">
        <v>2334</v>
      </c>
      <c r="V1197" s="49" t="s">
        <v>2334</v>
      </c>
      <c r="W1197" s="49" t="s">
        <v>67</v>
      </c>
      <c r="X1197" s="81">
        <v>46230</v>
      </c>
      <c r="Y1197" s="49"/>
      <c r="Z1197" s="49"/>
    </row>
    <row r="1198" spans="1:26">
      <c r="A1198" s="19" t="s">
        <v>2174</v>
      </c>
      <c r="B1198" s="186"/>
      <c r="C1198" s="49"/>
      <c r="D1198" s="186"/>
      <c r="E1198" s="186"/>
      <c r="F1198" s="186"/>
      <c r="G1198" s="186"/>
      <c r="H1198" s="186"/>
      <c r="I1198" s="186"/>
      <c r="J1198" s="186"/>
      <c r="K1198" s="83" t="s">
        <v>2971</v>
      </c>
      <c r="L1198" s="83" t="s">
        <v>182</v>
      </c>
      <c r="M1198" s="49"/>
      <c r="N1198" s="49"/>
      <c r="O1198" s="49" t="s">
        <v>2588</v>
      </c>
      <c r="P1198" s="49" t="s">
        <v>462</v>
      </c>
      <c r="Q1198" s="84" t="s">
        <v>89</v>
      </c>
      <c r="R1198" s="83" t="s">
        <v>2334</v>
      </c>
      <c r="S1198" s="83" t="s">
        <v>65</v>
      </c>
      <c r="T1198" s="49" t="s">
        <v>2334</v>
      </c>
      <c r="U1198" s="49" t="s">
        <v>2334</v>
      </c>
      <c r="V1198" s="49"/>
      <c r="W1198" s="49" t="s">
        <v>67</v>
      </c>
      <c r="X1198" s="81">
        <v>46230</v>
      </c>
      <c r="Y1198" s="84" t="s">
        <v>2394</v>
      </c>
      <c r="Z1198" s="49"/>
    </row>
    <row r="1199" spans="1:26">
      <c r="A1199" s="19" t="s">
        <v>2174</v>
      </c>
      <c r="B1199" s="33">
        <v>46224</v>
      </c>
      <c r="C1199" s="19"/>
      <c r="D1199" s="19" t="s">
        <v>48</v>
      </c>
      <c r="E1199" s="19" t="s">
        <v>609</v>
      </c>
      <c r="F1199" s="19" t="s">
        <v>2235</v>
      </c>
      <c r="G1199" s="19" t="s">
        <v>2293</v>
      </c>
      <c r="H1199" s="40" t="s">
        <v>262</v>
      </c>
      <c r="I1199" s="24" t="s">
        <v>109</v>
      </c>
      <c r="J1199" s="24" t="s">
        <v>330</v>
      </c>
      <c r="K1199" s="24" t="s">
        <v>164</v>
      </c>
      <c r="L1199" s="24" t="s">
        <v>104</v>
      </c>
      <c r="M1199" s="19"/>
      <c r="N1199" s="19"/>
      <c r="O1199" s="19" t="s">
        <v>2588</v>
      </c>
      <c r="P1199" s="19" t="s">
        <v>1236</v>
      </c>
      <c r="Q1199" s="12" t="s">
        <v>1441</v>
      </c>
      <c r="R1199" s="24" t="s">
        <v>2334</v>
      </c>
      <c r="S1199" s="24" t="s">
        <v>65</v>
      </c>
      <c r="T1199" s="19" t="s">
        <v>2334</v>
      </c>
      <c r="U1199" s="19" t="s">
        <v>2334</v>
      </c>
      <c r="V1199" s="19" t="s">
        <v>2334</v>
      </c>
      <c r="W1199" s="19" t="s">
        <v>67</v>
      </c>
      <c r="X1199" s="32">
        <v>46226</v>
      </c>
      <c r="Y1199" s="19"/>
      <c r="Z1199" s="19"/>
    </row>
    <row r="1200" spans="1:26">
      <c r="A1200" s="19" t="s">
        <v>2174</v>
      </c>
      <c r="B1200" s="33">
        <v>46224</v>
      </c>
      <c r="C1200" s="40" t="s">
        <v>2972</v>
      </c>
      <c r="D1200" s="19" t="s">
        <v>48</v>
      </c>
      <c r="E1200" s="19" t="s">
        <v>49</v>
      </c>
      <c r="F1200" s="19" t="s">
        <v>149</v>
      </c>
      <c r="G1200" s="19" t="s">
        <v>51</v>
      </c>
      <c r="H1200" s="40" t="s">
        <v>2575</v>
      </c>
      <c r="I1200" s="19" t="s">
        <v>53</v>
      </c>
      <c r="J1200" s="60" t="s">
        <v>55</v>
      </c>
      <c r="K1200" s="24" t="s">
        <v>2973</v>
      </c>
      <c r="L1200" s="24" t="s">
        <v>403</v>
      </c>
      <c r="M1200" s="19">
        <f>504+28+7+3+30</f>
        <v>572</v>
      </c>
      <c r="N1200" s="93">
        <f>4141.08+120.96+80.5+46.5+129.6</f>
        <v>4518.6400000000003</v>
      </c>
      <c r="O1200" s="19" t="s">
        <v>2588</v>
      </c>
      <c r="P1200" s="19" t="s">
        <v>2578</v>
      </c>
      <c r="Q1200" s="12" t="s">
        <v>1441</v>
      </c>
      <c r="R1200" s="19" t="s">
        <v>2334</v>
      </c>
      <c r="S1200" s="19" t="s">
        <v>65</v>
      </c>
      <c r="T1200" s="19" t="s">
        <v>2334</v>
      </c>
      <c r="U1200" s="19" t="s">
        <v>2334</v>
      </c>
      <c r="V1200" s="19" t="s">
        <v>2334</v>
      </c>
      <c r="W1200" s="19" t="s">
        <v>67</v>
      </c>
      <c r="X1200" s="32">
        <v>46230</v>
      </c>
      <c r="Y1200" s="12" t="s">
        <v>2428</v>
      </c>
      <c r="Z1200" s="19"/>
    </row>
    <row r="1201" spans="1:26">
      <c r="A1201" s="19" t="s">
        <v>2174</v>
      </c>
      <c r="B1201" s="81">
        <v>46224</v>
      </c>
      <c r="C1201" s="82" t="s">
        <v>2974</v>
      </c>
      <c r="D1201" s="49" t="s">
        <v>48</v>
      </c>
      <c r="E1201" s="49" t="s">
        <v>49</v>
      </c>
      <c r="F1201" s="49" t="s">
        <v>368</v>
      </c>
      <c r="G1201" s="49" t="s">
        <v>127</v>
      </c>
      <c r="H1201" s="82" t="s">
        <v>128</v>
      </c>
      <c r="I1201" s="75" t="s">
        <v>53</v>
      </c>
      <c r="J1201" s="76" t="s">
        <v>55</v>
      </c>
      <c r="K1201" s="83" t="s">
        <v>2975</v>
      </c>
      <c r="L1201" s="83" t="s">
        <v>29</v>
      </c>
      <c r="M1201" s="49">
        <f>88+94+137+331+1+20+1+80+10+154+1+1+1+1</f>
        <v>920</v>
      </c>
      <c r="N1201" s="120">
        <f>612.864+668.568+851.76+2307.34+2.16+86.4+10.944+345.6+43.2+1019.077+2.048+8.8+8+8.9</f>
        <v>5975.6610000000001</v>
      </c>
      <c r="O1201" s="49" t="s">
        <v>2588</v>
      </c>
      <c r="P1201" s="49" t="s">
        <v>132</v>
      </c>
      <c r="Q1201" s="84" t="s">
        <v>89</v>
      </c>
      <c r="R1201" s="83" t="s">
        <v>2334</v>
      </c>
      <c r="S1201" s="83" t="s">
        <v>65</v>
      </c>
      <c r="T1201" s="49" t="s">
        <v>2334</v>
      </c>
      <c r="U1201" s="49" t="s">
        <v>2334</v>
      </c>
      <c r="V1201" s="49" t="s">
        <v>2334</v>
      </c>
      <c r="W1201" s="49" t="s">
        <v>67</v>
      </c>
      <c r="X1201" s="81">
        <v>46228</v>
      </c>
      <c r="Y1201" s="116" t="s">
        <v>2428</v>
      </c>
      <c r="Z1201" s="49"/>
    </row>
    <row r="1202" spans="1:26">
      <c r="A1202" s="19" t="s">
        <v>2174</v>
      </c>
      <c r="B1202" s="197">
        <v>46224</v>
      </c>
      <c r="C1202" s="40" t="s">
        <v>2976</v>
      </c>
      <c r="D1202" s="184" t="s">
        <v>48</v>
      </c>
      <c r="E1202" s="184" t="s">
        <v>49</v>
      </c>
      <c r="F1202" s="184" t="s">
        <v>192</v>
      </c>
      <c r="G1202" s="184" t="s">
        <v>127</v>
      </c>
      <c r="H1202" s="192" t="s">
        <v>2540</v>
      </c>
      <c r="I1202" s="191" t="s">
        <v>53</v>
      </c>
      <c r="J1202" s="196" t="s">
        <v>55</v>
      </c>
      <c r="K1202" s="24" t="s">
        <v>2977</v>
      </c>
      <c r="L1202" s="24" t="s">
        <v>537</v>
      </c>
      <c r="M1202" s="121">
        <f>1+20+293</f>
        <v>314</v>
      </c>
      <c r="N1202" s="93">
        <f>10.944+86.4+2133.764</f>
        <v>2231.1080000000002</v>
      </c>
      <c r="O1202" s="19" t="s">
        <v>2588</v>
      </c>
      <c r="P1202" s="19" t="s">
        <v>2545</v>
      </c>
      <c r="Q1202" s="12" t="s">
        <v>89</v>
      </c>
      <c r="R1202" s="24" t="s">
        <v>2334</v>
      </c>
      <c r="S1202" s="24" t="s">
        <v>65</v>
      </c>
      <c r="T1202" s="19" t="s">
        <v>2334</v>
      </c>
      <c r="U1202" s="19" t="s">
        <v>2334</v>
      </c>
      <c r="V1202" s="19" t="s">
        <v>2591</v>
      </c>
      <c r="W1202" s="49" t="s">
        <v>67</v>
      </c>
      <c r="X1202" s="81">
        <v>46232</v>
      </c>
      <c r="Y1202" s="12" t="s">
        <v>2428</v>
      </c>
      <c r="Z1202" s="19"/>
    </row>
    <row r="1203" spans="1:26">
      <c r="A1203" s="19" t="s">
        <v>2174</v>
      </c>
      <c r="B1203" s="186"/>
      <c r="C1203" s="40" t="s">
        <v>2978</v>
      </c>
      <c r="D1203" s="186"/>
      <c r="E1203" s="186"/>
      <c r="F1203" s="186"/>
      <c r="G1203" s="186"/>
      <c r="H1203" s="186"/>
      <c r="I1203" s="186"/>
      <c r="J1203" s="183"/>
      <c r="K1203" s="24" t="s">
        <v>2979</v>
      </c>
      <c r="L1203" s="24" t="s">
        <v>605</v>
      </c>
      <c r="M1203" s="19">
        <f>7+3+420</f>
        <v>430</v>
      </c>
      <c r="N1203" s="93">
        <f>54.176+12.96+3023.232</f>
        <v>3090.3679999999999</v>
      </c>
      <c r="O1203" s="19" t="s">
        <v>2588</v>
      </c>
      <c r="P1203" s="19" t="s">
        <v>2545</v>
      </c>
      <c r="Q1203" s="12" t="s">
        <v>89</v>
      </c>
      <c r="R1203" s="24" t="s">
        <v>2334</v>
      </c>
      <c r="S1203" s="24" t="s">
        <v>65</v>
      </c>
      <c r="T1203" s="19" t="s">
        <v>2334</v>
      </c>
      <c r="U1203" s="19" t="s">
        <v>2334</v>
      </c>
      <c r="V1203" s="19" t="s">
        <v>2591</v>
      </c>
      <c r="W1203" s="49" t="s">
        <v>67</v>
      </c>
      <c r="X1203" s="81">
        <v>46232</v>
      </c>
      <c r="Y1203" s="12" t="s">
        <v>2428</v>
      </c>
      <c r="Z1203" s="19"/>
    </row>
    <row r="1204" spans="1:26">
      <c r="A1204" s="19" t="s">
        <v>2174</v>
      </c>
      <c r="B1204" s="33">
        <v>46224</v>
      </c>
      <c r="C1204" s="40" t="s">
        <v>2980</v>
      </c>
      <c r="D1204" s="19" t="s">
        <v>48</v>
      </c>
      <c r="E1204" s="19" t="s">
        <v>49</v>
      </c>
      <c r="F1204" s="19" t="s">
        <v>285</v>
      </c>
      <c r="G1204" s="19" t="s">
        <v>220</v>
      </c>
      <c r="H1204" s="40" t="s">
        <v>288</v>
      </c>
      <c r="I1204" s="24" t="s">
        <v>53</v>
      </c>
      <c r="J1204" s="24" t="s">
        <v>55</v>
      </c>
      <c r="K1204" s="24" t="s">
        <v>2981</v>
      </c>
      <c r="L1204" s="24" t="s">
        <v>1123</v>
      </c>
      <c r="M1204" s="19">
        <f>812+4+85+1</f>
        <v>902</v>
      </c>
      <c r="N1204" s="93">
        <f>5823.416+43.776+367.2+15.5</f>
        <v>6249.8919999999998</v>
      </c>
      <c r="O1204" s="19" t="s">
        <v>2588</v>
      </c>
      <c r="P1204" s="19" t="s">
        <v>290</v>
      </c>
      <c r="Q1204" s="12" t="s">
        <v>89</v>
      </c>
      <c r="R1204" s="24" t="s">
        <v>2334</v>
      </c>
      <c r="S1204" s="24" t="s">
        <v>65</v>
      </c>
      <c r="T1204" s="19" t="s">
        <v>2334</v>
      </c>
      <c r="U1204" s="19" t="s">
        <v>2334</v>
      </c>
      <c r="V1204" s="19" t="s">
        <v>2334</v>
      </c>
      <c r="W1204" s="19" t="s">
        <v>67</v>
      </c>
      <c r="X1204" s="32">
        <v>46230</v>
      </c>
      <c r="Y1204" s="12" t="s">
        <v>2428</v>
      </c>
      <c r="Z1204" s="19"/>
    </row>
    <row r="1205" spans="1:26">
      <c r="A1205" s="19" t="s">
        <v>2174</v>
      </c>
      <c r="B1205" s="33">
        <v>46224</v>
      </c>
      <c r="C1205" s="19"/>
      <c r="D1205" s="19" t="s">
        <v>48</v>
      </c>
      <c r="E1205" s="19" t="s">
        <v>609</v>
      </c>
      <c r="F1205" s="19" t="s">
        <v>1952</v>
      </c>
      <c r="G1205" s="19" t="s">
        <v>127</v>
      </c>
      <c r="H1205" s="40" t="s">
        <v>52</v>
      </c>
      <c r="I1205" s="24" t="s">
        <v>2559</v>
      </c>
      <c r="J1205" s="24" t="s">
        <v>330</v>
      </c>
      <c r="K1205" s="24" t="s">
        <v>1957</v>
      </c>
      <c r="L1205" s="24" t="s">
        <v>135</v>
      </c>
      <c r="M1205" s="19"/>
      <c r="N1205" s="19"/>
      <c r="O1205" s="19" t="s">
        <v>2588</v>
      </c>
      <c r="P1205" s="19" t="s">
        <v>56</v>
      </c>
      <c r="Q1205" s="12" t="s">
        <v>89</v>
      </c>
      <c r="R1205" s="24" t="s">
        <v>2334</v>
      </c>
      <c r="S1205" s="24" t="s">
        <v>65</v>
      </c>
      <c r="T1205" s="19" t="s">
        <v>2334</v>
      </c>
      <c r="U1205" s="19" t="s">
        <v>2334</v>
      </c>
      <c r="V1205" s="19" t="s">
        <v>2334</v>
      </c>
      <c r="W1205" s="19" t="s">
        <v>67</v>
      </c>
      <c r="X1205" s="32">
        <v>46227</v>
      </c>
      <c r="Y1205" s="19"/>
      <c r="Z1205" s="19"/>
    </row>
    <row r="1206" spans="1:26">
      <c r="A1206" s="19" t="s">
        <v>2174</v>
      </c>
      <c r="B1206" s="33">
        <v>46224</v>
      </c>
      <c r="C1206" s="19"/>
      <c r="D1206" s="19" t="s">
        <v>48</v>
      </c>
      <c r="E1206" s="19" t="s">
        <v>284</v>
      </c>
      <c r="F1206" s="19" t="s">
        <v>2363</v>
      </c>
      <c r="G1206" s="19" t="s">
        <v>98</v>
      </c>
      <c r="H1206" s="40" t="s">
        <v>2982</v>
      </c>
      <c r="I1206" s="24" t="s">
        <v>2983</v>
      </c>
      <c r="J1206" s="24" t="s">
        <v>2984</v>
      </c>
      <c r="K1206" s="24" t="s">
        <v>2985</v>
      </c>
      <c r="L1206" s="24" t="s">
        <v>678</v>
      </c>
      <c r="M1206" s="19"/>
      <c r="N1206" s="19"/>
      <c r="O1206" s="19" t="s">
        <v>2588</v>
      </c>
      <c r="P1206" s="19" t="s">
        <v>180</v>
      </c>
      <c r="Q1206" s="12" t="s">
        <v>1441</v>
      </c>
      <c r="R1206" s="24" t="s">
        <v>2334</v>
      </c>
      <c r="S1206" s="24" t="s">
        <v>65</v>
      </c>
      <c r="T1206" s="19" t="s">
        <v>2334</v>
      </c>
      <c r="U1206" s="19" t="s">
        <v>2334</v>
      </c>
      <c r="V1206" s="19"/>
      <c r="W1206" s="19" t="s">
        <v>67</v>
      </c>
      <c r="X1206" s="32">
        <v>46230</v>
      </c>
      <c r="Y1206" s="19"/>
      <c r="Z1206" s="19"/>
    </row>
    <row r="1207" spans="1:26">
      <c r="A1207" s="19" t="s">
        <v>2174</v>
      </c>
      <c r="B1207" s="197">
        <v>46224</v>
      </c>
      <c r="C1207" s="19"/>
      <c r="D1207" s="184" t="s">
        <v>48</v>
      </c>
      <c r="E1207" s="184" t="s">
        <v>2987</v>
      </c>
      <c r="F1207" s="184" t="s">
        <v>2685</v>
      </c>
      <c r="G1207" s="184" t="s">
        <v>127</v>
      </c>
      <c r="H1207" s="192" t="s">
        <v>2501</v>
      </c>
      <c r="I1207" s="184" t="s">
        <v>2988</v>
      </c>
      <c r="J1207" s="191" t="s">
        <v>2989</v>
      </c>
      <c r="K1207" s="24" t="s">
        <v>2990</v>
      </c>
      <c r="L1207" s="24" t="s">
        <v>110</v>
      </c>
      <c r="M1207" s="19"/>
      <c r="N1207" s="19"/>
      <c r="O1207" s="19" t="s">
        <v>2588</v>
      </c>
      <c r="P1207" s="19" t="s">
        <v>2503</v>
      </c>
      <c r="Q1207" s="12" t="s">
        <v>1441</v>
      </c>
      <c r="R1207" s="24" t="s">
        <v>2334</v>
      </c>
      <c r="S1207" s="24" t="s">
        <v>65</v>
      </c>
      <c r="T1207" s="19" t="s">
        <v>2334</v>
      </c>
      <c r="U1207" s="19" t="s">
        <v>2334</v>
      </c>
      <c r="V1207" s="19" t="s">
        <v>2334</v>
      </c>
      <c r="W1207" s="19" t="s">
        <v>67</v>
      </c>
      <c r="X1207" s="32">
        <v>46226</v>
      </c>
      <c r="Y1207" s="12" t="s">
        <v>2184</v>
      </c>
      <c r="Z1207" s="19"/>
    </row>
    <row r="1208" spans="1:26">
      <c r="A1208" s="19" t="s">
        <v>2174</v>
      </c>
      <c r="B1208" s="186"/>
      <c r="C1208" s="19"/>
      <c r="D1208" s="186"/>
      <c r="E1208" s="186"/>
      <c r="F1208" s="186"/>
      <c r="G1208" s="186"/>
      <c r="H1208" s="186"/>
      <c r="I1208" s="186"/>
      <c r="J1208" s="186"/>
      <c r="K1208" s="24" t="s">
        <v>2991</v>
      </c>
      <c r="L1208" s="24" t="s">
        <v>110</v>
      </c>
      <c r="M1208" s="19"/>
      <c r="N1208" s="19"/>
      <c r="O1208" s="19" t="s">
        <v>2588</v>
      </c>
      <c r="P1208" s="19" t="s">
        <v>2503</v>
      </c>
      <c r="Q1208" s="12" t="s">
        <v>1441</v>
      </c>
      <c r="R1208" s="24" t="s">
        <v>2334</v>
      </c>
      <c r="S1208" s="24" t="s">
        <v>65</v>
      </c>
      <c r="T1208" s="19" t="s">
        <v>2334</v>
      </c>
      <c r="U1208" s="19" t="s">
        <v>2334</v>
      </c>
      <c r="V1208" s="19" t="s">
        <v>2334</v>
      </c>
      <c r="W1208" s="19" t="s">
        <v>67</v>
      </c>
      <c r="X1208" s="32">
        <v>46226</v>
      </c>
      <c r="Y1208" s="12" t="s">
        <v>2184</v>
      </c>
      <c r="Z1208" s="19"/>
    </row>
    <row r="1209" spans="1:26">
      <c r="A1209" s="19" t="s">
        <v>2174</v>
      </c>
      <c r="B1209" s="81">
        <v>46224</v>
      </c>
      <c r="C1209" s="49"/>
      <c r="D1209" s="49" t="s">
        <v>59</v>
      </c>
      <c r="E1209" s="49" t="s">
        <v>1716</v>
      </c>
      <c r="F1209" s="49" t="s">
        <v>716</v>
      </c>
      <c r="G1209" s="49" t="s">
        <v>98</v>
      </c>
      <c r="H1209" s="82" t="s">
        <v>2227</v>
      </c>
      <c r="I1209" s="49" t="s">
        <v>1717</v>
      </c>
      <c r="J1209" s="83" t="s">
        <v>962</v>
      </c>
      <c r="K1209" s="83" t="s">
        <v>2992</v>
      </c>
      <c r="L1209" s="83" t="s">
        <v>2993</v>
      </c>
      <c r="M1209" s="49"/>
      <c r="N1209" s="49"/>
      <c r="O1209" s="49" t="s">
        <v>2588</v>
      </c>
      <c r="P1209" s="49" t="s">
        <v>593</v>
      </c>
      <c r="Q1209" s="84" t="s">
        <v>1441</v>
      </c>
      <c r="R1209" s="83" t="s">
        <v>2334</v>
      </c>
      <c r="S1209" s="83" t="s">
        <v>65</v>
      </c>
      <c r="T1209" s="49" t="s">
        <v>2334</v>
      </c>
      <c r="U1209" s="49" t="s">
        <v>2334</v>
      </c>
      <c r="V1209" s="49" t="s">
        <v>2334</v>
      </c>
      <c r="W1209" s="19" t="s">
        <v>67</v>
      </c>
      <c r="X1209" s="32">
        <v>46225</v>
      </c>
      <c r="Y1209" s="49"/>
      <c r="Z1209" s="49"/>
    </row>
    <row r="1210" spans="1:26">
      <c r="A1210" s="19" t="s">
        <v>2174</v>
      </c>
      <c r="B1210" s="33">
        <v>46224</v>
      </c>
      <c r="C1210" s="19"/>
      <c r="D1210" s="19" t="s">
        <v>59</v>
      </c>
      <c r="E1210" s="19" t="s">
        <v>72</v>
      </c>
      <c r="F1210" s="19" t="s">
        <v>2994</v>
      </c>
      <c r="G1210" s="19" t="s">
        <v>98</v>
      </c>
      <c r="H1210" s="40" t="s">
        <v>2459</v>
      </c>
      <c r="I1210" s="28" t="s">
        <v>286</v>
      </c>
      <c r="J1210" s="55" t="s">
        <v>287</v>
      </c>
      <c r="K1210" s="24" t="s">
        <v>2009</v>
      </c>
      <c r="L1210" s="24" t="s">
        <v>110</v>
      </c>
      <c r="M1210" s="19"/>
      <c r="N1210" s="19"/>
      <c r="O1210" s="19" t="s">
        <v>2588</v>
      </c>
      <c r="P1210" s="19" t="s">
        <v>2995</v>
      </c>
      <c r="Q1210" s="12" t="s">
        <v>1441</v>
      </c>
      <c r="R1210" s="24" t="s">
        <v>2334</v>
      </c>
      <c r="S1210" s="24" t="s">
        <v>65</v>
      </c>
      <c r="T1210" s="19" t="s">
        <v>2334</v>
      </c>
      <c r="U1210" s="19" t="s">
        <v>2334</v>
      </c>
      <c r="V1210" s="19"/>
      <c r="W1210" s="19" t="s">
        <v>67</v>
      </c>
      <c r="X1210" s="32">
        <v>46230</v>
      </c>
      <c r="Y1210" s="19"/>
      <c r="Z1210" s="12" t="s">
        <v>2996</v>
      </c>
    </row>
    <row r="1211" spans="1:26">
      <c r="A1211" s="19" t="s">
        <v>2174</v>
      </c>
      <c r="B1211" s="33">
        <v>46224</v>
      </c>
      <c r="C1211" s="19"/>
      <c r="D1211" s="19" t="s">
        <v>59</v>
      </c>
      <c r="E1211" s="19" t="s">
        <v>2997</v>
      </c>
      <c r="F1211" s="19" t="s">
        <v>2998</v>
      </c>
      <c r="G1211" s="19" t="s">
        <v>127</v>
      </c>
      <c r="H1211" s="40" t="s">
        <v>2999</v>
      </c>
      <c r="I1211" s="24" t="s">
        <v>3000</v>
      </c>
      <c r="J1211" s="24" t="s">
        <v>3001</v>
      </c>
      <c r="K1211" s="24" t="s">
        <v>3002</v>
      </c>
      <c r="L1211" s="24" t="s">
        <v>3003</v>
      </c>
      <c r="M1211" s="19"/>
      <c r="N1211" s="19"/>
      <c r="O1211" s="19" t="s">
        <v>2334</v>
      </c>
      <c r="P1211" s="19" t="s">
        <v>3004</v>
      </c>
      <c r="Q1211" s="12" t="s">
        <v>1441</v>
      </c>
      <c r="R1211" s="24" t="s">
        <v>2334</v>
      </c>
      <c r="S1211" s="24" t="s">
        <v>65</v>
      </c>
      <c r="T1211" s="19" t="s">
        <v>2334</v>
      </c>
      <c r="U1211" s="19" t="s">
        <v>2334</v>
      </c>
      <c r="V1211" s="19" t="s">
        <v>2334</v>
      </c>
      <c r="W1211" s="19" t="s">
        <v>67</v>
      </c>
      <c r="X1211" s="32">
        <v>46230</v>
      </c>
      <c r="Y1211" s="19"/>
      <c r="Z1211" s="19"/>
    </row>
    <row r="1212" spans="1:26">
      <c r="A1212" s="19" t="s">
        <v>2174</v>
      </c>
      <c r="B1212" s="33">
        <v>46224</v>
      </c>
      <c r="C1212" s="19"/>
      <c r="D1212" s="19" t="s">
        <v>48</v>
      </c>
      <c r="E1212" s="19" t="s">
        <v>284</v>
      </c>
      <c r="F1212" s="19" t="s">
        <v>2438</v>
      </c>
      <c r="G1212" s="19" t="s">
        <v>2670</v>
      </c>
      <c r="H1212" s="40" t="s">
        <v>2082</v>
      </c>
      <c r="I1212" s="24" t="s">
        <v>3005</v>
      </c>
      <c r="J1212" s="24" t="s">
        <v>110</v>
      </c>
      <c r="K1212" s="24" t="s">
        <v>3006</v>
      </c>
      <c r="L1212" s="46" t="s">
        <v>3007</v>
      </c>
      <c r="M1212" s="19"/>
      <c r="N1212" s="19"/>
      <c r="O1212" s="19" t="s">
        <v>2588</v>
      </c>
      <c r="P1212" s="19" t="s">
        <v>2045</v>
      </c>
      <c r="Q1212" s="12" t="s">
        <v>1441</v>
      </c>
      <c r="R1212" s="24" t="s">
        <v>2334</v>
      </c>
      <c r="S1212" s="24" t="s">
        <v>65</v>
      </c>
      <c r="T1212" s="19" t="s">
        <v>2334</v>
      </c>
      <c r="U1212" s="19" t="s">
        <v>2334</v>
      </c>
      <c r="V1212" s="19" t="s">
        <v>2334</v>
      </c>
      <c r="W1212" s="19" t="s">
        <v>67</v>
      </c>
      <c r="X1212" s="32">
        <v>46230</v>
      </c>
      <c r="Y1212" s="19"/>
      <c r="Z1212" s="19"/>
    </row>
    <row r="1213" spans="1:26">
      <c r="A1213" s="19" t="s">
        <v>2174</v>
      </c>
      <c r="B1213" s="197">
        <v>46224</v>
      </c>
      <c r="C1213" s="19"/>
      <c r="D1213" s="184" t="s">
        <v>59</v>
      </c>
      <c r="E1213" s="184" t="s">
        <v>96</v>
      </c>
      <c r="F1213" s="184" t="s">
        <v>2021</v>
      </c>
      <c r="G1213" s="184" t="s">
        <v>51</v>
      </c>
      <c r="H1213" s="192" t="s">
        <v>2186</v>
      </c>
      <c r="I1213" s="24" t="s">
        <v>3008</v>
      </c>
      <c r="J1213" s="24" t="s">
        <v>395</v>
      </c>
      <c r="K1213" s="193" t="s">
        <v>100</v>
      </c>
      <c r="L1213" s="181" t="s">
        <v>102</v>
      </c>
      <c r="M1213" s="19"/>
      <c r="N1213" s="19"/>
      <c r="O1213" s="19" t="s">
        <v>2588</v>
      </c>
      <c r="P1213" s="19" t="s">
        <v>218</v>
      </c>
      <c r="Q1213" s="12" t="s">
        <v>1441</v>
      </c>
      <c r="R1213" s="24" t="s">
        <v>2334</v>
      </c>
      <c r="S1213" s="24" t="s">
        <v>65</v>
      </c>
      <c r="T1213" s="19" t="s">
        <v>2334</v>
      </c>
      <c r="U1213" s="19" t="s">
        <v>2334</v>
      </c>
      <c r="V1213" s="19" t="s">
        <v>2334</v>
      </c>
      <c r="W1213" s="19" t="s">
        <v>67</v>
      </c>
      <c r="X1213" s="32">
        <v>46230</v>
      </c>
      <c r="Y1213" s="19"/>
      <c r="Z1213" s="19"/>
    </row>
    <row r="1214" spans="1:26">
      <c r="A1214" s="19" t="s">
        <v>2174</v>
      </c>
      <c r="B1214" s="186"/>
      <c r="C1214" s="19"/>
      <c r="D1214" s="186"/>
      <c r="E1214" s="186"/>
      <c r="F1214" s="186"/>
      <c r="G1214" s="186"/>
      <c r="H1214" s="186"/>
      <c r="I1214" s="24" t="s">
        <v>3009</v>
      </c>
      <c r="J1214" s="24" t="s">
        <v>170</v>
      </c>
      <c r="K1214" s="186"/>
      <c r="L1214" s="183"/>
      <c r="M1214" s="19"/>
      <c r="N1214" s="19"/>
      <c r="O1214" s="19" t="s">
        <v>2588</v>
      </c>
      <c r="P1214" s="19" t="s">
        <v>218</v>
      </c>
      <c r="Q1214" s="12" t="s">
        <v>1441</v>
      </c>
      <c r="R1214" s="24" t="s">
        <v>2334</v>
      </c>
      <c r="S1214" s="24" t="s">
        <v>65</v>
      </c>
      <c r="T1214" s="19" t="s">
        <v>2334</v>
      </c>
      <c r="U1214" s="19" t="s">
        <v>2334</v>
      </c>
      <c r="V1214" s="19" t="s">
        <v>2334</v>
      </c>
      <c r="W1214" s="19" t="s">
        <v>67</v>
      </c>
      <c r="X1214" s="32">
        <v>46230</v>
      </c>
      <c r="Y1214" s="19"/>
      <c r="Z1214" s="19"/>
    </row>
    <row r="1215" spans="1:26">
      <c r="A1215" s="19" t="s">
        <v>2174</v>
      </c>
      <c r="B1215" s="33">
        <v>46225</v>
      </c>
      <c r="C1215" s="19"/>
      <c r="D1215" s="19" t="s">
        <v>59</v>
      </c>
      <c r="E1215" s="19" t="s">
        <v>373</v>
      </c>
      <c r="F1215" s="19" t="s">
        <v>3010</v>
      </c>
      <c r="G1215" s="19" t="s">
        <v>98</v>
      </c>
      <c r="H1215" s="40" t="s">
        <v>2459</v>
      </c>
      <c r="I1215" s="28" t="s">
        <v>374</v>
      </c>
      <c r="J1215" s="55" t="s">
        <v>375</v>
      </c>
      <c r="K1215" s="24" t="s">
        <v>3011</v>
      </c>
      <c r="L1215" s="24" t="s">
        <v>403</v>
      </c>
      <c r="M1215" s="19"/>
      <c r="N1215" s="19"/>
      <c r="O1215" s="19" t="s">
        <v>2588</v>
      </c>
      <c r="P1215" s="19" t="s">
        <v>3012</v>
      </c>
      <c r="Q1215" s="12" t="s">
        <v>1441</v>
      </c>
      <c r="R1215" s="24" t="s">
        <v>2334</v>
      </c>
      <c r="S1215" s="24" t="s">
        <v>65</v>
      </c>
      <c r="T1215" s="19" t="s">
        <v>2334</v>
      </c>
      <c r="U1215" s="19" t="s">
        <v>2334</v>
      </c>
      <c r="V1215" s="19" t="s">
        <v>2334</v>
      </c>
      <c r="W1215" s="19" t="s">
        <v>67</v>
      </c>
      <c r="X1215" s="32">
        <v>46230</v>
      </c>
      <c r="Y1215" s="19"/>
      <c r="Z1215" s="19"/>
    </row>
    <row r="1216" spans="1:26">
      <c r="A1216" s="19" t="s">
        <v>2174</v>
      </c>
      <c r="B1216" s="197">
        <v>46225</v>
      </c>
      <c r="C1216" s="192" t="s">
        <v>3013</v>
      </c>
      <c r="D1216" s="184" t="s">
        <v>59</v>
      </c>
      <c r="E1216" s="184" t="s">
        <v>1904</v>
      </c>
      <c r="F1216" s="184" t="s">
        <v>3014</v>
      </c>
      <c r="G1216" s="184" t="s">
        <v>51</v>
      </c>
      <c r="H1216" s="192" t="s">
        <v>1157</v>
      </c>
      <c r="I1216" s="191" t="s">
        <v>3015</v>
      </c>
      <c r="J1216" s="191" t="s">
        <v>28</v>
      </c>
      <c r="K1216" s="24" t="s">
        <v>665</v>
      </c>
      <c r="L1216" s="24" t="s">
        <v>665</v>
      </c>
      <c r="M1216" s="19"/>
      <c r="N1216" s="19"/>
      <c r="O1216" s="19" t="s">
        <v>2588</v>
      </c>
      <c r="P1216" s="19" t="s">
        <v>3016</v>
      </c>
      <c r="Q1216" s="12" t="s">
        <v>1441</v>
      </c>
      <c r="R1216" s="24" t="s">
        <v>2334</v>
      </c>
      <c r="S1216" s="24" t="s">
        <v>65</v>
      </c>
      <c r="T1216" s="19" t="s">
        <v>2334</v>
      </c>
      <c r="U1216" s="19" t="s">
        <v>2334</v>
      </c>
      <c r="V1216" s="19" t="s">
        <v>2334</v>
      </c>
      <c r="W1216" s="19" t="s">
        <v>67</v>
      </c>
      <c r="X1216" s="32">
        <v>46231</v>
      </c>
      <c r="Y1216" s="19"/>
      <c r="Z1216" s="19"/>
    </row>
    <row r="1217" spans="1:26">
      <c r="A1217" s="19" t="s">
        <v>2174</v>
      </c>
      <c r="B1217" s="186"/>
      <c r="C1217" s="186"/>
      <c r="D1217" s="186"/>
      <c r="E1217" s="186"/>
      <c r="F1217" s="186"/>
      <c r="G1217" s="186"/>
      <c r="H1217" s="186"/>
      <c r="I1217" s="186"/>
      <c r="J1217" s="186"/>
      <c r="K1217" s="24" t="s">
        <v>246</v>
      </c>
      <c r="L1217" s="24" t="s">
        <v>246</v>
      </c>
      <c r="M1217" s="19"/>
      <c r="N1217" s="19"/>
      <c r="O1217" s="19" t="s">
        <v>2588</v>
      </c>
      <c r="P1217" s="19" t="s">
        <v>3016</v>
      </c>
      <c r="Q1217" s="12" t="s">
        <v>1441</v>
      </c>
      <c r="R1217" s="24" t="s">
        <v>2334</v>
      </c>
      <c r="S1217" s="24" t="s">
        <v>65</v>
      </c>
      <c r="T1217" s="19" t="s">
        <v>2334</v>
      </c>
      <c r="U1217" s="19" t="s">
        <v>2334</v>
      </c>
      <c r="V1217" s="19" t="s">
        <v>2334</v>
      </c>
      <c r="W1217" s="19" t="s">
        <v>67</v>
      </c>
      <c r="X1217" s="32">
        <v>46231</v>
      </c>
      <c r="Y1217" s="19"/>
      <c r="Z1217" s="19"/>
    </row>
    <row r="1218" spans="1:26">
      <c r="A1218" s="19" t="s">
        <v>2174</v>
      </c>
      <c r="B1218" s="33">
        <v>46225</v>
      </c>
      <c r="C1218" s="40" t="s">
        <v>3017</v>
      </c>
      <c r="D1218" s="19" t="s">
        <v>48</v>
      </c>
      <c r="E1218" s="19" t="s">
        <v>621</v>
      </c>
      <c r="F1218" s="19" t="s">
        <v>2243</v>
      </c>
      <c r="G1218" s="19" t="s">
        <v>51</v>
      </c>
      <c r="H1218" s="40" t="s">
        <v>2244</v>
      </c>
      <c r="I1218" s="24" t="s">
        <v>956</v>
      </c>
      <c r="J1218" s="24" t="s">
        <v>110</v>
      </c>
      <c r="K1218" s="24" t="s">
        <v>3018</v>
      </c>
      <c r="L1218" s="24" t="s">
        <v>104</v>
      </c>
      <c r="M1218" s="19"/>
      <c r="N1218" s="19"/>
      <c r="O1218" s="19" t="s">
        <v>2588</v>
      </c>
      <c r="P1218" s="19" t="s">
        <v>2246</v>
      </c>
      <c r="Q1218" s="12" t="s">
        <v>89</v>
      </c>
      <c r="R1218" s="24" t="s">
        <v>2334</v>
      </c>
      <c r="S1218" s="24" t="s">
        <v>65</v>
      </c>
      <c r="T1218" s="19" t="s">
        <v>2334</v>
      </c>
      <c r="U1218" s="19" t="s">
        <v>2334</v>
      </c>
      <c r="V1218" s="19" t="s">
        <v>2591</v>
      </c>
      <c r="W1218" s="19" t="s">
        <v>67</v>
      </c>
      <c r="X1218" s="33">
        <v>46238</v>
      </c>
      <c r="Y1218" s="19"/>
      <c r="Z1218" s="12" t="s">
        <v>3019</v>
      </c>
    </row>
    <row r="1219" spans="1:26">
      <c r="A1219" s="19" t="s">
        <v>2174</v>
      </c>
      <c r="B1219" s="33">
        <v>46225</v>
      </c>
      <c r="C1219" s="40" t="s">
        <v>3020</v>
      </c>
      <c r="D1219" s="19" t="s">
        <v>48</v>
      </c>
      <c r="E1219" s="19" t="s">
        <v>49</v>
      </c>
      <c r="F1219" s="19" t="s">
        <v>2557</v>
      </c>
      <c r="G1219" s="19" t="s">
        <v>220</v>
      </c>
      <c r="H1219" s="40" t="s">
        <v>2922</v>
      </c>
      <c r="I1219" s="28" t="s">
        <v>53</v>
      </c>
      <c r="J1219" s="55" t="s">
        <v>55</v>
      </c>
      <c r="K1219" s="24" t="s">
        <v>3021</v>
      </c>
      <c r="L1219" s="24" t="s">
        <v>104</v>
      </c>
      <c r="M1219" s="19">
        <f>923+125+6+5+1+170+2+2+12</f>
        <v>1246</v>
      </c>
      <c r="N1219" s="19">
        <f>6195.109+540+93+20.64+17+1088.928+12.504+7.642+55</f>
        <v>8029.8230000000003</v>
      </c>
      <c r="O1219" s="19" t="s">
        <v>2588</v>
      </c>
      <c r="P1219" s="19" t="s">
        <v>2822</v>
      </c>
      <c r="Q1219" s="12" t="s">
        <v>89</v>
      </c>
      <c r="R1219" s="24" t="s">
        <v>2334</v>
      </c>
      <c r="S1219" s="24" t="s">
        <v>65</v>
      </c>
      <c r="T1219" s="19" t="s">
        <v>2334</v>
      </c>
      <c r="U1219" s="19" t="s">
        <v>2334</v>
      </c>
      <c r="V1219" s="19" t="s">
        <v>2334</v>
      </c>
      <c r="W1219" s="19" t="s">
        <v>67</v>
      </c>
      <c r="X1219" s="33">
        <v>46231</v>
      </c>
      <c r="Y1219" s="12" t="s">
        <v>2428</v>
      </c>
      <c r="Z1219" s="19"/>
    </row>
    <row r="1220" spans="1:26">
      <c r="A1220" s="19" t="s">
        <v>2174</v>
      </c>
      <c r="B1220" s="33">
        <v>46225</v>
      </c>
      <c r="C1220" s="19"/>
      <c r="D1220" s="19" t="s">
        <v>59</v>
      </c>
      <c r="E1220" s="19" t="s">
        <v>2395</v>
      </c>
      <c r="F1220" s="19" t="s">
        <v>2488</v>
      </c>
      <c r="G1220" s="19" t="s">
        <v>98</v>
      </c>
      <c r="H1220" s="40" t="s">
        <v>350</v>
      </c>
      <c r="I1220" s="24" t="s">
        <v>3022</v>
      </c>
      <c r="J1220" s="24" t="s">
        <v>28</v>
      </c>
      <c r="K1220" s="24" t="s">
        <v>3023</v>
      </c>
      <c r="L1220" s="24" t="s">
        <v>779</v>
      </c>
      <c r="M1220" s="19"/>
      <c r="N1220" s="19"/>
      <c r="O1220" s="19" t="s">
        <v>2588</v>
      </c>
      <c r="P1220" s="19" t="s">
        <v>353</v>
      </c>
      <c r="Q1220" s="12" t="s">
        <v>1441</v>
      </c>
      <c r="R1220" s="24" t="s">
        <v>2334</v>
      </c>
      <c r="S1220" s="24" t="s">
        <v>65</v>
      </c>
      <c r="T1220" s="19" t="s">
        <v>2334</v>
      </c>
      <c r="U1220" s="19" t="s">
        <v>2334</v>
      </c>
      <c r="V1220" s="19" t="s">
        <v>2334</v>
      </c>
      <c r="W1220" s="19" t="s">
        <v>67</v>
      </c>
      <c r="X1220" s="33">
        <v>46227</v>
      </c>
      <c r="Y1220" s="12" t="s">
        <v>3024</v>
      </c>
      <c r="Z1220" s="19"/>
    </row>
    <row r="1221" spans="1:26">
      <c r="A1221" s="19" t="s">
        <v>2174</v>
      </c>
      <c r="B1221" s="33">
        <v>46225</v>
      </c>
      <c r="C1221" s="19"/>
      <c r="D1221" s="19" t="s">
        <v>59</v>
      </c>
      <c r="E1221" s="19" t="s">
        <v>2986</v>
      </c>
      <c r="F1221" s="19" t="s">
        <v>3025</v>
      </c>
      <c r="G1221" s="19" t="s">
        <v>51</v>
      </c>
      <c r="H1221" s="40" t="s">
        <v>194</v>
      </c>
      <c r="I1221" s="24" t="s">
        <v>3026</v>
      </c>
      <c r="J1221" s="24" t="s">
        <v>3027</v>
      </c>
      <c r="K1221" s="24" t="s">
        <v>3028</v>
      </c>
      <c r="L1221" s="24" t="s">
        <v>130</v>
      </c>
      <c r="M1221" s="19"/>
      <c r="N1221" s="19"/>
      <c r="O1221" s="19" t="s">
        <v>2588</v>
      </c>
      <c r="P1221" s="19" t="s">
        <v>196</v>
      </c>
      <c r="Q1221" s="12" t="s">
        <v>1441</v>
      </c>
      <c r="R1221" s="24" t="s">
        <v>2334</v>
      </c>
      <c r="S1221" s="24" t="s">
        <v>65</v>
      </c>
      <c r="T1221" s="19" t="s">
        <v>2334</v>
      </c>
      <c r="U1221" s="19" t="s">
        <v>2334</v>
      </c>
      <c r="V1221" s="19" t="s">
        <v>2334</v>
      </c>
      <c r="W1221" s="19" t="s">
        <v>67</v>
      </c>
      <c r="X1221" s="32">
        <v>46228</v>
      </c>
      <c r="Y1221" s="19"/>
      <c r="Z1221" s="19"/>
    </row>
    <row r="1222" spans="1:26">
      <c r="A1222" s="19" t="s">
        <v>2174</v>
      </c>
      <c r="B1222" s="197">
        <v>46225</v>
      </c>
      <c r="C1222" s="19"/>
      <c r="D1222" s="184" t="s">
        <v>59</v>
      </c>
      <c r="E1222" s="184" t="s">
        <v>2395</v>
      </c>
      <c r="F1222" s="184" t="s">
        <v>158</v>
      </c>
      <c r="G1222" s="184" t="s">
        <v>98</v>
      </c>
      <c r="H1222" s="192" t="s">
        <v>3029</v>
      </c>
      <c r="I1222" s="191" t="s">
        <v>3022</v>
      </c>
      <c r="J1222" s="191" t="s">
        <v>28</v>
      </c>
      <c r="K1222" s="24" t="s">
        <v>3030</v>
      </c>
      <c r="L1222" s="24" t="s">
        <v>804</v>
      </c>
      <c r="M1222" s="19"/>
      <c r="N1222" s="19"/>
      <c r="O1222" s="19" t="s">
        <v>2588</v>
      </c>
      <c r="P1222" s="184" t="s">
        <v>3031</v>
      </c>
      <c r="Q1222" s="12" t="s">
        <v>1441</v>
      </c>
      <c r="R1222" s="24" t="s">
        <v>2334</v>
      </c>
      <c r="S1222" s="24" t="s">
        <v>65</v>
      </c>
      <c r="T1222" s="19" t="s">
        <v>2334</v>
      </c>
      <c r="U1222" s="19" t="s">
        <v>2334</v>
      </c>
      <c r="V1222" s="19" t="s">
        <v>2334</v>
      </c>
      <c r="W1222" s="49" t="s">
        <v>67</v>
      </c>
      <c r="X1222" s="81">
        <v>46226</v>
      </c>
      <c r="Y1222" s="195" t="s">
        <v>3032</v>
      </c>
      <c r="Z1222" s="19"/>
    </row>
    <row r="1223" spans="1:26">
      <c r="A1223" s="19" t="s">
        <v>2174</v>
      </c>
      <c r="B1223" s="186"/>
      <c r="C1223" s="19"/>
      <c r="D1223" s="186"/>
      <c r="E1223" s="186"/>
      <c r="F1223" s="186"/>
      <c r="G1223" s="186"/>
      <c r="H1223" s="186"/>
      <c r="I1223" s="186"/>
      <c r="J1223" s="186"/>
      <c r="K1223" s="24" t="s">
        <v>3033</v>
      </c>
      <c r="L1223" s="24" t="s">
        <v>804</v>
      </c>
      <c r="M1223" s="19"/>
      <c r="N1223" s="19"/>
      <c r="O1223" s="19" t="s">
        <v>2588</v>
      </c>
      <c r="P1223" s="186"/>
      <c r="Q1223" s="12" t="s">
        <v>1441</v>
      </c>
      <c r="R1223" s="24" t="s">
        <v>2334</v>
      </c>
      <c r="S1223" s="24" t="s">
        <v>65</v>
      </c>
      <c r="T1223" s="19" t="s">
        <v>2334</v>
      </c>
      <c r="U1223" s="19" t="s">
        <v>2334</v>
      </c>
      <c r="V1223" s="19" t="s">
        <v>2334</v>
      </c>
      <c r="W1223" s="49" t="s">
        <v>67</v>
      </c>
      <c r="X1223" s="81">
        <v>46226</v>
      </c>
      <c r="Y1223" s="186"/>
      <c r="Z1223" s="19"/>
    </row>
    <row r="1224" spans="1:26">
      <c r="A1224" s="19" t="s">
        <v>2174</v>
      </c>
      <c r="B1224" s="33">
        <v>46225</v>
      </c>
      <c r="C1224" s="19"/>
      <c r="D1224" s="19" t="s">
        <v>59</v>
      </c>
      <c r="E1224" s="19" t="s">
        <v>609</v>
      </c>
      <c r="F1224" s="19" t="s">
        <v>3034</v>
      </c>
      <c r="G1224" s="19" t="s">
        <v>186</v>
      </c>
      <c r="H1224" s="40" t="s">
        <v>3035</v>
      </c>
      <c r="I1224" s="24" t="s">
        <v>2570</v>
      </c>
      <c r="J1224" s="24" t="s">
        <v>330</v>
      </c>
      <c r="K1224" s="24" t="s">
        <v>390</v>
      </c>
      <c r="L1224" s="24" t="s">
        <v>28</v>
      </c>
      <c r="M1224" s="19"/>
      <c r="N1224" s="19"/>
      <c r="O1224" s="19" t="s">
        <v>2588</v>
      </c>
      <c r="P1224" s="19" t="s">
        <v>3036</v>
      </c>
      <c r="Q1224" s="12" t="s">
        <v>89</v>
      </c>
      <c r="R1224" s="24" t="s">
        <v>2334</v>
      </c>
      <c r="S1224" s="24" t="s">
        <v>65</v>
      </c>
      <c r="T1224" s="19" t="s">
        <v>2334</v>
      </c>
      <c r="U1224" s="19" t="s">
        <v>2334</v>
      </c>
      <c r="V1224" s="19" t="s">
        <v>2334</v>
      </c>
      <c r="W1224" s="19" t="s">
        <v>67</v>
      </c>
      <c r="X1224" s="32">
        <v>46227</v>
      </c>
      <c r="Y1224" s="19"/>
      <c r="Z1224" s="19"/>
    </row>
    <row r="1225" spans="1:26">
      <c r="A1225" s="19" t="s">
        <v>2174</v>
      </c>
      <c r="B1225" s="33">
        <v>46225</v>
      </c>
      <c r="C1225" s="19"/>
      <c r="D1225" s="19" t="s">
        <v>48</v>
      </c>
      <c r="E1225" s="19" t="s">
        <v>609</v>
      </c>
      <c r="F1225" s="19" t="s">
        <v>160</v>
      </c>
      <c r="G1225" s="19" t="s">
        <v>51</v>
      </c>
      <c r="H1225" s="40" t="s">
        <v>161</v>
      </c>
      <c r="I1225" s="24" t="s">
        <v>2570</v>
      </c>
      <c r="J1225" s="24" t="s">
        <v>330</v>
      </c>
      <c r="K1225" s="24" t="s">
        <v>3037</v>
      </c>
      <c r="L1225" s="24" t="s">
        <v>246</v>
      </c>
      <c r="M1225" s="19"/>
      <c r="N1225" s="19"/>
      <c r="O1225" s="19" t="s">
        <v>2588</v>
      </c>
      <c r="P1225" s="19" t="s">
        <v>166</v>
      </c>
      <c r="Q1225" s="12" t="s">
        <v>89</v>
      </c>
      <c r="R1225" s="24" t="s">
        <v>2334</v>
      </c>
      <c r="S1225" s="24" t="s">
        <v>65</v>
      </c>
      <c r="T1225" s="19" t="s">
        <v>2334</v>
      </c>
      <c r="U1225" s="19" t="s">
        <v>2334</v>
      </c>
      <c r="V1225" s="19" t="s">
        <v>2334</v>
      </c>
      <c r="W1225" s="19" t="s">
        <v>67</v>
      </c>
      <c r="X1225" s="32">
        <v>46230</v>
      </c>
      <c r="Y1225" s="12"/>
      <c r="Z1225" s="19"/>
    </row>
    <row r="1226" spans="1:26">
      <c r="A1226" s="19" t="s">
        <v>2174</v>
      </c>
      <c r="B1226" s="33">
        <v>46225</v>
      </c>
      <c r="C1226" s="19"/>
      <c r="D1226" s="19" t="s">
        <v>48</v>
      </c>
      <c r="E1226" s="19" t="s">
        <v>284</v>
      </c>
      <c r="F1226" s="19" t="s">
        <v>1097</v>
      </c>
      <c r="G1226" s="19" t="s">
        <v>173</v>
      </c>
      <c r="H1226" s="40" t="s">
        <v>2193</v>
      </c>
      <c r="I1226" s="24" t="s">
        <v>2777</v>
      </c>
      <c r="J1226" s="24" t="s">
        <v>2778</v>
      </c>
      <c r="K1226" s="24" t="s">
        <v>3038</v>
      </c>
      <c r="L1226" s="24" t="s">
        <v>3039</v>
      </c>
      <c r="M1226" s="19"/>
      <c r="N1226" s="19"/>
      <c r="O1226" s="19" t="s">
        <v>2588</v>
      </c>
      <c r="P1226" s="19" t="s">
        <v>2199</v>
      </c>
      <c r="Q1226" s="12" t="s">
        <v>1441</v>
      </c>
      <c r="R1226" s="24" t="s">
        <v>2334</v>
      </c>
      <c r="S1226" s="24" t="s">
        <v>65</v>
      </c>
      <c r="T1226" s="19" t="s">
        <v>2334</v>
      </c>
      <c r="U1226" s="19" t="s">
        <v>2334</v>
      </c>
      <c r="V1226" s="19" t="s">
        <v>2591</v>
      </c>
      <c r="W1226" s="19" t="s">
        <v>67</v>
      </c>
      <c r="X1226" s="32">
        <v>46234</v>
      </c>
      <c r="Y1226" s="19"/>
      <c r="Z1226" s="19"/>
    </row>
    <row r="1227" spans="1:26">
      <c r="A1227" s="19" t="s">
        <v>2174</v>
      </c>
      <c r="B1227" s="33">
        <v>46225</v>
      </c>
      <c r="C1227" s="40" t="s">
        <v>3040</v>
      </c>
      <c r="D1227" s="19" t="s">
        <v>59</v>
      </c>
      <c r="E1227" s="19" t="s">
        <v>230</v>
      </c>
      <c r="F1227" s="19" t="s">
        <v>216</v>
      </c>
      <c r="G1227" s="19" t="s">
        <v>127</v>
      </c>
      <c r="H1227" s="40" t="s">
        <v>2186</v>
      </c>
      <c r="I1227" s="24" t="s">
        <v>2762</v>
      </c>
      <c r="J1227" s="24" t="s">
        <v>28</v>
      </c>
      <c r="K1227" s="24" t="s">
        <v>3041</v>
      </c>
      <c r="L1227" s="24" t="s">
        <v>60</v>
      </c>
      <c r="M1227" s="19"/>
      <c r="N1227" s="19"/>
      <c r="O1227" s="19" t="s">
        <v>2588</v>
      </c>
      <c r="P1227" s="19" t="s">
        <v>218</v>
      </c>
      <c r="Q1227" s="12" t="s">
        <v>1441</v>
      </c>
      <c r="R1227" s="24" t="s">
        <v>2334</v>
      </c>
      <c r="S1227" s="24" t="s">
        <v>65</v>
      </c>
      <c r="T1227" s="19" t="s">
        <v>2334</v>
      </c>
      <c r="U1227" s="19" t="s">
        <v>2334</v>
      </c>
      <c r="V1227" s="19" t="s">
        <v>2334</v>
      </c>
      <c r="W1227" s="19" t="s">
        <v>67</v>
      </c>
      <c r="X1227" s="33">
        <v>46227</v>
      </c>
      <c r="Y1227" s="19"/>
      <c r="Z1227" s="19"/>
    </row>
    <row r="1228" spans="1:26">
      <c r="A1228" s="19" t="s">
        <v>2174</v>
      </c>
      <c r="B1228" s="33">
        <v>46226</v>
      </c>
      <c r="C1228" s="40" t="s">
        <v>3042</v>
      </c>
      <c r="D1228" s="19" t="s">
        <v>59</v>
      </c>
      <c r="E1228" s="19" t="s">
        <v>497</v>
      </c>
      <c r="F1228" s="19" t="s">
        <v>2727</v>
      </c>
      <c r="G1228" s="19" t="s">
        <v>173</v>
      </c>
      <c r="H1228" s="40" t="s">
        <v>717</v>
      </c>
      <c r="I1228" s="24" t="s">
        <v>1182</v>
      </c>
      <c r="J1228" s="24" t="s">
        <v>116</v>
      </c>
      <c r="K1228" s="24" t="s">
        <v>3043</v>
      </c>
      <c r="L1228" s="24" t="s">
        <v>246</v>
      </c>
      <c r="M1228" s="19"/>
      <c r="N1228" s="19"/>
      <c r="O1228" s="19" t="s">
        <v>2588</v>
      </c>
      <c r="P1228" s="19" t="s">
        <v>718</v>
      </c>
      <c r="Q1228" s="12" t="s">
        <v>1441</v>
      </c>
      <c r="R1228" s="24" t="s">
        <v>2334</v>
      </c>
      <c r="S1228" s="24" t="s">
        <v>65</v>
      </c>
      <c r="T1228" s="19" t="s">
        <v>2334</v>
      </c>
      <c r="U1228" s="19" t="s">
        <v>2334</v>
      </c>
      <c r="V1228" s="19" t="s">
        <v>2334</v>
      </c>
      <c r="W1228" s="19" t="s">
        <v>67</v>
      </c>
      <c r="X1228" s="33">
        <v>46230</v>
      </c>
      <c r="Y1228" s="19"/>
      <c r="Z1228" s="19"/>
    </row>
    <row r="1229" spans="1:26">
      <c r="A1229" s="19" t="s">
        <v>2174</v>
      </c>
      <c r="B1229" s="197">
        <v>46226</v>
      </c>
      <c r="C1229" s="192" t="s">
        <v>3044</v>
      </c>
      <c r="D1229" s="184" t="s">
        <v>59</v>
      </c>
      <c r="E1229" s="184" t="s">
        <v>49</v>
      </c>
      <c r="F1229" s="184" t="s">
        <v>2771</v>
      </c>
      <c r="G1229" s="184" t="s">
        <v>220</v>
      </c>
      <c r="H1229" s="192" t="s">
        <v>2190</v>
      </c>
      <c r="I1229" s="193" t="s">
        <v>53</v>
      </c>
      <c r="J1229" s="193" t="s">
        <v>55</v>
      </c>
      <c r="K1229" s="24" t="s">
        <v>3045</v>
      </c>
      <c r="L1229" s="24" t="s">
        <v>170</v>
      </c>
      <c r="M1229" s="19">
        <f>114+13</f>
        <v>127</v>
      </c>
      <c r="N1229" s="93">
        <f>827.082+56.16</f>
        <v>883.24199999999996</v>
      </c>
      <c r="O1229" s="19" t="s">
        <v>2588</v>
      </c>
      <c r="P1229" s="19" t="s">
        <v>2191</v>
      </c>
      <c r="Q1229" s="12" t="s">
        <v>89</v>
      </c>
      <c r="R1229" s="24" t="s">
        <v>2334</v>
      </c>
      <c r="S1229" s="24" t="s">
        <v>65</v>
      </c>
      <c r="T1229" s="19" t="s">
        <v>2334</v>
      </c>
      <c r="U1229" s="19" t="s">
        <v>2334</v>
      </c>
      <c r="V1229" s="19" t="s">
        <v>2334</v>
      </c>
      <c r="W1229" s="19" t="s">
        <v>67</v>
      </c>
      <c r="X1229" s="33">
        <v>46231</v>
      </c>
      <c r="Y1229" s="195" t="s">
        <v>2428</v>
      </c>
      <c r="Z1229" s="19"/>
    </row>
    <row r="1230" spans="1:26">
      <c r="A1230" s="19" t="s">
        <v>2174</v>
      </c>
      <c r="B1230" s="185"/>
      <c r="C1230" s="185"/>
      <c r="D1230" s="185"/>
      <c r="E1230" s="185"/>
      <c r="F1230" s="185"/>
      <c r="G1230" s="185"/>
      <c r="H1230" s="185"/>
      <c r="I1230" s="185"/>
      <c r="J1230" s="185"/>
      <c r="K1230" s="24" t="s">
        <v>3046</v>
      </c>
      <c r="L1230" s="24" t="s">
        <v>170</v>
      </c>
      <c r="M1230" s="19">
        <f>13+382</f>
        <v>395</v>
      </c>
      <c r="N1230" s="93">
        <f>56.16+2704.774</f>
        <v>2760.9339999999997</v>
      </c>
      <c r="O1230" s="19" t="s">
        <v>2588</v>
      </c>
      <c r="P1230" s="19" t="s">
        <v>2191</v>
      </c>
      <c r="Q1230" s="12" t="s">
        <v>89</v>
      </c>
      <c r="R1230" s="24" t="s">
        <v>2334</v>
      </c>
      <c r="S1230" s="24" t="s">
        <v>65</v>
      </c>
      <c r="T1230" s="19" t="s">
        <v>2334</v>
      </c>
      <c r="U1230" s="19" t="s">
        <v>2334</v>
      </c>
      <c r="V1230" s="19" t="s">
        <v>2334</v>
      </c>
      <c r="W1230" s="19" t="s">
        <v>67</v>
      </c>
      <c r="X1230" s="33">
        <v>46231</v>
      </c>
      <c r="Y1230" s="185"/>
      <c r="Z1230" s="19"/>
    </row>
    <row r="1231" spans="1:26">
      <c r="A1231" s="19" t="s">
        <v>2174</v>
      </c>
      <c r="B1231" s="185"/>
      <c r="C1231" s="185"/>
      <c r="D1231" s="185"/>
      <c r="E1231" s="185"/>
      <c r="F1231" s="185"/>
      <c r="G1231" s="185"/>
      <c r="H1231" s="185"/>
      <c r="I1231" s="185"/>
      <c r="J1231" s="185"/>
      <c r="K1231" s="24" t="s">
        <v>3047</v>
      </c>
      <c r="L1231" s="24" t="s">
        <v>170</v>
      </c>
      <c r="M1231" s="19">
        <f>6+145</f>
        <v>151</v>
      </c>
      <c r="N1231" s="93">
        <f>25.92+1025.95</f>
        <v>1051.8700000000001</v>
      </c>
      <c r="O1231" s="19" t="s">
        <v>2588</v>
      </c>
      <c r="P1231" s="19" t="s">
        <v>2191</v>
      </c>
      <c r="Q1231" s="12" t="s">
        <v>89</v>
      </c>
      <c r="R1231" s="24" t="s">
        <v>2334</v>
      </c>
      <c r="S1231" s="24" t="s">
        <v>65</v>
      </c>
      <c r="T1231" s="19" t="s">
        <v>2334</v>
      </c>
      <c r="U1231" s="19" t="s">
        <v>2334</v>
      </c>
      <c r="V1231" s="19" t="s">
        <v>2334</v>
      </c>
      <c r="W1231" s="19" t="s">
        <v>67</v>
      </c>
      <c r="X1231" s="33">
        <v>46231</v>
      </c>
      <c r="Y1231" s="185"/>
      <c r="Z1231" s="19"/>
    </row>
    <row r="1232" spans="1:26">
      <c r="A1232" s="19" t="s">
        <v>2174</v>
      </c>
      <c r="B1232" s="185"/>
      <c r="C1232" s="185"/>
      <c r="D1232" s="185"/>
      <c r="E1232" s="185"/>
      <c r="F1232" s="185"/>
      <c r="G1232" s="185"/>
      <c r="H1232" s="185"/>
      <c r="I1232" s="185"/>
      <c r="J1232" s="185"/>
      <c r="K1232" s="24" t="s">
        <v>3048</v>
      </c>
      <c r="L1232" s="24" t="s">
        <v>170</v>
      </c>
      <c r="M1232" s="19">
        <f>211+11</f>
        <v>222</v>
      </c>
      <c r="N1232" s="93">
        <f>1469.906+47.52</f>
        <v>1517.4259999999999</v>
      </c>
      <c r="O1232" s="19" t="s">
        <v>2588</v>
      </c>
      <c r="P1232" s="19" t="s">
        <v>2191</v>
      </c>
      <c r="Q1232" s="12" t="s">
        <v>89</v>
      </c>
      <c r="R1232" s="24" t="s">
        <v>2334</v>
      </c>
      <c r="S1232" s="24" t="s">
        <v>65</v>
      </c>
      <c r="T1232" s="19" t="s">
        <v>2334</v>
      </c>
      <c r="U1232" s="19" t="s">
        <v>2334</v>
      </c>
      <c r="V1232" s="19" t="s">
        <v>2334</v>
      </c>
      <c r="W1232" s="19" t="s">
        <v>67</v>
      </c>
      <c r="X1232" s="32">
        <v>46231</v>
      </c>
      <c r="Y1232" s="185"/>
      <c r="Z1232" s="19"/>
    </row>
    <row r="1233" spans="1:26">
      <c r="A1233" s="19" t="s">
        <v>2174</v>
      </c>
      <c r="B1233" s="186"/>
      <c r="C1233" s="186"/>
      <c r="D1233" s="186"/>
      <c r="E1233" s="186"/>
      <c r="F1233" s="186"/>
      <c r="G1233" s="186"/>
      <c r="H1233" s="186"/>
      <c r="I1233" s="186"/>
      <c r="J1233" s="186"/>
      <c r="K1233" s="24" t="s">
        <v>3049</v>
      </c>
      <c r="L1233" s="24" t="s">
        <v>170</v>
      </c>
      <c r="M1233" s="19">
        <f>12+92</f>
        <v>104</v>
      </c>
      <c r="N1233" s="93">
        <f>51.84+638.79</f>
        <v>690.63</v>
      </c>
      <c r="O1233" s="19" t="s">
        <v>2588</v>
      </c>
      <c r="P1233" s="19" t="s">
        <v>2191</v>
      </c>
      <c r="Q1233" s="12" t="s">
        <v>89</v>
      </c>
      <c r="R1233" s="24" t="s">
        <v>2334</v>
      </c>
      <c r="S1233" s="24" t="s">
        <v>65</v>
      </c>
      <c r="T1233" s="19" t="s">
        <v>2334</v>
      </c>
      <c r="U1233" s="19" t="s">
        <v>2334</v>
      </c>
      <c r="V1233" s="19" t="s">
        <v>2334</v>
      </c>
      <c r="W1233" s="19" t="s">
        <v>67</v>
      </c>
      <c r="X1233" s="33">
        <v>46231</v>
      </c>
      <c r="Y1233" s="186"/>
      <c r="Z1233" s="19"/>
    </row>
    <row r="1234" spans="1:26">
      <c r="A1234" s="19" t="s">
        <v>2174</v>
      </c>
      <c r="B1234" s="197">
        <v>46226</v>
      </c>
      <c r="C1234" s="192" t="s">
        <v>3050</v>
      </c>
      <c r="D1234" s="184" t="s">
        <v>59</v>
      </c>
      <c r="E1234" s="184" t="s">
        <v>49</v>
      </c>
      <c r="F1234" s="184" t="s">
        <v>774</v>
      </c>
      <c r="G1234" s="184" t="s">
        <v>51</v>
      </c>
      <c r="H1234" s="192" t="s">
        <v>3051</v>
      </c>
      <c r="I1234" s="191" t="s">
        <v>53</v>
      </c>
      <c r="J1234" s="196" t="s">
        <v>55</v>
      </c>
      <c r="K1234" s="24" t="s">
        <v>3052</v>
      </c>
      <c r="L1234" s="24" t="s">
        <v>3053</v>
      </c>
      <c r="M1234" s="19">
        <f>4+77+4</f>
        <v>85</v>
      </c>
      <c r="N1234" s="93">
        <f>17.28+484.866+62</f>
        <v>564.14599999999996</v>
      </c>
      <c r="O1234" s="19" t="s">
        <v>2588</v>
      </c>
      <c r="P1234" s="19" t="s">
        <v>2578</v>
      </c>
      <c r="Q1234" s="12" t="s">
        <v>89</v>
      </c>
      <c r="R1234" s="24" t="s">
        <v>2334</v>
      </c>
      <c r="S1234" s="24" t="s">
        <v>65</v>
      </c>
      <c r="T1234" s="19" t="s">
        <v>2334</v>
      </c>
      <c r="U1234" s="19" t="s">
        <v>2334</v>
      </c>
      <c r="V1234" s="19" t="s">
        <v>2591</v>
      </c>
      <c r="W1234" s="19" t="s">
        <v>67</v>
      </c>
      <c r="X1234" s="32">
        <v>46232</v>
      </c>
      <c r="Y1234" s="195" t="s">
        <v>2428</v>
      </c>
      <c r="Z1234" s="19"/>
    </row>
    <row r="1235" spans="1:26">
      <c r="A1235" s="19" t="s">
        <v>2174</v>
      </c>
      <c r="B1235" s="185"/>
      <c r="C1235" s="185"/>
      <c r="D1235" s="185"/>
      <c r="E1235" s="185"/>
      <c r="F1235" s="185"/>
      <c r="G1235" s="185"/>
      <c r="H1235" s="185"/>
      <c r="I1235" s="185"/>
      <c r="J1235" s="182"/>
      <c r="K1235" s="24" t="s">
        <v>3054</v>
      </c>
      <c r="L1235" s="24" t="s">
        <v>3053</v>
      </c>
      <c r="M1235" s="19">
        <f>1+7+134</f>
        <v>142</v>
      </c>
      <c r="N1235" s="93">
        <f>15.5+30.24+985.306</f>
        <v>1031.046</v>
      </c>
      <c r="O1235" s="19" t="s">
        <v>2588</v>
      </c>
      <c r="P1235" s="19" t="s">
        <v>2578</v>
      </c>
      <c r="Q1235" s="12" t="s">
        <v>89</v>
      </c>
      <c r="R1235" s="24" t="s">
        <v>2334</v>
      </c>
      <c r="S1235" s="24" t="s">
        <v>65</v>
      </c>
      <c r="T1235" s="19" t="s">
        <v>2334</v>
      </c>
      <c r="U1235" s="19" t="s">
        <v>2334</v>
      </c>
      <c r="V1235" s="19" t="s">
        <v>2591</v>
      </c>
      <c r="W1235" s="19" t="s">
        <v>67</v>
      </c>
      <c r="X1235" s="32">
        <v>46232</v>
      </c>
      <c r="Y1235" s="185"/>
      <c r="Z1235" s="19"/>
    </row>
    <row r="1236" spans="1:26">
      <c r="A1236" s="19" t="s">
        <v>2174</v>
      </c>
      <c r="B1236" s="185"/>
      <c r="C1236" s="185"/>
      <c r="D1236" s="185"/>
      <c r="E1236" s="185"/>
      <c r="F1236" s="185"/>
      <c r="G1236" s="185"/>
      <c r="H1236" s="185"/>
      <c r="I1236" s="185"/>
      <c r="J1236" s="182"/>
      <c r="K1236" s="24" t="s">
        <v>3055</v>
      </c>
      <c r="L1236" s="24" t="s">
        <v>3053</v>
      </c>
      <c r="M1236" s="19">
        <f>3+126+9</f>
        <v>138</v>
      </c>
      <c r="N1236" s="93">
        <f>46.5+996.13+38.88</f>
        <v>1081.5100000000002</v>
      </c>
      <c r="O1236" s="19" t="s">
        <v>2588</v>
      </c>
      <c r="P1236" s="19" t="s">
        <v>2578</v>
      </c>
      <c r="Q1236" s="12" t="s">
        <v>89</v>
      </c>
      <c r="R1236" s="24" t="s">
        <v>2334</v>
      </c>
      <c r="S1236" s="24" t="s">
        <v>65</v>
      </c>
      <c r="T1236" s="19" t="s">
        <v>2334</v>
      </c>
      <c r="U1236" s="19" t="s">
        <v>2334</v>
      </c>
      <c r="V1236" s="19" t="s">
        <v>2591</v>
      </c>
      <c r="W1236" s="19" t="s">
        <v>67</v>
      </c>
      <c r="X1236" s="32">
        <v>46232</v>
      </c>
      <c r="Y1236" s="185"/>
      <c r="Z1236" s="19"/>
    </row>
    <row r="1237" spans="1:26">
      <c r="A1237" s="19" t="s">
        <v>2174</v>
      </c>
      <c r="B1237" s="186"/>
      <c r="C1237" s="186"/>
      <c r="D1237" s="186"/>
      <c r="E1237" s="186"/>
      <c r="F1237" s="186"/>
      <c r="G1237" s="186"/>
      <c r="H1237" s="186"/>
      <c r="I1237" s="186"/>
      <c r="J1237" s="183"/>
      <c r="K1237" s="24" t="s">
        <v>3056</v>
      </c>
      <c r="L1237" s="24" t="s">
        <v>3053</v>
      </c>
      <c r="M1237" s="19">
        <f>15+180+15</f>
        <v>210</v>
      </c>
      <c r="N1237" s="93">
        <f>117.072+1272.97+64.8</f>
        <v>1454.8419999999999</v>
      </c>
      <c r="O1237" s="19" t="s">
        <v>2588</v>
      </c>
      <c r="P1237" s="19" t="s">
        <v>2578</v>
      </c>
      <c r="Q1237" s="12" t="s">
        <v>89</v>
      </c>
      <c r="R1237" s="24" t="s">
        <v>2334</v>
      </c>
      <c r="S1237" s="24" t="s">
        <v>65</v>
      </c>
      <c r="T1237" s="19" t="s">
        <v>2334</v>
      </c>
      <c r="U1237" s="19" t="s">
        <v>2334</v>
      </c>
      <c r="V1237" s="19" t="s">
        <v>2334</v>
      </c>
      <c r="W1237" s="19" t="s">
        <v>67</v>
      </c>
      <c r="X1237" s="32">
        <v>46232</v>
      </c>
      <c r="Y1237" s="186"/>
      <c r="Z1237" s="19"/>
    </row>
    <row r="1238" spans="1:26">
      <c r="A1238" s="19" t="s">
        <v>2174</v>
      </c>
      <c r="B1238" s="33">
        <v>46226</v>
      </c>
      <c r="C1238" s="19"/>
      <c r="D1238" s="19" t="s">
        <v>59</v>
      </c>
      <c r="E1238" s="19" t="s">
        <v>236</v>
      </c>
      <c r="F1238" s="19" t="s">
        <v>237</v>
      </c>
      <c r="G1238" s="19" t="s">
        <v>98</v>
      </c>
      <c r="H1238" s="40" t="s">
        <v>238</v>
      </c>
      <c r="I1238" s="24" t="s">
        <v>239</v>
      </c>
      <c r="J1238" s="24" t="s">
        <v>3057</v>
      </c>
      <c r="K1238" s="24" t="s">
        <v>3058</v>
      </c>
      <c r="L1238" s="24" t="s">
        <v>106</v>
      </c>
      <c r="M1238" s="19"/>
      <c r="N1238" s="19"/>
      <c r="O1238" s="19" t="s">
        <v>2588</v>
      </c>
      <c r="P1238" s="19" t="s">
        <v>241</v>
      </c>
      <c r="Q1238" s="12" t="s">
        <v>1441</v>
      </c>
      <c r="R1238" s="24" t="s">
        <v>2334</v>
      </c>
      <c r="S1238" s="24" t="s">
        <v>65</v>
      </c>
      <c r="T1238" s="19" t="s">
        <v>2334</v>
      </c>
      <c r="U1238" s="19" t="s">
        <v>2334</v>
      </c>
      <c r="V1238" s="19" t="s">
        <v>2334</v>
      </c>
      <c r="W1238" s="19" t="s">
        <v>67</v>
      </c>
      <c r="X1238" s="32">
        <v>46230</v>
      </c>
      <c r="Y1238" s="12" t="s">
        <v>2184</v>
      </c>
      <c r="Z1238" s="19"/>
    </row>
    <row r="1239" spans="1:26">
      <c r="A1239" s="19" t="s">
        <v>2174</v>
      </c>
      <c r="B1239" s="197">
        <v>46226</v>
      </c>
      <c r="C1239" s="19"/>
      <c r="D1239" s="184" t="s">
        <v>59</v>
      </c>
      <c r="E1239" s="184" t="s">
        <v>373</v>
      </c>
      <c r="F1239" s="184" t="s">
        <v>3060</v>
      </c>
      <c r="G1239" s="184" t="s">
        <v>51</v>
      </c>
      <c r="H1239" s="192" t="s">
        <v>3061</v>
      </c>
      <c r="I1239" s="191" t="s">
        <v>374</v>
      </c>
      <c r="J1239" s="196" t="s">
        <v>375</v>
      </c>
      <c r="K1239" s="24" t="s">
        <v>3062</v>
      </c>
      <c r="L1239" s="24" t="s">
        <v>330</v>
      </c>
      <c r="M1239" s="19"/>
      <c r="N1239" s="19"/>
      <c r="O1239" s="19" t="s">
        <v>2588</v>
      </c>
      <c r="P1239" s="19" t="s">
        <v>3063</v>
      </c>
      <c r="Q1239" s="12" t="s">
        <v>1441</v>
      </c>
      <c r="R1239" s="24" t="s">
        <v>2334</v>
      </c>
      <c r="S1239" s="24" t="s">
        <v>65</v>
      </c>
      <c r="T1239" s="19" t="s">
        <v>2334</v>
      </c>
      <c r="U1239" s="19" t="s">
        <v>2334</v>
      </c>
      <c r="V1239" s="19" t="s">
        <v>2591</v>
      </c>
      <c r="W1239" s="19" t="s">
        <v>67</v>
      </c>
      <c r="X1239" s="32">
        <v>46234</v>
      </c>
      <c r="Y1239" s="19"/>
      <c r="Z1239" s="19"/>
    </row>
    <row r="1240" spans="1:26">
      <c r="A1240" s="19" t="s">
        <v>2174</v>
      </c>
      <c r="B1240" s="186"/>
      <c r="C1240" s="19"/>
      <c r="D1240" s="186"/>
      <c r="E1240" s="186"/>
      <c r="F1240" s="186"/>
      <c r="G1240" s="186"/>
      <c r="H1240" s="186"/>
      <c r="I1240" s="186"/>
      <c r="J1240" s="183"/>
      <c r="K1240" s="24" t="s">
        <v>3064</v>
      </c>
      <c r="L1240" s="24" t="s">
        <v>330</v>
      </c>
      <c r="M1240" s="19"/>
      <c r="N1240" s="19"/>
      <c r="O1240" s="19" t="s">
        <v>2588</v>
      </c>
      <c r="P1240" s="19" t="s">
        <v>3065</v>
      </c>
      <c r="Q1240" s="12" t="s">
        <v>1441</v>
      </c>
      <c r="R1240" s="24" t="s">
        <v>2334</v>
      </c>
      <c r="S1240" s="24" t="s">
        <v>65</v>
      </c>
      <c r="T1240" s="19" t="s">
        <v>2334</v>
      </c>
      <c r="U1240" s="19" t="s">
        <v>2334</v>
      </c>
      <c r="V1240" s="19" t="s">
        <v>2591</v>
      </c>
      <c r="W1240" s="19" t="s">
        <v>67</v>
      </c>
      <c r="X1240" s="32">
        <v>46234</v>
      </c>
      <c r="Y1240" s="12" t="s">
        <v>3066</v>
      </c>
      <c r="Z1240" s="19">
        <v>0</v>
      </c>
    </row>
    <row r="1241" spans="1:26">
      <c r="A1241" s="19" t="s">
        <v>2174</v>
      </c>
      <c r="B1241" s="81">
        <v>46226</v>
      </c>
      <c r="C1241" s="49"/>
      <c r="D1241" s="49" t="s">
        <v>59</v>
      </c>
      <c r="E1241" s="49" t="s">
        <v>3067</v>
      </c>
      <c r="F1241" s="49" t="s">
        <v>3068</v>
      </c>
      <c r="G1241" s="49" t="s">
        <v>558</v>
      </c>
      <c r="H1241" s="82" t="s">
        <v>2753</v>
      </c>
      <c r="I1241" s="83" t="s">
        <v>3069</v>
      </c>
      <c r="J1241" s="83" t="s">
        <v>28</v>
      </c>
      <c r="K1241" s="83" t="s">
        <v>3070</v>
      </c>
      <c r="L1241" s="83" t="s">
        <v>3071</v>
      </c>
      <c r="M1241" s="49"/>
      <c r="N1241" s="49"/>
      <c r="O1241" s="49" t="s">
        <v>2588</v>
      </c>
      <c r="P1241" s="49" t="s">
        <v>3072</v>
      </c>
      <c r="Q1241" s="84" t="s">
        <v>1441</v>
      </c>
      <c r="R1241" s="83" t="s">
        <v>2334</v>
      </c>
      <c r="S1241" s="83" t="s">
        <v>65</v>
      </c>
      <c r="T1241" s="49" t="s">
        <v>2334</v>
      </c>
      <c r="U1241" s="49" t="s">
        <v>2334</v>
      </c>
      <c r="V1241" s="49" t="s">
        <v>2334</v>
      </c>
      <c r="W1241" s="49" t="s">
        <v>67</v>
      </c>
      <c r="X1241" s="49" t="s">
        <v>3073</v>
      </c>
      <c r="Y1241" s="49"/>
      <c r="Z1241" s="49"/>
    </row>
    <row r="1242" spans="1:26">
      <c r="A1242" s="19" t="s">
        <v>2174</v>
      </c>
      <c r="B1242" s="33">
        <v>46226</v>
      </c>
      <c r="C1242" s="19"/>
      <c r="D1242" s="19" t="s">
        <v>48</v>
      </c>
      <c r="E1242" s="19" t="s">
        <v>71</v>
      </c>
      <c r="F1242" s="19" t="s">
        <v>2201</v>
      </c>
      <c r="G1242" s="19" t="s">
        <v>173</v>
      </c>
      <c r="H1242" s="19" t="s">
        <v>2202</v>
      </c>
      <c r="I1242" s="24" t="s">
        <v>3074</v>
      </c>
      <c r="J1242" s="24" t="s">
        <v>3075</v>
      </c>
      <c r="K1242" s="24" t="s">
        <v>3076</v>
      </c>
      <c r="L1242" s="24" t="s">
        <v>264</v>
      </c>
      <c r="M1242" s="19"/>
      <c r="N1242" s="19"/>
      <c r="O1242" s="19" t="s">
        <v>2588</v>
      </c>
      <c r="P1242" s="19" t="s">
        <v>3077</v>
      </c>
      <c r="Q1242" s="12" t="s">
        <v>1441</v>
      </c>
      <c r="R1242" s="24" t="s">
        <v>2334</v>
      </c>
      <c r="S1242" s="24" t="s">
        <v>65</v>
      </c>
      <c r="T1242" s="19" t="s">
        <v>2334</v>
      </c>
      <c r="U1242" s="19" t="s">
        <v>2334</v>
      </c>
      <c r="V1242" s="19" t="s">
        <v>2591</v>
      </c>
      <c r="W1242" s="19" t="s">
        <v>67</v>
      </c>
      <c r="X1242" s="32">
        <v>46234</v>
      </c>
      <c r="Y1242" s="12" t="s">
        <v>3078</v>
      </c>
      <c r="Z1242" s="43" t="s">
        <v>3079</v>
      </c>
    </row>
    <row r="1243" spans="1:26">
      <c r="A1243" s="19" t="s">
        <v>2174</v>
      </c>
      <c r="B1243" s="33">
        <v>46226</v>
      </c>
      <c r="C1243" s="19"/>
      <c r="D1243" s="19" t="s">
        <v>48</v>
      </c>
      <c r="E1243" s="19" t="s">
        <v>71</v>
      </c>
      <c r="F1243" s="19" t="s">
        <v>2201</v>
      </c>
      <c r="G1243" s="19" t="s">
        <v>173</v>
      </c>
      <c r="H1243" s="19" t="s">
        <v>2202</v>
      </c>
      <c r="I1243" s="24" t="s">
        <v>3074</v>
      </c>
      <c r="J1243" s="24" t="s">
        <v>3075</v>
      </c>
      <c r="K1243" s="24" t="s">
        <v>3080</v>
      </c>
      <c r="L1243" s="24" t="s">
        <v>708</v>
      </c>
      <c r="M1243" s="19"/>
      <c r="N1243" s="19"/>
      <c r="O1243" s="19" t="s">
        <v>2588</v>
      </c>
      <c r="P1243" s="19" t="s">
        <v>3077</v>
      </c>
      <c r="Q1243" s="12" t="s">
        <v>1441</v>
      </c>
      <c r="R1243" s="24" t="s">
        <v>2334</v>
      </c>
      <c r="S1243" s="24" t="s">
        <v>65</v>
      </c>
      <c r="T1243" s="19" t="s">
        <v>2334</v>
      </c>
      <c r="U1243" s="19" t="s">
        <v>2334</v>
      </c>
      <c r="V1243" s="19" t="s">
        <v>2334</v>
      </c>
      <c r="W1243" s="19" t="s">
        <v>67</v>
      </c>
      <c r="X1243" s="32">
        <v>46230</v>
      </c>
      <c r="Y1243" s="12" t="s">
        <v>3081</v>
      </c>
      <c r="Z1243" s="12" t="s">
        <v>3082</v>
      </c>
    </row>
    <row r="1244" spans="1:26">
      <c r="A1244" s="19" t="s">
        <v>2174</v>
      </c>
      <c r="B1244" s="197">
        <v>46226</v>
      </c>
      <c r="C1244" s="184"/>
      <c r="D1244" s="184" t="s">
        <v>48</v>
      </c>
      <c r="E1244" s="184" t="s">
        <v>71</v>
      </c>
      <c r="F1244" s="184" t="s">
        <v>2201</v>
      </c>
      <c r="G1244" s="184" t="s">
        <v>173</v>
      </c>
      <c r="H1244" s="184" t="s">
        <v>2202</v>
      </c>
      <c r="I1244" s="191" t="s">
        <v>3074</v>
      </c>
      <c r="J1244" s="191" t="s">
        <v>3075</v>
      </c>
      <c r="K1244" s="24" t="s">
        <v>3083</v>
      </c>
      <c r="L1244" s="24" t="s">
        <v>330</v>
      </c>
      <c r="M1244" s="19"/>
      <c r="N1244" s="19"/>
      <c r="O1244" s="19" t="s">
        <v>2588</v>
      </c>
      <c r="P1244" s="19" t="s">
        <v>3084</v>
      </c>
      <c r="Q1244" s="12" t="s">
        <v>1441</v>
      </c>
      <c r="R1244" s="24" t="s">
        <v>2334</v>
      </c>
      <c r="S1244" s="24" t="s">
        <v>65</v>
      </c>
      <c r="T1244" s="19" t="s">
        <v>2334</v>
      </c>
      <c r="U1244" s="19" t="s">
        <v>2334</v>
      </c>
      <c r="V1244" s="19" t="s">
        <v>2591</v>
      </c>
      <c r="W1244" s="19" t="s">
        <v>67</v>
      </c>
      <c r="X1244" s="32">
        <v>46234</v>
      </c>
      <c r="Y1244" s="12" t="s">
        <v>3085</v>
      </c>
      <c r="Z1244" s="43" t="s">
        <v>3086</v>
      </c>
    </row>
    <row r="1245" spans="1:26">
      <c r="A1245" s="19" t="s">
        <v>2174</v>
      </c>
      <c r="B1245" s="186"/>
      <c r="C1245" s="186"/>
      <c r="D1245" s="186"/>
      <c r="E1245" s="186"/>
      <c r="F1245" s="186"/>
      <c r="G1245" s="186"/>
      <c r="H1245" s="186"/>
      <c r="I1245" s="186"/>
      <c r="J1245" s="186"/>
      <c r="K1245" s="24" t="s">
        <v>3087</v>
      </c>
      <c r="L1245" s="24" t="s">
        <v>388</v>
      </c>
      <c r="M1245" s="19"/>
      <c r="N1245" s="19"/>
      <c r="O1245" s="19" t="s">
        <v>2588</v>
      </c>
      <c r="P1245" s="19" t="s">
        <v>3084</v>
      </c>
      <c r="Q1245" s="12" t="s">
        <v>1441</v>
      </c>
      <c r="R1245" s="24" t="s">
        <v>2334</v>
      </c>
      <c r="S1245" s="24" t="s">
        <v>65</v>
      </c>
      <c r="T1245" s="19" t="s">
        <v>2334</v>
      </c>
      <c r="U1245" s="19" t="s">
        <v>2334</v>
      </c>
      <c r="V1245" s="19" t="s">
        <v>2591</v>
      </c>
      <c r="W1245" s="19" t="s">
        <v>67</v>
      </c>
      <c r="X1245" s="32">
        <v>46234</v>
      </c>
      <c r="Y1245" s="12" t="s">
        <v>3088</v>
      </c>
      <c r="Z1245" s="43" t="s">
        <v>3089</v>
      </c>
    </row>
    <row r="1246" spans="1:26">
      <c r="A1246" s="19" t="s">
        <v>2174</v>
      </c>
      <c r="B1246" s="33">
        <v>46226</v>
      </c>
      <c r="C1246" s="19"/>
      <c r="D1246" s="19" t="s">
        <v>48</v>
      </c>
      <c r="E1246" s="19" t="s">
        <v>3090</v>
      </c>
      <c r="F1246" s="19" t="s">
        <v>2685</v>
      </c>
      <c r="G1246" s="19" t="s">
        <v>51</v>
      </c>
      <c r="H1246" s="40" t="s">
        <v>2501</v>
      </c>
      <c r="I1246" s="24" t="s">
        <v>3091</v>
      </c>
      <c r="J1246" s="24" t="s">
        <v>3092</v>
      </c>
      <c r="K1246" s="24" t="s">
        <v>3093</v>
      </c>
      <c r="L1246" s="122" t="s">
        <v>104</v>
      </c>
      <c r="M1246" s="19"/>
      <c r="N1246" s="95"/>
      <c r="O1246" s="19" t="s">
        <v>2588</v>
      </c>
      <c r="P1246" s="19" t="s">
        <v>2503</v>
      </c>
      <c r="Q1246" s="12" t="s">
        <v>1441</v>
      </c>
      <c r="R1246" s="24" t="s">
        <v>2334</v>
      </c>
      <c r="S1246" s="24" t="s">
        <v>65</v>
      </c>
      <c r="T1246" s="19" t="s">
        <v>2334</v>
      </c>
      <c r="U1246" s="19" t="s">
        <v>2334</v>
      </c>
      <c r="V1246" s="19" t="s">
        <v>2334</v>
      </c>
      <c r="W1246" s="19" t="s">
        <v>67</v>
      </c>
      <c r="X1246" s="32">
        <v>46230</v>
      </c>
      <c r="Y1246" s="43" t="s">
        <v>3094</v>
      </c>
      <c r="Z1246" s="20"/>
    </row>
    <row r="1247" spans="1:26">
      <c r="A1247" s="19" t="s">
        <v>2174</v>
      </c>
      <c r="B1247" s="33">
        <v>46226</v>
      </c>
      <c r="C1247" s="19"/>
      <c r="D1247" s="19" t="s">
        <v>48</v>
      </c>
      <c r="E1247" s="19" t="s">
        <v>96</v>
      </c>
      <c r="F1247" s="19" t="s">
        <v>2832</v>
      </c>
      <c r="G1247" s="19" t="s">
        <v>127</v>
      </c>
      <c r="H1247" s="40" t="s">
        <v>221</v>
      </c>
      <c r="I1247" s="28" t="s">
        <v>100</v>
      </c>
      <c r="J1247" s="55" t="s">
        <v>102</v>
      </c>
      <c r="K1247" s="24" t="s">
        <v>3095</v>
      </c>
      <c r="L1247" s="94" t="s">
        <v>130</v>
      </c>
      <c r="M1247" s="19"/>
      <c r="N1247" s="19"/>
      <c r="O1247" s="19" t="s">
        <v>2588</v>
      </c>
      <c r="P1247" s="19" t="s">
        <v>573</v>
      </c>
      <c r="Q1247" s="12" t="s">
        <v>1441</v>
      </c>
      <c r="R1247" s="24" t="s">
        <v>2334</v>
      </c>
      <c r="S1247" s="24" t="s">
        <v>65</v>
      </c>
      <c r="T1247" s="19" t="s">
        <v>2334</v>
      </c>
      <c r="U1247" s="19" t="s">
        <v>2334</v>
      </c>
      <c r="V1247" s="19" t="s">
        <v>2334</v>
      </c>
      <c r="W1247" s="19" t="s">
        <v>67</v>
      </c>
      <c r="X1247" s="32">
        <v>46230</v>
      </c>
      <c r="Y1247" s="19"/>
      <c r="Z1247" s="19"/>
    </row>
    <row r="1248" spans="1:26">
      <c r="A1248" s="19" t="s">
        <v>2174</v>
      </c>
      <c r="B1248" s="197">
        <v>46227</v>
      </c>
      <c r="C1248" s="40" t="s">
        <v>3096</v>
      </c>
      <c r="D1248" s="184" t="s">
        <v>48</v>
      </c>
      <c r="E1248" s="184" t="s">
        <v>49</v>
      </c>
      <c r="F1248" s="184" t="s">
        <v>2936</v>
      </c>
      <c r="G1248" s="184" t="s">
        <v>51</v>
      </c>
      <c r="H1248" s="184" t="s">
        <v>3097</v>
      </c>
      <c r="I1248" s="193" t="s">
        <v>53</v>
      </c>
      <c r="J1248" s="181" t="s">
        <v>55</v>
      </c>
      <c r="K1248" s="24" t="s">
        <v>3098</v>
      </c>
      <c r="L1248" s="24" t="s">
        <v>3099</v>
      </c>
      <c r="M1248" s="19">
        <f>6+209+9</f>
        <v>224</v>
      </c>
      <c r="N1248" s="93">
        <f>25.92+1440.264+53.287</f>
        <v>1519.471</v>
      </c>
      <c r="O1248" s="19" t="s">
        <v>2588</v>
      </c>
      <c r="P1248" s="19" t="s">
        <v>2940</v>
      </c>
      <c r="Q1248" s="12" t="s">
        <v>89</v>
      </c>
      <c r="R1248" s="24" t="s">
        <v>2334</v>
      </c>
      <c r="S1248" s="24" t="s">
        <v>65</v>
      </c>
      <c r="T1248" s="19" t="s">
        <v>2334</v>
      </c>
      <c r="U1248" s="19" t="s">
        <v>2334</v>
      </c>
      <c r="V1248" s="19" t="s">
        <v>2334</v>
      </c>
      <c r="W1248" s="19" t="s">
        <v>67</v>
      </c>
      <c r="X1248" s="32">
        <v>46231</v>
      </c>
      <c r="Y1248" s="19"/>
      <c r="Z1248" s="19"/>
    </row>
    <row r="1249" spans="1:26">
      <c r="A1249" s="19" t="s">
        <v>2174</v>
      </c>
      <c r="B1249" s="186"/>
      <c r="C1249" s="40" t="s">
        <v>3100</v>
      </c>
      <c r="D1249" s="186"/>
      <c r="E1249" s="186"/>
      <c r="F1249" s="186"/>
      <c r="G1249" s="186"/>
      <c r="H1249" s="186"/>
      <c r="I1249" s="186"/>
      <c r="J1249" s="183"/>
      <c r="K1249" s="24" t="s">
        <v>3101</v>
      </c>
      <c r="L1249" s="24" t="s">
        <v>3102</v>
      </c>
      <c r="M1249" s="19">
        <f>380+8+4</f>
        <v>392</v>
      </c>
      <c r="N1249" s="93">
        <f>2598.964+45.222+17.28</f>
        <v>2661.4660000000003</v>
      </c>
      <c r="O1249" s="19" t="s">
        <v>2588</v>
      </c>
      <c r="P1249" s="19" t="s">
        <v>2940</v>
      </c>
      <c r="Q1249" s="12" t="s">
        <v>89</v>
      </c>
      <c r="R1249" s="24" t="s">
        <v>2334</v>
      </c>
      <c r="S1249" s="24" t="s">
        <v>65</v>
      </c>
      <c r="T1249" s="19" t="s">
        <v>2334</v>
      </c>
      <c r="U1249" s="19" t="s">
        <v>2334</v>
      </c>
      <c r="V1249" s="19" t="s">
        <v>2334</v>
      </c>
      <c r="W1249" s="19" t="s">
        <v>67</v>
      </c>
      <c r="X1249" s="32">
        <v>46231</v>
      </c>
      <c r="Y1249" s="19"/>
      <c r="Z1249" s="19"/>
    </row>
    <row r="1250" spans="1:26">
      <c r="A1250" s="19" t="s">
        <v>2174</v>
      </c>
      <c r="B1250" s="33">
        <v>46227</v>
      </c>
      <c r="C1250" s="40" t="s">
        <v>3103</v>
      </c>
      <c r="D1250" s="19" t="s">
        <v>48</v>
      </c>
      <c r="E1250" s="19" t="s">
        <v>49</v>
      </c>
      <c r="F1250" s="19" t="s">
        <v>2016</v>
      </c>
      <c r="G1250" s="19" t="s">
        <v>127</v>
      </c>
      <c r="H1250" s="40" t="s">
        <v>288</v>
      </c>
      <c r="I1250" s="28" t="s">
        <v>53</v>
      </c>
      <c r="J1250" s="55" t="s">
        <v>55</v>
      </c>
      <c r="K1250" s="24" t="s">
        <v>3104</v>
      </c>
      <c r="L1250" s="24" t="s">
        <v>151</v>
      </c>
      <c r="M1250" s="19">
        <f>388+375+62+50+1</f>
        <v>876</v>
      </c>
      <c r="N1250" s="93">
        <f>2653.584+2710.56+267.84+583.2+0.17</f>
        <v>6215.3540000000003</v>
      </c>
      <c r="O1250" s="19" t="s">
        <v>2588</v>
      </c>
      <c r="P1250" s="19" t="s">
        <v>290</v>
      </c>
      <c r="Q1250" s="12" t="s">
        <v>89</v>
      </c>
      <c r="R1250" s="24" t="s">
        <v>2334</v>
      </c>
      <c r="S1250" s="24" t="s">
        <v>65</v>
      </c>
      <c r="T1250" s="19" t="s">
        <v>2334</v>
      </c>
      <c r="U1250" s="19" t="s">
        <v>2334</v>
      </c>
      <c r="V1250" s="19" t="s">
        <v>2334</v>
      </c>
      <c r="W1250" s="19" t="s">
        <v>67</v>
      </c>
      <c r="X1250" s="33">
        <v>46231</v>
      </c>
      <c r="Y1250" s="12" t="s">
        <v>2428</v>
      </c>
      <c r="Z1250" s="19"/>
    </row>
    <row r="1251" spans="1:26">
      <c r="A1251" s="19" t="s">
        <v>2174</v>
      </c>
      <c r="B1251" s="81">
        <v>46227</v>
      </c>
      <c r="C1251" s="49"/>
      <c r="D1251" s="49" t="s">
        <v>48</v>
      </c>
      <c r="E1251" s="49" t="s">
        <v>3105</v>
      </c>
      <c r="F1251" s="49" t="s">
        <v>2700</v>
      </c>
      <c r="G1251" s="49" t="s">
        <v>3106</v>
      </c>
      <c r="H1251" s="82" t="s">
        <v>306</v>
      </c>
      <c r="I1251" s="83" t="s">
        <v>3107</v>
      </c>
      <c r="J1251" s="83" t="s">
        <v>3108</v>
      </c>
      <c r="K1251" s="83" t="s">
        <v>3109</v>
      </c>
      <c r="L1251" s="83" t="s">
        <v>3110</v>
      </c>
      <c r="M1251" s="49"/>
      <c r="N1251" s="49"/>
      <c r="O1251" s="49" t="s">
        <v>2588</v>
      </c>
      <c r="P1251" s="49" t="s">
        <v>307</v>
      </c>
      <c r="Q1251" s="84" t="s">
        <v>1441</v>
      </c>
      <c r="R1251" s="83" t="s">
        <v>2334</v>
      </c>
      <c r="S1251" s="83" t="s">
        <v>65</v>
      </c>
      <c r="T1251" s="49" t="s">
        <v>2334</v>
      </c>
      <c r="U1251" s="49" t="s">
        <v>2334</v>
      </c>
      <c r="V1251" s="49" t="s">
        <v>2334</v>
      </c>
      <c r="W1251" s="19" t="s">
        <v>67</v>
      </c>
      <c r="X1251" s="33">
        <v>46231</v>
      </c>
      <c r="Y1251" s="84" t="s">
        <v>2394</v>
      </c>
      <c r="Z1251" s="49"/>
    </row>
    <row r="1252" spans="1:26">
      <c r="A1252" s="19" t="s">
        <v>2174</v>
      </c>
      <c r="B1252" s="197">
        <v>46227</v>
      </c>
      <c r="C1252" s="40" t="s">
        <v>3111</v>
      </c>
      <c r="D1252" s="184" t="s">
        <v>48</v>
      </c>
      <c r="E1252" s="184" t="s">
        <v>49</v>
      </c>
      <c r="F1252" s="184" t="s">
        <v>223</v>
      </c>
      <c r="G1252" s="184" t="s">
        <v>127</v>
      </c>
      <c r="H1252" s="192" t="s">
        <v>143</v>
      </c>
      <c r="I1252" s="193" t="s">
        <v>53</v>
      </c>
      <c r="J1252" s="181" t="s">
        <v>55</v>
      </c>
      <c r="K1252" s="24" t="s">
        <v>3112</v>
      </c>
      <c r="L1252" s="24" t="s">
        <v>470</v>
      </c>
      <c r="M1252" s="19">
        <f>344+18</f>
        <v>362</v>
      </c>
      <c r="N1252" s="93">
        <f>2445.42+77.76</f>
        <v>2523.1800000000003</v>
      </c>
      <c r="O1252" s="19" t="s">
        <v>2588</v>
      </c>
      <c r="P1252" s="19" t="s">
        <v>462</v>
      </c>
      <c r="Q1252" s="12" t="s">
        <v>89</v>
      </c>
      <c r="R1252" s="24" t="s">
        <v>2334</v>
      </c>
      <c r="S1252" s="24" t="s">
        <v>65</v>
      </c>
      <c r="T1252" s="19" t="s">
        <v>2334</v>
      </c>
      <c r="U1252" s="19" t="s">
        <v>2334</v>
      </c>
      <c r="V1252" s="19" t="s">
        <v>2334</v>
      </c>
      <c r="W1252" s="19" t="s">
        <v>67</v>
      </c>
      <c r="X1252" s="33">
        <v>46231</v>
      </c>
      <c r="Y1252" s="12" t="s">
        <v>2428</v>
      </c>
      <c r="Z1252" s="19"/>
    </row>
    <row r="1253" spans="1:26">
      <c r="A1253" s="19" t="s">
        <v>2174</v>
      </c>
      <c r="B1253" s="186"/>
      <c r="C1253" s="40" t="s">
        <v>3113</v>
      </c>
      <c r="D1253" s="186"/>
      <c r="E1253" s="186"/>
      <c r="F1253" s="186"/>
      <c r="G1253" s="186"/>
      <c r="H1253" s="186"/>
      <c r="I1253" s="186"/>
      <c r="J1253" s="183"/>
      <c r="K1253" s="24" t="s">
        <v>3114</v>
      </c>
      <c r="L1253" s="24" t="s">
        <v>1043</v>
      </c>
      <c r="M1253" s="19">
        <f>473+15</f>
        <v>488</v>
      </c>
      <c r="N1253" s="93">
        <f>3458.036+64.8</f>
        <v>3522.8360000000002</v>
      </c>
      <c r="O1253" s="19" t="s">
        <v>2588</v>
      </c>
      <c r="P1253" s="19" t="s">
        <v>462</v>
      </c>
      <c r="Q1253" s="12" t="s">
        <v>89</v>
      </c>
      <c r="R1253" s="24" t="s">
        <v>2334</v>
      </c>
      <c r="S1253" s="24" t="s">
        <v>65</v>
      </c>
      <c r="T1253" s="19" t="s">
        <v>2334</v>
      </c>
      <c r="U1253" s="19" t="s">
        <v>2334</v>
      </c>
      <c r="V1253" s="19" t="s">
        <v>2334</v>
      </c>
      <c r="W1253" s="19" t="s">
        <v>67</v>
      </c>
      <c r="X1253" s="33">
        <v>46231</v>
      </c>
      <c r="Y1253" s="12" t="s">
        <v>2428</v>
      </c>
      <c r="Z1253" s="19"/>
    </row>
    <row r="1254" spans="1:26">
      <c r="A1254" s="19" t="s">
        <v>2174</v>
      </c>
      <c r="B1254" s="197">
        <v>46227</v>
      </c>
      <c r="C1254" s="19"/>
      <c r="D1254" s="184" t="s">
        <v>59</v>
      </c>
      <c r="E1254" s="184" t="s">
        <v>3115</v>
      </c>
      <c r="F1254" s="184" t="s">
        <v>3116</v>
      </c>
      <c r="G1254" s="184" t="s">
        <v>127</v>
      </c>
      <c r="H1254" s="192" t="s">
        <v>3117</v>
      </c>
      <c r="I1254" s="191" t="s">
        <v>3118</v>
      </c>
      <c r="J1254" s="191" t="s">
        <v>3119</v>
      </c>
      <c r="K1254" s="24" t="s">
        <v>3120</v>
      </c>
      <c r="L1254" s="24" t="s">
        <v>3121</v>
      </c>
      <c r="M1254" s="19"/>
      <c r="N1254" s="19"/>
      <c r="O1254" s="19" t="s">
        <v>2334</v>
      </c>
      <c r="P1254" s="19" t="s">
        <v>3122</v>
      </c>
      <c r="Q1254" s="12" t="s">
        <v>1441</v>
      </c>
      <c r="R1254" s="24" t="s">
        <v>2334</v>
      </c>
      <c r="S1254" s="24" t="s">
        <v>65</v>
      </c>
      <c r="T1254" s="19" t="s">
        <v>2334</v>
      </c>
      <c r="U1254" s="19" t="s">
        <v>2334</v>
      </c>
      <c r="V1254" s="19" t="s">
        <v>2334</v>
      </c>
      <c r="W1254" s="19" t="s">
        <v>67</v>
      </c>
      <c r="X1254" s="32">
        <v>46233</v>
      </c>
      <c r="Y1254" s="19"/>
      <c r="Z1254" s="19"/>
    </row>
    <row r="1255" spans="1:26">
      <c r="A1255" s="19" t="s">
        <v>2174</v>
      </c>
      <c r="B1255" s="186"/>
      <c r="C1255" s="19"/>
      <c r="D1255" s="186"/>
      <c r="E1255" s="186"/>
      <c r="F1255" s="186"/>
      <c r="G1255" s="186"/>
      <c r="H1255" s="186"/>
      <c r="I1255" s="186"/>
      <c r="J1255" s="186"/>
      <c r="K1255" s="24" t="s">
        <v>3123</v>
      </c>
      <c r="L1255" s="24" t="s">
        <v>3124</v>
      </c>
      <c r="M1255" s="19"/>
      <c r="N1255" s="19"/>
      <c r="O1255" s="19" t="s">
        <v>2334</v>
      </c>
      <c r="P1255" s="19" t="s">
        <v>3122</v>
      </c>
      <c r="Q1255" s="12" t="s">
        <v>1441</v>
      </c>
      <c r="R1255" s="24" t="s">
        <v>2334</v>
      </c>
      <c r="S1255" s="24" t="s">
        <v>65</v>
      </c>
      <c r="T1255" s="19" t="s">
        <v>2334</v>
      </c>
      <c r="U1255" s="19" t="s">
        <v>2334</v>
      </c>
      <c r="V1255" s="19" t="s">
        <v>2334</v>
      </c>
      <c r="W1255" s="19" t="s">
        <v>67</v>
      </c>
      <c r="X1255" s="32">
        <v>46233</v>
      </c>
      <c r="Y1255" s="19"/>
      <c r="Z1255" s="19"/>
    </row>
    <row r="1256" spans="1:26">
      <c r="A1256" s="19" t="s">
        <v>2174</v>
      </c>
      <c r="B1256" s="33">
        <v>46227</v>
      </c>
      <c r="C1256" s="19"/>
      <c r="D1256" s="19" t="s">
        <v>59</v>
      </c>
      <c r="E1256" s="19" t="s">
        <v>2904</v>
      </c>
      <c r="F1256" s="19" t="s">
        <v>368</v>
      </c>
      <c r="G1256" s="19" t="s">
        <v>127</v>
      </c>
      <c r="H1256" s="40" t="s">
        <v>128</v>
      </c>
      <c r="I1256" s="24" t="s">
        <v>3125</v>
      </c>
      <c r="J1256" s="24" t="s">
        <v>2906</v>
      </c>
      <c r="K1256" s="24" t="s">
        <v>3126</v>
      </c>
      <c r="L1256" s="24" t="s">
        <v>3127</v>
      </c>
      <c r="M1256" s="19"/>
      <c r="N1256" s="19"/>
      <c r="O1256" s="19" t="s">
        <v>2588</v>
      </c>
      <c r="P1256" s="19" t="s">
        <v>132</v>
      </c>
      <c r="Q1256" s="12" t="s">
        <v>89</v>
      </c>
      <c r="R1256" s="24" t="s">
        <v>2334</v>
      </c>
      <c r="S1256" s="24" t="s">
        <v>65</v>
      </c>
      <c r="T1256" s="19" t="s">
        <v>2334</v>
      </c>
      <c r="U1256" s="19" t="s">
        <v>2334</v>
      </c>
      <c r="V1256" s="19" t="s">
        <v>2334</v>
      </c>
      <c r="W1256" s="19" t="s">
        <v>67</v>
      </c>
      <c r="X1256" s="32">
        <v>46228</v>
      </c>
      <c r="Y1256" s="19"/>
      <c r="Z1256" s="19"/>
    </row>
    <row r="1257" spans="1:26">
      <c r="A1257" s="19" t="s">
        <v>2174</v>
      </c>
      <c r="B1257" s="33">
        <v>46227</v>
      </c>
      <c r="C1257" s="19"/>
      <c r="D1257" s="19" t="s">
        <v>59</v>
      </c>
      <c r="E1257" s="19" t="s">
        <v>236</v>
      </c>
      <c r="F1257" s="19" t="s">
        <v>3128</v>
      </c>
      <c r="G1257" s="19" t="s">
        <v>220</v>
      </c>
      <c r="H1257" s="40" t="s">
        <v>2186</v>
      </c>
      <c r="I1257" s="28" t="s">
        <v>239</v>
      </c>
      <c r="J1257" s="55" t="s">
        <v>240</v>
      </c>
      <c r="K1257" s="24" t="s">
        <v>3129</v>
      </c>
      <c r="L1257" s="24" t="s">
        <v>170</v>
      </c>
      <c r="M1257" s="19"/>
      <c r="N1257" s="19"/>
      <c r="O1257" s="19" t="s">
        <v>2588</v>
      </c>
      <c r="P1257" s="19" t="s">
        <v>218</v>
      </c>
      <c r="Q1257" s="12" t="s">
        <v>1441</v>
      </c>
      <c r="R1257" s="24" t="s">
        <v>2334</v>
      </c>
      <c r="S1257" s="24" t="s">
        <v>65</v>
      </c>
      <c r="T1257" s="19" t="s">
        <v>2334</v>
      </c>
      <c r="U1257" s="19" t="s">
        <v>2334</v>
      </c>
      <c r="V1257" s="19" t="s">
        <v>2334</v>
      </c>
      <c r="W1257" s="19" t="s">
        <v>67</v>
      </c>
      <c r="X1257" s="32">
        <v>46230</v>
      </c>
      <c r="Y1257" s="12" t="s">
        <v>3130</v>
      </c>
      <c r="Z1257" s="19"/>
    </row>
    <row r="1258" spans="1:26">
      <c r="A1258" s="19" t="s">
        <v>2174</v>
      </c>
      <c r="B1258" s="33">
        <v>46227</v>
      </c>
      <c r="C1258" s="19"/>
      <c r="D1258" s="19" t="s">
        <v>48</v>
      </c>
      <c r="E1258" s="19" t="s">
        <v>609</v>
      </c>
      <c r="F1258" s="19" t="s">
        <v>3131</v>
      </c>
      <c r="G1258" s="19" t="s">
        <v>51</v>
      </c>
      <c r="H1258" s="40" t="s">
        <v>1771</v>
      </c>
      <c r="I1258" s="24" t="s">
        <v>2570</v>
      </c>
      <c r="J1258" s="24" t="s">
        <v>330</v>
      </c>
      <c r="K1258" s="24" t="s">
        <v>3132</v>
      </c>
      <c r="L1258" s="24" t="s">
        <v>246</v>
      </c>
      <c r="M1258" s="19"/>
      <c r="N1258" s="19"/>
      <c r="O1258" s="19" t="s">
        <v>2334</v>
      </c>
      <c r="P1258" s="19" t="s">
        <v>1772</v>
      </c>
      <c r="Q1258" s="12" t="s">
        <v>89</v>
      </c>
      <c r="R1258" s="24" t="s">
        <v>2334</v>
      </c>
      <c r="S1258" s="24" t="s">
        <v>65</v>
      </c>
      <c r="T1258" s="19" t="s">
        <v>2334</v>
      </c>
      <c r="U1258" s="19" t="s">
        <v>2334</v>
      </c>
      <c r="V1258" s="19" t="s">
        <v>2334</v>
      </c>
      <c r="W1258" s="19" t="s">
        <v>67</v>
      </c>
      <c r="X1258" s="32">
        <v>46235</v>
      </c>
      <c r="Y1258" s="19"/>
      <c r="Z1258" s="12" t="s">
        <v>3133</v>
      </c>
    </row>
    <row r="1259" spans="1:26">
      <c r="A1259" s="19" t="s">
        <v>2174</v>
      </c>
      <c r="B1259" s="33">
        <v>46227</v>
      </c>
      <c r="C1259" s="19"/>
      <c r="D1259" s="19" t="s">
        <v>48</v>
      </c>
      <c r="E1259" s="19" t="s">
        <v>200</v>
      </c>
      <c r="F1259" s="19" t="s">
        <v>3134</v>
      </c>
      <c r="G1259" s="19" t="s">
        <v>51</v>
      </c>
      <c r="H1259" s="40" t="s">
        <v>3135</v>
      </c>
      <c r="I1259" s="24" t="s">
        <v>3136</v>
      </c>
      <c r="J1259" s="24" t="s">
        <v>3137</v>
      </c>
      <c r="K1259" s="24" t="s">
        <v>3138</v>
      </c>
      <c r="L1259" s="24" t="s">
        <v>3139</v>
      </c>
      <c r="M1259" s="19"/>
      <c r="N1259" s="19"/>
      <c r="O1259" s="19" t="s">
        <v>2334</v>
      </c>
      <c r="P1259" s="19" t="s">
        <v>3140</v>
      </c>
      <c r="Q1259" s="12" t="s">
        <v>1441</v>
      </c>
      <c r="R1259" s="24" t="s">
        <v>2334</v>
      </c>
      <c r="S1259" s="24" t="s">
        <v>65</v>
      </c>
      <c r="T1259" s="19" t="s">
        <v>2334</v>
      </c>
      <c r="U1259" s="19" t="s">
        <v>2334</v>
      </c>
      <c r="V1259" s="19" t="s">
        <v>2334</v>
      </c>
      <c r="W1259" s="19" t="s">
        <v>67</v>
      </c>
      <c r="X1259" s="32">
        <v>46230</v>
      </c>
      <c r="Y1259" s="19"/>
      <c r="Z1259" s="19"/>
    </row>
    <row r="1260" spans="1:26">
      <c r="A1260" s="19" t="s">
        <v>2174</v>
      </c>
      <c r="B1260" s="33">
        <v>46227</v>
      </c>
      <c r="C1260" s="19"/>
      <c r="D1260" s="19" t="s">
        <v>48</v>
      </c>
      <c r="E1260" s="19" t="s">
        <v>609</v>
      </c>
      <c r="F1260" s="19" t="s">
        <v>3141</v>
      </c>
      <c r="G1260" s="19" t="s">
        <v>220</v>
      </c>
      <c r="H1260" s="40" t="s">
        <v>3142</v>
      </c>
      <c r="I1260" s="24" t="s">
        <v>2279</v>
      </c>
      <c r="J1260" s="24" t="s">
        <v>330</v>
      </c>
      <c r="K1260" s="24" t="s">
        <v>3143</v>
      </c>
      <c r="L1260" s="24" t="s">
        <v>28</v>
      </c>
      <c r="M1260" s="19"/>
      <c r="N1260" s="19"/>
      <c r="O1260" s="19" t="s">
        <v>2334</v>
      </c>
      <c r="P1260" s="19" t="s">
        <v>3144</v>
      </c>
      <c r="Q1260" s="12" t="s">
        <v>89</v>
      </c>
      <c r="R1260" s="24" t="s">
        <v>2334</v>
      </c>
      <c r="S1260" s="24" t="s">
        <v>65</v>
      </c>
      <c r="T1260" s="19" t="s">
        <v>2334</v>
      </c>
      <c r="U1260" s="19" t="s">
        <v>2334</v>
      </c>
      <c r="V1260" s="19" t="s">
        <v>2334</v>
      </c>
      <c r="W1260" s="19" t="s">
        <v>67</v>
      </c>
      <c r="X1260" s="32">
        <v>46230</v>
      </c>
      <c r="Y1260" s="19"/>
      <c r="Z1260" s="19"/>
    </row>
    <row r="1261" spans="1:26">
      <c r="A1261" s="19" t="s">
        <v>2174</v>
      </c>
      <c r="B1261" s="102">
        <v>46227</v>
      </c>
      <c r="C1261" s="104"/>
      <c r="D1261" s="104" t="s">
        <v>48</v>
      </c>
      <c r="E1261" s="104" t="s">
        <v>3145</v>
      </c>
      <c r="F1261" s="104" t="s">
        <v>3146</v>
      </c>
      <c r="G1261" s="104" t="s">
        <v>51</v>
      </c>
      <c r="H1261" s="105" t="s">
        <v>3147</v>
      </c>
      <c r="I1261" s="106" t="s">
        <v>3148</v>
      </c>
      <c r="J1261" s="106" t="s">
        <v>3149</v>
      </c>
      <c r="K1261" s="123" t="s">
        <v>3150</v>
      </c>
      <c r="L1261" s="106" t="s">
        <v>28</v>
      </c>
      <c r="M1261" s="104"/>
      <c r="N1261" s="104"/>
      <c r="O1261" s="104"/>
      <c r="P1261" s="104" t="s">
        <v>3151</v>
      </c>
      <c r="Q1261" s="108" t="s">
        <v>1441</v>
      </c>
      <c r="R1261" s="106"/>
      <c r="S1261" s="106" t="s">
        <v>2751</v>
      </c>
      <c r="T1261" s="104"/>
      <c r="U1261" s="104"/>
      <c r="V1261" s="104"/>
      <c r="W1261" s="104"/>
      <c r="X1261" s="104"/>
      <c r="Y1261" s="104"/>
      <c r="Z1261" s="104"/>
    </row>
    <row r="1262" spans="1:26">
      <c r="A1262" s="19" t="s">
        <v>2174</v>
      </c>
      <c r="B1262" s="197">
        <v>46227</v>
      </c>
      <c r="C1262" s="19"/>
      <c r="D1262" s="184" t="s">
        <v>48</v>
      </c>
      <c r="E1262" s="184" t="s">
        <v>609</v>
      </c>
      <c r="F1262" s="184" t="s">
        <v>3152</v>
      </c>
      <c r="G1262" s="184" t="s">
        <v>51</v>
      </c>
      <c r="H1262" s="192" t="s">
        <v>2459</v>
      </c>
      <c r="I1262" s="191" t="s">
        <v>2305</v>
      </c>
      <c r="J1262" s="191" t="s">
        <v>330</v>
      </c>
      <c r="K1262" s="24" t="s">
        <v>3153</v>
      </c>
      <c r="L1262" s="24" t="s">
        <v>104</v>
      </c>
      <c r="M1262" s="19"/>
      <c r="N1262" s="19"/>
      <c r="O1262" s="19" t="s">
        <v>2588</v>
      </c>
      <c r="P1262" s="19" t="s">
        <v>2854</v>
      </c>
      <c r="Q1262" s="12" t="s">
        <v>89</v>
      </c>
      <c r="R1262" s="24" t="s">
        <v>2334</v>
      </c>
      <c r="S1262" s="24" t="s">
        <v>65</v>
      </c>
      <c r="T1262" s="19" t="s">
        <v>2334</v>
      </c>
      <c r="U1262" s="19" t="s">
        <v>2334</v>
      </c>
      <c r="V1262" s="19" t="s">
        <v>2334</v>
      </c>
      <c r="W1262" s="19" t="s">
        <v>67</v>
      </c>
      <c r="X1262" s="32">
        <v>46230</v>
      </c>
      <c r="Y1262" s="19"/>
      <c r="Z1262" s="19"/>
    </row>
    <row r="1263" spans="1:26">
      <c r="A1263" s="19" t="s">
        <v>2174</v>
      </c>
      <c r="B1263" s="186"/>
      <c r="C1263" s="19"/>
      <c r="D1263" s="186"/>
      <c r="E1263" s="186"/>
      <c r="F1263" s="186"/>
      <c r="G1263" s="186"/>
      <c r="H1263" s="186"/>
      <c r="I1263" s="186"/>
      <c r="J1263" s="186"/>
      <c r="K1263" s="24" t="s">
        <v>3154</v>
      </c>
      <c r="L1263" s="24" t="s">
        <v>104</v>
      </c>
      <c r="M1263" s="19"/>
      <c r="N1263" s="19"/>
      <c r="O1263" s="19" t="s">
        <v>2588</v>
      </c>
      <c r="P1263" s="19" t="s">
        <v>2854</v>
      </c>
      <c r="Q1263" s="12" t="s">
        <v>89</v>
      </c>
      <c r="R1263" s="24" t="s">
        <v>2334</v>
      </c>
      <c r="S1263" s="24" t="s">
        <v>65</v>
      </c>
      <c r="T1263" s="19" t="s">
        <v>2334</v>
      </c>
      <c r="U1263" s="19" t="s">
        <v>2334</v>
      </c>
      <c r="V1263" s="19" t="s">
        <v>2334</v>
      </c>
      <c r="W1263" s="19" t="s">
        <v>67</v>
      </c>
      <c r="X1263" s="32">
        <v>46230</v>
      </c>
      <c r="Y1263" s="19"/>
      <c r="Z1263" s="19"/>
    </row>
    <row r="1264" spans="1:26">
      <c r="A1264" s="19" t="s">
        <v>2174</v>
      </c>
      <c r="B1264" s="197">
        <v>46227</v>
      </c>
      <c r="C1264" s="184"/>
      <c r="D1264" s="184" t="s">
        <v>48</v>
      </c>
      <c r="E1264" s="184" t="s">
        <v>609</v>
      </c>
      <c r="F1264" s="184" t="s">
        <v>2363</v>
      </c>
      <c r="G1264" s="184" t="s">
        <v>51</v>
      </c>
      <c r="H1264" s="192" t="s">
        <v>1053</v>
      </c>
      <c r="I1264" s="24" t="s">
        <v>3155</v>
      </c>
      <c r="J1264" s="24" t="s">
        <v>182</v>
      </c>
      <c r="K1264" s="24" t="s">
        <v>3156</v>
      </c>
      <c r="L1264" s="24" t="s">
        <v>28</v>
      </c>
      <c r="M1264" s="19"/>
      <c r="N1264" s="19"/>
      <c r="O1264" s="19" t="s">
        <v>2588</v>
      </c>
      <c r="P1264" s="19" t="s">
        <v>180</v>
      </c>
      <c r="Q1264" s="12" t="s">
        <v>89</v>
      </c>
      <c r="R1264" s="24" t="s">
        <v>2334</v>
      </c>
      <c r="S1264" s="24" t="s">
        <v>65</v>
      </c>
      <c r="T1264" s="19" t="s">
        <v>2334</v>
      </c>
      <c r="U1264" s="19" t="s">
        <v>2334</v>
      </c>
      <c r="V1264" s="19" t="s">
        <v>2334</v>
      </c>
      <c r="W1264" s="19" t="s">
        <v>67</v>
      </c>
      <c r="X1264" s="32">
        <v>46230</v>
      </c>
      <c r="Y1264" s="19"/>
      <c r="Z1264" s="19"/>
    </row>
    <row r="1265" spans="1:26">
      <c r="A1265" s="19" t="s">
        <v>2174</v>
      </c>
      <c r="B1265" s="186"/>
      <c r="C1265" s="186"/>
      <c r="D1265" s="186"/>
      <c r="E1265" s="186"/>
      <c r="F1265" s="186"/>
      <c r="G1265" s="186"/>
      <c r="H1265" s="186"/>
      <c r="I1265" s="24" t="s">
        <v>2279</v>
      </c>
      <c r="J1265" s="24" t="s">
        <v>330</v>
      </c>
      <c r="K1265" s="24" t="s">
        <v>164</v>
      </c>
      <c r="L1265" s="24" t="s">
        <v>104</v>
      </c>
      <c r="M1265" s="19"/>
      <c r="N1265" s="19"/>
      <c r="O1265" s="19" t="s">
        <v>2588</v>
      </c>
      <c r="P1265" s="19" t="s">
        <v>180</v>
      </c>
      <c r="Q1265" s="12" t="s">
        <v>89</v>
      </c>
      <c r="R1265" s="24" t="s">
        <v>2334</v>
      </c>
      <c r="S1265" s="24" t="s">
        <v>65</v>
      </c>
      <c r="T1265" s="19" t="s">
        <v>2334</v>
      </c>
      <c r="U1265" s="19" t="s">
        <v>2334</v>
      </c>
      <c r="V1265" s="19" t="s">
        <v>2334</v>
      </c>
      <c r="W1265" s="19" t="s">
        <v>67</v>
      </c>
      <c r="X1265" s="32">
        <v>46230</v>
      </c>
      <c r="Y1265" s="19"/>
      <c r="Z1265" s="19"/>
    </row>
    <row r="1266" spans="1:26">
      <c r="A1266" s="19" t="s">
        <v>2174</v>
      </c>
      <c r="B1266" s="33">
        <v>46227</v>
      </c>
      <c r="C1266" s="19"/>
      <c r="D1266" s="19" t="s">
        <v>48</v>
      </c>
      <c r="E1266" s="19" t="s">
        <v>284</v>
      </c>
      <c r="F1266" s="19" t="s">
        <v>2438</v>
      </c>
      <c r="G1266" s="19" t="s">
        <v>2670</v>
      </c>
      <c r="H1266" s="40" t="s">
        <v>2082</v>
      </c>
      <c r="I1266" s="24" t="s">
        <v>2777</v>
      </c>
      <c r="J1266" s="24" t="s">
        <v>2778</v>
      </c>
      <c r="K1266" s="24" t="s">
        <v>3157</v>
      </c>
      <c r="L1266" s="24" t="s">
        <v>678</v>
      </c>
      <c r="M1266" s="19"/>
      <c r="N1266" s="19"/>
      <c r="O1266" s="19" t="s">
        <v>2588</v>
      </c>
      <c r="P1266" s="19" t="s">
        <v>2045</v>
      </c>
      <c r="Q1266" s="12" t="s">
        <v>1441</v>
      </c>
      <c r="R1266" s="24" t="s">
        <v>2334</v>
      </c>
      <c r="S1266" s="24" t="s">
        <v>65</v>
      </c>
      <c r="T1266" s="19" t="s">
        <v>2334</v>
      </c>
      <c r="U1266" s="19" t="s">
        <v>2334</v>
      </c>
      <c r="V1266" s="19" t="s">
        <v>2334</v>
      </c>
      <c r="W1266" s="19" t="s">
        <v>67</v>
      </c>
      <c r="X1266" s="32">
        <v>46234</v>
      </c>
      <c r="Y1266" s="19"/>
      <c r="Z1266" s="19"/>
    </row>
    <row r="1267" spans="1:26">
      <c r="A1267" s="19" t="s">
        <v>2174</v>
      </c>
      <c r="B1267" s="224">
        <v>46227</v>
      </c>
      <c r="C1267" s="221"/>
      <c r="D1267" s="221" t="s">
        <v>48</v>
      </c>
      <c r="E1267" s="221" t="s">
        <v>2335</v>
      </c>
      <c r="F1267" s="221" t="s">
        <v>3158</v>
      </c>
      <c r="G1267" s="221" t="s">
        <v>1794</v>
      </c>
      <c r="H1267" s="222" t="s">
        <v>2290</v>
      </c>
      <c r="I1267" s="220" t="s">
        <v>456</v>
      </c>
      <c r="J1267" s="220" t="s">
        <v>457</v>
      </c>
      <c r="K1267" s="83" t="s">
        <v>3159</v>
      </c>
      <c r="L1267" s="83" t="s">
        <v>130</v>
      </c>
      <c r="M1267" s="49" t="s">
        <v>3160</v>
      </c>
      <c r="N1267" s="49"/>
      <c r="O1267" s="49" t="s">
        <v>2588</v>
      </c>
      <c r="P1267" s="49" t="s">
        <v>3161</v>
      </c>
      <c r="Q1267" s="84" t="s">
        <v>1441</v>
      </c>
      <c r="R1267" s="83" t="s">
        <v>2334</v>
      </c>
      <c r="S1267" s="83" t="s">
        <v>65</v>
      </c>
      <c r="T1267" s="49" t="s">
        <v>2334</v>
      </c>
      <c r="U1267" s="49" t="s">
        <v>2334</v>
      </c>
      <c r="V1267" s="49" t="s">
        <v>2334</v>
      </c>
      <c r="W1267" s="49" t="s">
        <v>67</v>
      </c>
      <c r="X1267" s="81">
        <v>46233</v>
      </c>
      <c r="Y1267" s="49"/>
      <c r="Z1267" s="101" t="s">
        <v>3162</v>
      </c>
    </row>
    <row r="1268" spans="1:26">
      <c r="A1268" s="19" t="s">
        <v>2174</v>
      </c>
      <c r="B1268" s="186"/>
      <c r="C1268" s="186"/>
      <c r="D1268" s="186"/>
      <c r="E1268" s="186"/>
      <c r="F1268" s="186"/>
      <c r="G1268" s="186"/>
      <c r="H1268" s="186"/>
      <c r="I1268" s="186"/>
      <c r="J1268" s="186"/>
      <c r="K1268" s="83" t="s">
        <v>3163</v>
      </c>
      <c r="L1268" s="83" t="s">
        <v>130</v>
      </c>
      <c r="M1268" s="49"/>
      <c r="N1268" s="49"/>
      <c r="O1268" s="49" t="s">
        <v>2588</v>
      </c>
      <c r="P1268" s="49" t="s">
        <v>3161</v>
      </c>
      <c r="Q1268" s="84" t="s">
        <v>1441</v>
      </c>
      <c r="R1268" s="83" t="s">
        <v>2334</v>
      </c>
      <c r="S1268" s="83" t="s">
        <v>65</v>
      </c>
      <c r="T1268" s="49" t="s">
        <v>2334</v>
      </c>
      <c r="U1268" s="49" t="s">
        <v>2334</v>
      </c>
      <c r="V1268" s="49" t="s">
        <v>2334</v>
      </c>
      <c r="W1268" s="49" t="s">
        <v>67</v>
      </c>
      <c r="X1268" s="81">
        <v>46233</v>
      </c>
      <c r="Y1268" s="49"/>
      <c r="Z1268" s="101" t="s">
        <v>3164</v>
      </c>
    </row>
    <row r="1269" spans="1:26">
      <c r="A1269" s="19" t="s">
        <v>2174</v>
      </c>
      <c r="B1269" s="224">
        <v>46227</v>
      </c>
      <c r="C1269" s="221"/>
      <c r="D1269" s="221" t="s">
        <v>59</v>
      </c>
      <c r="E1269" s="221" t="s">
        <v>3165</v>
      </c>
      <c r="F1269" s="221" t="s">
        <v>3166</v>
      </c>
      <c r="G1269" s="221" t="s">
        <v>127</v>
      </c>
      <c r="H1269" s="222" t="s">
        <v>2108</v>
      </c>
      <c r="I1269" s="220" t="s">
        <v>3167</v>
      </c>
      <c r="J1269" s="220" t="s">
        <v>28</v>
      </c>
      <c r="K1269" s="83" t="s">
        <v>3168</v>
      </c>
      <c r="L1269" s="83" t="s">
        <v>3169</v>
      </c>
      <c r="M1269" s="49"/>
      <c r="N1269" s="49"/>
      <c r="O1269" s="49" t="s">
        <v>2334</v>
      </c>
      <c r="P1269" s="49" t="s">
        <v>3170</v>
      </c>
      <c r="Q1269" s="84" t="s">
        <v>89</v>
      </c>
      <c r="R1269" s="83" t="s">
        <v>2334</v>
      </c>
      <c r="S1269" s="83" t="s">
        <v>65</v>
      </c>
      <c r="T1269" s="49" t="s">
        <v>2334</v>
      </c>
      <c r="U1269" s="49" t="s">
        <v>2334</v>
      </c>
      <c r="V1269" s="49" t="s">
        <v>2334</v>
      </c>
      <c r="W1269" s="49" t="s">
        <v>67</v>
      </c>
      <c r="X1269" s="81">
        <v>46234</v>
      </c>
      <c r="Y1269" s="49"/>
      <c r="Z1269" s="49"/>
    </row>
    <row r="1270" spans="1:26">
      <c r="A1270" s="19" t="s">
        <v>2174</v>
      </c>
      <c r="B1270" s="186"/>
      <c r="C1270" s="186"/>
      <c r="D1270" s="186"/>
      <c r="E1270" s="186"/>
      <c r="F1270" s="186"/>
      <c r="G1270" s="186"/>
      <c r="H1270" s="186"/>
      <c r="I1270" s="186"/>
      <c r="J1270" s="186"/>
      <c r="K1270" s="83" t="s">
        <v>3171</v>
      </c>
      <c r="L1270" s="83" t="s">
        <v>3172</v>
      </c>
      <c r="M1270" s="49"/>
      <c r="N1270" s="49"/>
      <c r="O1270" s="49" t="s">
        <v>2334</v>
      </c>
      <c r="P1270" s="49" t="s">
        <v>3170</v>
      </c>
      <c r="Q1270" s="84" t="s">
        <v>89</v>
      </c>
      <c r="R1270" s="83" t="s">
        <v>2334</v>
      </c>
      <c r="S1270" s="83" t="s">
        <v>65</v>
      </c>
      <c r="T1270" s="49" t="s">
        <v>2334</v>
      </c>
      <c r="U1270" s="49" t="s">
        <v>2334</v>
      </c>
      <c r="V1270" s="49" t="s">
        <v>2334</v>
      </c>
      <c r="W1270" s="49" t="s">
        <v>67</v>
      </c>
      <c r="X1270" s="81">
        <v>46234</v>
      </c>
      <c r="Y1270" s="49"/>
      <c r="Z1270" s="49"/>
    </row>
    <row r="1271" spans="1:26">
      <c r="A1271" s="19" t="s">
        <v>2174</v>
      </c>
      <c r="B1271" s="197">
        <v>46227</v>
      </c>
      <c r="C1271" s="184"/>
      <c r="D1271" s="184" t="s">
        <v>59</v>
      </c>
      <c r="E1271" s="184" t="s">
        <v>96</v>
      </c>
      <c r="F1271" s="184" t="s">
        <v>237</v>
      </c>
      <c r="G1271" s="184" t="s">
        <v>98</v>
      </c>
      <c r="H1271" s="192" t="s">
        <v>238</v>
      </c>
      <c r="I1271" s="193" t="s">
        <v>100</v>
      </c>
      <c r="J1271" s="181" t="s">
        <v>102</v>
      </c>
      <c r="K1271" s="24" t="s">
        <v>3173</v>
      </c>
      <c r="L1271" s="24" t="s">
        <v>246</v>
      </c>
      <c r="M1271" s="19"/>
      <c r="N1271" s="19"/>
      <c r="O1271" s="19" t="s">
        <v>2588</v>
      </c>
      <c r="P1271" s="19" t="s">
        <v>241</v>
      </c>
      <c r="Q1271" s="12" t="s">
        <v>1441</v>
      </c>
      <c r="R1271" s="24" t="s">
        <v>2334</v>
      </c>
      <c r="S1271" s="24" t="s">
        <v>65</v>
      </c>
      <c r="T1271" s="19" t="s">
        <v>2334</v>
      </c>
      <c r="U1271" s="19" t="s">
        <v>2334</v>
      </c>
      <c r="V1271" s="19" t="s">
        <v>2334</v>
      </c>
      <c r="W1271" s="19" t="s">
        <v>67</v>
      </c>
      <c r="X1271" s="32">
        <v>46230</v>
      </c>
      <c r="Y1271" s="19"/>
      <c r="Z1271" s="19"/>
    </row>
    <row r="1272" spans="1:26">
      <c r="A1272" s="19" t="s">
        <v>2174</v>
      </c>
      <c r="B1272" s="186"/>
      <c r="C1272" s="186"/>
      <c r="D1272" s="186"/>
      <c r="E1272" s="186"/>
      <c r="F1272" s="186"/>
      <c r="G1272" s="186"/>
      <c r="H1272" s="186"/>
      <c r="I1272" s="186"/>
      <c r="J1272" s="183"/>
      <c r="K1272" s="24" t="s">
        <v>3174</v>
      </c>
      <c r="L1272" s="24" t="s">
        <v>246</v>
      </c>
      <c r="M1272" s="19"/>
      <c r="N1272" s="19"/>
      <c r="O1272" s="19" t="s">
        <v>2588</v>
      </c>
      <c r="P1272" s="19" t="s">
        <v>241</v>
      </c>
      <c r="Q1272" s="12" t="s">
        <v>1441</v>
      </c>
      <c r="R1272" s="24" t="s">
        <v>2334</v>
      </c>
      <c r="S1272" s="24" t="s">
        <v>65</v>
      </c>
      <c r="T1272" s="19" t="s">
        <v>2334</v>
      </c>
      <c r="U1272" s="19" t="s">
        <v>2334</v>
      </c>
      <c r="V1272" s="19" t="s">
        <v>2334</v>
      </c>
      <c r="W1272" s="19" t="s">
        <v>67</v>
      </c>
      <c r="X1272" s="32">
        <v>46230</v>
      </c>
      <c r="Y1272" s="19"/>
      <c r="Z1272" s="19"/>
    </row>
    <row r="1273" spans="1:26">
      <c r="A1273" s="19" t="s">
        <v>2174</v>
      </c>
      <c r="B1273" s="81">
        <v>46228</v>
      </c>
      <c r="C1273" s="82" t="s">
        <v>3175</v>
      </c>
      <c r="D1273" s="49" t="s">
        <v>59</v>
      </c>
      <c r="E1273" s="49" t="s">
        <v>1159</v>
      </c>
      <c r="F1273" s="49" t="s">
        <v>248</v>
      </c>
      <c r="G1273" s="49" t="s">
        <v>51</v>
      </c>
      <c r="H1273" s="82" t="s">
        <v>52</v>
      </c>
      <c r="I1273" s="83" t="s">
        <v>3176</v>
      </c>
      <c r="J1273" s="83" t="s">
        <v>3177</v>
      </c>
      <c r="K1273" s="83" t="s">
        <v>3178</v>
      </c>
      <c r="L1273" s="83" t="s">
        <v>182</v>
      </c>
      <c r="M1273" s="49"/>
      <c r="N1273" s="49"/>
      <c r="O1273" s="49" t="s">
        <v>2588</v>
      </c>
      <c r="P1273" s="49" t="s">
        <v>56</v>
      </c>
      <c r="Q1273" s="84" t="s">
        <v>89</v>
      </c>
      <c r="R1273" s="83" t="s">
        <v>2334</v>
      </c>
      <c r="S1273" s="83" t="s">
        <v>65</v>
      </c>
      <c r="T1273" s="49" t="s">
        <v>2334</v>
      </c>
      <c r="U1273" s="49" t="s">
        <v>2334</v>
      </c>
      <c r="V1273" s="49" t="s">
        <v>2334</v>
      </c>
      <c r="W1273" s="49" t="s">
        <v>67</v>
      </c>
      <c r="X1273" s="81">
        <v>46234</v>
      </c>
      <c r="Y1273" s="49"/>
      <c r="Z1273" s="49"/>
    </row>
    <row r="1274" spans="1:26">
      <c r="A1274" s="19" t="s">
        <v>2174</v>
      </c>
      <c r="B1274" s="33">
        <v>46228</v>
      </c>
      <c r="C1274" s="19"/>
      <c r="D1274" s="19" t="s">
        <v>59</v>
      </c>
      <c r="E1274" s="19" t="s">
        <v>1875</v>
      </c>
      <c r="F1274" s="19" t="s">
        <v>2175</v>
      </c>
      <c r="G1274" s="19" t="s">
        <v>51</v>
      </c>
      <c r="H1274" s="40" t="s">
        <v>194</v>
      </c>
      <c r="I1274" s="24" t="s">
        <v>2223</v>
      </c>
      <c r="J1274" s="24" t="s">
        <v>3179</v>
      </c>
      <c r="K1274" s="24" t="s">
        <v>3180</v>
      </c>
      <c r="L1274" s="24" t="s">
        <v>130</v>
      </c>
      <c r="M1274" s="19"/>
      <c r="N1274" s="95"/>
      <c r="O1274" s="19" t="s">
        <v>2588</v>
      </c>
      <c r="P1274" s="19" t="s">
        <v>196</v>
      </c>
      <c r="Q1274" s="12" t="s">
        <v>1441</v>
      </c>
      <c r="R1274" s="24" t="s">
        <v>2334</v>
      </c>
      <c r="S1274" s="24" t="s">
        <v>65</v>
      </c>
      <c r="T1274" s="19" t="s">
        <v>2334</v>
      </c>
      <c r="U1274" s="19" t="s">
        <v>2334</v>
      </c>
      <c r="V1274" s="19" t="s">
        <v>2334</v>
      </c>
      <c r="W1274" s="19" t="s">
        <v>67</v>
      </c>
      <c r="X1274" s="33">
        <v>46231</v>
      </c>
      <c r="Y1274" s="19"/>
      <c r="Z1274" s="19"/>
    </row>
    <row r="1275" spans="1:26">
      <c r="A1275" s="19" t="s">
        <v>2174</v>
      </c>
      <c r="B1275" s="81">
        <v>46228</v>
      </c>
      <c r="C1275" s="49"/>
      <c r="D1275" s="49" t="s">
        <v>59</v>
      </c>
      <c r="E1275" s="49" t="s">
        <v>450</v>
      </c>
      <c r="F1275" s="49" t="s">
        <v>3181</v>
      </c>
      <c r="G1275" s="49" t="s">
        <v>51</v>
      </c>
      <c r="H1275" s="82" t="s">
        <v>3182</v>
      </c>
      <c r="I1275" s="83" t="s">
        <v>3183</v>
      </c>
      <c r="J1275" s="83" t="s">
        <v>2842</v>
      </c>
      <c r="K1275" s="83" t="s">
        <v>2803</v>
      </c>
      <c r="L1275" s="83" t="s">
        <v>2804</v>
      </c>
      <c r="M1275" s="49"/>
      <c r="N1275" s="49"/>
      <c r="O1275" s="49" t="s">
        <v>2334</v>
      </c>
      <c r="P1275" s="49" t="s">
        <v>3184</v>
      </c>
      <c r="Q1275" s="84" t="s">
        <v>89</v>
      </c>
      <c r="R1275" s="83" t="s">
        <v>2334</v>
      </c>
      <c r="S1275" s="83" t="s">
        <v>65</v>
      </c>
      <c r="T1275" s="49" t="s">
        <v>2334</v>
      </c>
      <c r="U1275" s="49" t="s">
        <v>2334</v>
      </c>
      <c r="V1275" s="49" t="s">
        <v>2334</v>
      </c>
      <c r="W1275" s="49" t="s">
        <v>67</v>
      </c>
      <c r="X1275" s="81">
        <v>46233</v>
      </c>
      <c r="Y1275" s="49"/>
      <c r="Z1275" s="49"/>
    </row>
    <row r="1276" spans="1:26">
      <c r="A1276" s="19" t="s">
        <v>2174</v>
      </c>
      <c r="B1276" s="33">
        <v>46228</v>
      </c>
      <c r="C1276" s="19"/>
      <c r="D1276" s="19" t="s">
        <v>59</v>
      </c>
      <c r="E1276" s="19" t="s">
        <v>140</v>
      </c>
      <c r="F1276" s="19" t="s">
        <v>3185</v>
      </c>
      <c r="G1276" s="19" t="s">
        <v>51</v>
      </c>
      <c r="H1276" s="40" t="s">
        <v>2244</v>
      </c>
      <c r="I1276" s="24" t="s">
        <v>3186</v>
      </c>
      <c r="J1276" s="124" t="s">
        <v>3187</v>
      </c>
      <c r="K1276" s="24" t="s">
        <v>110</v>
      </c>
      <c r="L1276" s="24" t="s">
        <v>3188</v>
      </c>
      <c r="M1276" s="19"/>
      <c r="N1276" s="19"/>
      <c r="O1276" s="19" t="s">
        <v>2588</v>
      </c>
      <c r="P1276" s="19" t="s">
        <v>2246</v>
      </c>
      <c r="Q1276" s="12" t="s">
        <v>89</v>
      </c>
      <c r="R1276" s="24" t="s">
        <v>2334</v>
      </c>
      <c r="S1276" s="24" t="s">
        <v>65</v>
      </c>
      <c r="T1276" s="19" t="s">
        <v>2334</v>
      </c>
      <c r="U1276" s="19" t="s">
        <v>2334</v>
      </c>
      <c r="V1276" s="19" t="s">
        <v>2334</v>
      </c>
      <c r="W1276" s="19" t="s">
        <v>67</v>
      </c>
      <c r="X1276" s="32">
        <v>46232</v>
      </c>
      <c r="Y1276" s="19"/>
      <c r="Z1276" s="19"/>
    </row>
    <row r="1277" spans="1:26">
      <c r="A1277" s="19" t="s">
        <v>2174</v>
      </c>
      <c r="B1277" s="197">
        <v>46230</v>
      </c>
      <c r="C1277" s="19"/>
      <c r="D1277" s="184" t="s">
        <v>59</v>
      </c>
      <c r="E1277" s="184" t="s">
        <v>3189</v>
      </c>
      <c r="F1277" s="184" t="s">
        <v>2676</v>
      </c>
      <c r="G1277" s="184" t="s">
        <v>51</v>
      </c>
      <c r="H1277" s="192" t="s">
        <v>3190</v>
      </c>
      <c r="I1277" s="215" t="s">
        <v>3191</v>
      </c>
      <c r="J1277" s="191" t="s">
        <v>3192</v>
      </c>
      <c r="K1277" s="24" t="s">
        <v>3193</v>
      </c>
      <c r="L1277" s="24" t="s">
        <v>3194</v>
      </c>
      <c r="M1277" s="19"/>
      <c r="N1277" s="19"/>
      <c r="O1277" s="19" t="s">
        <v>2588</v>
      </c>
      <c r="P1277" s="184" t="s">
        <v>2545</v>
      </c>
      <c r="Q1277" s="12" t="s">
        <v>89</v>
      </c>
      <c r="R1277" s="24" t="s">
        <v>2334</v>
      </c>
      <c r="S1277" s="24" t="s">
        <v>65</v>
      </c>
      <c r="T1277" s="19" t="s">
        <v>2334</v>
      </c>
      <c r="U1277" s="19" t="s">
        <v>2334</v>
      </c>
      <c r="V1277" s="19" t="s">
        <v>2334</v>
      </c>
      <c r="W1277" s="19" t="s">
        <v>67</v>
      </c>
      <c r="X1277" s="33">
        <v>46232</v>
      </c>
      <c r="Y1277" s="19"/>
      <c r="Z1277" s="19"/>
    </row>
    <row r="1278" spans="1:26">
      <c r="A1278" s="19" t="s">
        <v>2174</v>
      </c>
      <c r="B1278" s="185"/>
      <c r="C1278" s="19"/>
      <c r="D1278" s="185"/>
      <c r="E1278" s="185"/>
      <c r="F1278" s="185"/>
      <c r="G1278" s="185"/>
      <c r="H1278" s="185"/>
      <c r="I1278" s="216"/>
      <c r="J1278" s="185"/>
      <c r="K1278" s="24" t="s">
        <v>3195</v>
      </c>
      <c r="L1278" s="24" t="s">
        <v>3196</v>
      </c>
      <c r="M1278" s="19"/>
      <c r="N1278" s="19"/>
      <c r="O1278" s="19" t="s">
        <v>2588</v>
      </c>
      <c r="P1278" s="185"/>
      <c r="Q1278" s="12" t="s">
        <v>89</v>
      </c>
      <c r="R1278" s="24" t="s">
        <v>2334</v>
      </c>
      <c r="S1278" s="24" t="s">
        <v>65</v>
      </c>
      <c r="T1278" s="19" t="s">
        <v>2334</v>
      </c>
      <c r="U1278" s="19" t="s">
        <v>2591</v>
      </c>
      <c r="V1278" s="19" t="s">
        <v>2334</v>
      </c>
      <c r="W1278" s="19" t="s">
        <v>67</v>
      </c>
      <c r="X1278" s="33">
        <v>46232</v>
      </c>
      <c r="Y1278" s="19"/>
      <c r="Z1278" s="19"/>
    </row>
    <row r="1279" spans="1:26">
      <c r="A1279" s="19" t="s">
        <v>2174</v>
      </c>
      <c r="B1279" s="186"/>
      <c r="C1279" s="19"/>
      <c r="D1279" s="186"/>
      <c r="E1279" s="186"/>
      <c r="F1279" s="186"/>
      <c r="G1279" s="186"/>
      <c r="H1279" s="186"/>
      <c r="I1279" s="216"/>
      <c r="J1279" s="186"/>
      <c r="K1279" s="24" t="s">
        <v>3197</v>
      </c>
      <c r="L1279" s="24" t="s">
        <v>3194</v>
      </c>
      <c r="M1279" s="19"/>
      <c r="N1279" s="19"/>
      <c r="O1279" s="19" t="s">
        <v>2588</v>
      </c>
      <c r="P1279" s="186"/>
      <c r="Q1279" s="12" t="s">
        <v>89</v>
      </c>
      <c r="R1279" s="24" t="s">
        <v>2334</v>
      </c>
      <c r="S1279" s="24" t="s">
        <v>65</v>
      </c>
      <c r="T1279" s="19" t="s">
        <v>2334</v>
      </c>
      <c r="U1279" s="19" t="s">
        <v>2334</v>
      </c>
      <c r="V1279" s="19" t="s">
        <v>2334</v>
      </c>
      <c r="W1279" s="19" t="s">
        <v>67</v>
      </c>
      <c r="X1279" s="33">
        <v>46232</v>
      </c>
      <c r="Y1279" s="19"/>
      <c r="Z1279" s="19"/>
    </row>
    <row r="1280" spans="1:26">
      <c r="A1280" s="19" t="s">
        <v>2174</v>
      </c>
      <c r="B1280" s="33">
        <v>46230</v>
      </c>
      <c r="C1280" s="19"/>
      <c r="D1280" s="19" t="s">
        <v>59</v>
      </c>
      <c r="E1280" s="19" t="s">
        <v>723</v>
      </c>
      <c r="F1280" s="19" t="s">
        <v>108</v>
      </c>
      <c r="G1280" s="19" t="s">
        <v>51</v>
      </c>
      <c r="H1280" s="40" t="s">
        <v>75</v>
      </c>
      <c r="I1280" s="24" t="s">
        <v>3198</v>
      </c>
      <c r="J1280" s="24" t="s">
        <v>246</v>
      </c>
      <c r="K1280" s="24" t="s">
        <v>104</v>
      </c>
      <c r="L1280" s="24" t="s">
        <v>104</v>
      </c>
      <c r="M1280" s="19"/>
      <c r="N1280" s="19"/>
      <c r="O1280" s="19" t="s">
        <v>2588</v>
      </c>
      <c r="P1280" s="19" t="s">
        <v>83</v>
      </c>
      <c r="Q1280" s="12" t="s">
        <v>1441</v>
      </c>
      <c r="R1280" s="24" t="s">
        <v>2334</v>
      </c>
      <c r="S1280" s="24" t="s">
        <v>65</v>
      </c>
      <c r="T1280" s="19" t="s">
        <v>2334</v>
      </c>
      <c r="U1280" s="19" t="s">
        <v>2334</v>
      </c>
      <c r="V1280" s="19" t="s">
        <v>2334</v>
      </c>
      <c r="W1280" s="19" t="s">
        <v>67</v>
      </c>
      <c r="X1280" s="33">
        <v>46231</v>
      </c>
      <c r="Y1280" s="19"/>
      <c r="Z1280" s="19"/>
    </row>
    <row r="1281" spans="1:26">
      <c r="A1281" s="19" t="s">
        <v>2174</v>
      </c>
      <c r="B1281" s="33">
        <v>46230</v>
      </c>
      <c r="C1281" s="19"/>
      <c r="D1281" s="19" t="s">
        <v>59</v>
      </c>
      <c r="E1281" s="19" t="s">
        <v>373</v>
      </c>
      <c r="F1281" s="19" t="s">
        <v>3199</v>
      </c>
      <c r="G1281" s="19" t="s">
        <v>98</v>
      </c>
      <c r="H1281" s="40" t="s">
        <v>1053</v>
      </c>
      <c r="I1281" s="24" t="s">
        <v>374</v>
      </c>
      <c r="J1281" s="46" t="s">
        <v>375</v>
      </c>
      <c r="K1281" s="41" t="s">
        <v>3200</v>
      </c>
      <c r="L1281" s="24" t="s">
        <v>3201</v>
      </c>
      <c r="M1281" s="19"/>
      <c r="N1281" s="19"/>
      <c r="O1281" s="19" t="s">
        <v>2588</v>
      </c>
      <c r="P1281" s="19" t="s">
        <v>180</v>
      </c>
      <c r="Q1281" s="12" t="s">
        <v>1441</v>
      </c>
      <c r="R1281" s="24" t="s">
        <v>2334</v>
      </c>
      <c r="S1281" s="24" t="s">
        <v>65</v>
      </c>
      <c r="T1281" s="19" t="s">
        <v>2334</v>
      </c>
      <c r="U1281" s="19" t="s">
        <v>2334</v>
      </c>
      <c r="V1281" s="19" t="s">
        <v>2334</v>
      </c>
      <c r="W1281" s="19" t="s">
        <v>67</v>
      </c>
      <c r="X1281" s="33">
        <v>46238</v>
      </c>
      <c r="Y1281" s="19"/>
      <c r="Z1281" s="19"/>
    </row>
    <row r="1282" spans="1:26">
      <c r="A1282" s="19" t="s">
        <v>2174</v>
      </c>
      <c r="B1282" s="197">
        <v>46230</v>
      </c>
      <c r="C1282" s="19"/>
      <c r="D1282" s="184" t="s">
        <v>59</v>
      </c>
      <c r="E1282" s="184" t="s">
        <v>1140</v>
      </c>
      <c r="F1282" s="184" t="s">
        <v>126</v>
      </c>
      <c r="G1282" s="184" t="s">
        <v>51</v>
      </c>
      <c r="H1282" s="192" t="s">
        <v>3202</v>
      </c>
      <c r="I1282" s="217" t="s">
        <v>1141</v>
      </c>
      <c r="J1282" s="191" t="s">
        <v>3203</v>
      </c>
      <c r="K1282" s="24" t="s">
        <v>2004</v>
      </c>
      <c r="L1282" s="24" t="s">
        <v>246</v>
      </c>
      <c r="M1282" s="19"/>
      <c r="N1282" s="19"/>
      <c r="O1282" s="19" t="s">
        <v>2588</v>
      </c>
      <c r="P1282" s="19" t="s">
        <v>132</v>
      </c>
      <c r="Q1282" s="12" t="s">
        <v>89</v>
      </c>
      <c r="R1282" s="24" t="s">
        <v>2334</v>
      </c>
      <c r="S1282" s="24" t="s">
        <v>65</v>
      </c>
      <c r="T1282" s="19" t="s">
        <v>2334</v>
      </c>
      <c r="U1282" s="19" t="s">
        <v>2334</v>
      </c>
      <c r="V1282" s="19" t="s">
        <v>2334</v>
      </c>
      <c r="W1282" s="19" t="s">
        <v>67</v>
      </c>
      <c r="X1282" s="33">
        <v>46238</v>
      </c>
      <c r="Y1282" s="19"/>
      <c r="Z1282" s="19"/>
    </row>
    <row r="1283" spans="1:26">
      <c r="A1283" s="19" t="s">
        <v>2174</v>
      </c>
      <c r="B1283" s="186"/>
      <c r="C1283" s="19"/>
      <c r="D1283" s="186"/>
      <c r="E1283" s="186"/>
      <c r="F1283" s="186"/>
      <c r="G1283" s="186"/>
      <c r="H1283" s="186"/>
      <c r="I1283" s="183"/>
      <c r="J1283" s="186"/>
      <c r="K1283" s="24" t="s">
        <v>2006</v>
      </c>
      <c r="L1283" s="24" t="s">
        <v>342</v>
      </c>
      <c r="M1283" s="19"/>
      <c r="N1283" s="19"/>
      <c r="O1283" s="19" t="s">
        <v>2588</v>
      </c>
      <c r="P1283" s="19" t="s">
        <v>132</v>
      </c>
      <c r="Q1283" s="12" t="s">
        <v>89</v>
      </c>
      <c r="R1283" s="24" t="s">
        <v>2334</v>
      </c>
      <c r="S1283" s="24" t="s">
        <v>65</v>
      </c>
      <c r="T1283" s="19" t="s">
        <v>2334</v>
      </c>
      <c r="U1283" s="19" t="s">
        <v>2334</v>
      </c>
      <c r="V1283" s="19" t="s">
        <v>2334</v>
      </c>
      <c r="W1283" s="19" t="s">
        <v>67</v>
      </c>
      <c r="X1283" s="33">
        <v>46238</v>
      </c>
      <c r="Y1283" s="19"/>
      <c r="Z1283" s="19"/>
    </row>
    <row r="1284" spans="1:26">
      <c r="A1284" s="19" t="s">
        <v>2174</v>
      </c>
      <c r="B1284" s="33">
        <v>46230</v>
      </c>
      <c r="C1284" s="19"/>
      <c r="D1284" s="19" t="s">
        <v>48</v>
      </c>
      <c r="E1284" s="19" t="s">
        <v>2395</v>
      </c>
      <c r="F1284" s="19" t="s">
        <v>201</v>
      </c>
      <c r="G1284" s="19" t="s">
        <v>98</v>
      </c>
      <c r="H1284" s="40" t="s">
        <v>2290</v>
      </c>
      <c r="I1284" s="125" t="s">
        <v>3204</v>
      </c>
      <c r="J1284" s="24" t="s">
        <v>3205</v>
      </c>
      <c r="K1284" s="24" t="s">
        <v>3206</v>
      </c>
      <c r="L1284" s="24" t="s">
        <v>665</v>
      </c>
      <c r="M1284" s="19"/>
      <c r="N1284" s="19"/>
      <c r="O1284" s="19" t="s">
        <v>2588</v>
      </c>
      <c r="P1284" s="19" t="s">
        <v>2358</v>
      </c>
      <c r="Q1284" s="12" t="s">
        <v>1441</v>
      </c>
      <c r="R1284" s="24" t="s">
        <v>2334</v>
      </c>
      <c r="S1284" s="24" t="s">
        <v>65</v>
      </c>
      <c r="T1284" s="19" t="s">
        <v>2334</v>
      </c>
      <c r="U1284" s="19" t="s">
        <v>2334</v>
      </c>
      <c r="V1284" s="19" t="s">
        <v>2334</v>
      </c>
      <c r="W1284" s="19" t="s">
        <v>67</v>
      </c>
      <c r="X1284" s="33">
        <v>46238</v>
      </c>
      <c r="Y1284" s="19"/>
      <c r="Z1284" s="19"/>
    </row>
    <row r="1285" spans="1:26">
      <c r="A1285" s="19" t="s">
        <v>2174</v>
      </c>
      <c r="B1285" s="197">
        <v>46230</v>
      </c>
      <c r="C1285" s="19"/>
      <c r="D1285" s="184" t="s">
        <v>48</v>
      </c>
      <c r="E1285" s="184" t="s">
        <v>71</v>
      </c>
      <c r="F1285" s="184" t="s">
        <v>3207</v>
      </c>
      <c r="G1285" s="184" t="s">
        <v>173</v>
      </c>
      <c r="H1285" s="192" t="s">
        <v>2082</v>
      </c>
      <c r="I1285" s="191" t="s">
        <v>3208</v>
      </c>
      <c r="J1285" s="191" t="s">
        <v>3209</v>
      </c>
      <c r="K1285" s="24" t="s">
        <v>3210</v>
      </c>
      <c r="L1285" s="24" t="s">
        <v>264</v>
      </c>
      <c r="M1285" s="19"/>
      <c r="N1285" s="19"/>
      <c r="O1285" s="19" t="s">
        <v>2588</v>
      </c>
      <c r="P1285" s="19" t="s">
        <v>2116</v>
      </c>
      <c r="Q1285" s="12" t="s">
        <v>1441</v>
      </c>
      <c r="R1285" s="24" t="s">
        <v>2334</v>
      </c>
      <c r="S1285" s="24" t="s">
        <v>65</v>
      </c>
      <c r="T1285" s="19" t="s">
        <v>2334</v>
      </c>
      <c r="U1285" s="19" t="s">
        <v>2334</v>
      </c>
      <c r="V1285" s="19" t="s">
        <v>2334</v>
      </c>
      <c r="W1285" s="19" t="s">
        <v>67</v>
      </c>
      <c r="X1285" s="33">
        <v>46238</v>
      </c>
      <c r="Y1285" s="12" t="s">
        <v>3211</v>
      </c>
      <c r="Z1285" s="43" t="s">
        <v>3212</v>
      </c>
    </row>
    <row r="1286" spans="1:26">
      <c r="A1286" s="19" t="s">
        <v>2174</v>
      </c>
      <c r="B1286" s="186"/>
      <c r="C1286" s="19"/>
      <c r="D1286" s="186"/>
      <c r="E1286" s="186"/>
      <c r="F1286" s="186"/>
      <c r="G1286" s="186"/>
      <c r="H1286" s="186"/>
      <c r="I1286" s="186"/>
      <c r="J1286" s="186"/>
      <c r="K1286" s="24" t="s">
        <v>3213</v>
      </c>
      <c r="L1286" s="24" t="s">
        <v>266</v>
      </c>
      <c r="M1286" s="19"/>
      <c r="N1286" s="95"/>
      <c r="O1286" s="19" t="s">
        <v>2588</v>
      </c>
      <c r="P1286" s="19" t="s">
        <v>2116</v>
      </c>
      <c r="Q1286" s="12" t="s">
        <v>1441</v>
      </c>
      <c r="R1286" s="24" t="s">
        <v>2334</v>
      </c>
      <c r="S1286" s="24" t="s">
        <v>65</v>
      </c>
      <c r="T1286" s="19" t="s">
        <v>2334</v>
      </c>
      <c r="U1286" s="19" t="s">
        <v>2334</v>
      </c>
      <c r="V1286" s="19" t="s">
        <v>2334</v>
      </c>
      <c r="W1286" s="19" t="s">
        <v>67</v>
      </c>
      <c r="X1286" s="33">
        <v>46238</v>
      </c>
      <c r="Y1286" s="12" t="s">
        <v>3214</v>
      </c>
      <c r="Z1286" s="43" t="s">
        <v>3215</v>
      </c>
    </row>
    <row r="1287" spans="1:26">
      <c r="A1287" s="19" t="s">
        <v>2174</v>
      </c>
      <c r="B1287" s="81">
        <v>46230</v>
      </c>
      <c r="C1287" s="82" t="s">
        <v>3216</v>
      </c>
      <c r="D1287" s="49" t="s">
        <v>59</v>
      </c>
      <c r="E1287" s="49" t="s">
        <v>1716</v>
      </c>
      <c r="F1287" s="49" t="s">
        <v>3217</v>
      </c>
      <c r="G1287" s="49" t="s">
        <v>1856</v>
      </c>
      <c r="H1287" s="82" t="s">
        <v>161</v>
      </c>
      <c r="I1287" s="83" t="s">
        <v>3218</v>
      </c>
      <c r="J1287" s="83" t="s">
        <v>962</v>
      </c>
      <c r="K1287" s="83" t="s">
        <v>3219</v>
      </c>
      <c r="L1287" s="83" t="s">
        <v>104</v>
      </c>
      <c r="M1287" s="49"/>
      <c r="N1287" s="49"/>
      <c r="O1287" s="49" t="s">
        <v>2588</v>
      </c>
      <c r="P1287" s="49" t="s">
        <v>3220</v>
      </c>
      <c r="Q1287" s="84" t="s">
        <v>89</v>
      </c>
      <c r="R1287" s="83" t="s">
        <v>2334</v>
      </c>
      <c r="S1287" s="83" t="s">
        <v>65</v>
      </c>
      <c r="T1287" s="49" t="s">
        <v>2334</v>
      </c>
      <c r="U1287" s="49" t="s">
        <v>2334</v>
      </c>
      <c r="V1287" s="49" t="s">
        <v>2334</v>
      </c>
      <c r="W1287" s="49" t="s">
        <v>67</v>
      </c>
      <c r="X1287" s="81">
        <v>46234</v>
      </c>
      <c r="Y1287" s="49"/>
      <c r="Z1287" s="49"/>
    </row>
    <row r="1288" spans="1:26">
      <c r="A1288" s="19" t="s">
        <v>2174</v>
      </c>
      <c r="B1288" s="33">
        <v>46230</v>
      </c>
      <c r="C1288" s="19"/>
      <c r="D1288" s="19" t="s">
        <v>59</v>
      </c>
      <c r="E1288" s="19" t="s">
        <v>96</v>
      </c>
      <c r="F1288" s="19" t="s">
        <v>1822</v>
      </c>
      <c r="G1288" s="19" t="s">
        <v>98</v>
      </c>
      <c r="H1288" s="19" t="s">
        <v>3221</v>
      </c>
      <c r="I1288" s="28" t="s">
        <v>100</v>
      </c>
      <c r="J1288" s="55" t="s">
        <v>102</v>
      </c>
      <c r="K1288" s="24" t="s">
        <v>3222</v>
      </c>
      <c r="L1288" s="24" t="s">
        <v>135</v>
      </c>
      <c r="M1288" s="19"/>
      <c r="N1288" s="19"/>
      <c r="O1288" s="19" t="s">
        <v>2588</v>
      </c>
      <c r="P1288" s="19" t="s">
        <v>3031</v>
      </c>
      <c r="Q1288" s="12"/>
      <c r="R1288" s="24" t="s">
        <v>2334</v>
      </c>
      <c r="S1288" s="24" t="s">
        <v>65</v>
      </c>
      <c r="T1288" s="19" t="s">
        <v>2334</v>
      </c>
      <c r="U1288" s="19" t="s">
        <v>2334</v>
      </c>
      <c r="V1288" s="19" t="s">
        <v>2334</v>
      </c>
      <c r="W1288" s="19" t="s">
        <v>67</v>
      </c>
      <c r="X1288" s="33">
        <v>46231</v>
      </c>
      <c r="Y1288" s="19"/>
      <c r="Z1288" s="19"/>
    </row>
    <row r="1289" spans="1:26">
      <c r="A1289" s="19" t="s">
        <v>2174</v>
      </c>
      <c r="B1289" s="33">
        <v>46230</v>
      </c>
      <c r="C1289" s="19"/>
      <c r="D1289" s="19" t="s">
        <v>59</v>
      </c>
      <c r="E1289" s="19" t="s">
        <v>284</v>
      </c>
      <c r="F1289" s="19" t="s">
        <v>2292</v>
      </c>
      <c r="G1289" s="19" t="s">
        <v>98</v>
      </c>
      <c r="H1289" s="40" t="s">
        <v>2082</v>
      </c>
      <c r="I1289" s="24" t="s">
        <v>3223</v>
      </c>
      <c r="J1289" s="46" t="s">
        <v>110</v>
      </c>
      <c r="K1289" s="24" t="s">
        <v>3224</v>
      </c>
      <c r="L1289" s="24" t="s">
        <v>3225</v>
      </c>
      <c r="M1289" s="19"/>
      <c r="N1289" s="19"/>
      <c r="O1289" s="19" t="s">
        <v>2588</v>
      </c>
      <c r="P1289" s="19" t="s">
        <v>2045</v>
      </c>
      <c r="Q1289" s="12" t="s">
        <v>1441</v>
      </c>
      <c r="R1289" s="24" t="s">
        <v>2334</v>
      </c>
      <c r="S1289" s="24" t="s">
        <v>65</v>
      </c>
      <c r="T1289" s="19" t="s">
        <v>2334</v>
      </c>
      <c r="U1289" s="19" t="s">
        <v>2334</v>
      </c>
      <c r="V1289" s="19" t="s">
        <v>2334</v>
      </c>
      <c r="W1289" s="19" t="s">
        <v>67</v>
      </c>
      <c r="X1289" s="33">
        <v>46234</v>
      </c>
      <c r="Y1289" s="19"/>
      <c r="Z1289" s="19"/>
    </row>
    <row r="1290" spans="1:26">
      <c r="A1290" s="19" t="s">
        <v>2174</v>
      </c>
      <c r="B1290" s="197">
        <v>46231</v>
      </c>
      <c r="C1290" s="192" t="s">
        <v>3226</v>
      </c>
      <c r="D1290" s="184" t="s">
        <v>59</v>
      </c>
      <c r="E1290" s="184" t="s">
        <v>49</v>
      </c>
      <c r="F1290" s="184" t="s">
        <v>248</v>
      </c>
      <c r="G1290" s="184" t="s">
        <v>220</v>
      </c>
      <c r="H1290" s="192" t="s">
        <v>3227</v>
      </c>
      <c r="I1290" s="219" t="s">
        <v>53</v>
      </c>
      <c r="J1290" s="232" t="s">
        <v>55</v>
      </c>
      <c r="K1290" s="24" t="s">
        <v>3228</v>
      </c>
      <c r="L1290" s="24" t="s">
        <v>246</v>
      </c>
      <c r="M1290" s="19">
        <v>1</v>
      </c>
      <c r="N1290" s="126">
        <v>17</v>
      </c>
      <c r="O1290" s="19" t="s">
        <v>2588</v>
      </c>
      <c r="P1290" s="19" t="s">
        <v>56</v>
      </c>
      <c r="Q1290" s="12" t="s">
        <v>89</v>
      </c>
      <c r="R1290" s="24" t="s">
        <v>2334</v>
      </c>
      <c r="S1290" s="24" t="s">
        <v>65</v>
      </c>
      <c r="T1290" s="19" t="s">
        <v>2334</v>
      </c>
      <c r="U1290" s="19" t="s">
        <v>2334</v>
      </c>
      <c r="V1290" s="19" t="s">
        <v>2334</v>
      </c>
      <c r="W1290" s="19" t="s">
        <v>67</v>
      </c>
      <c r="X1290" s="33">
        <v>46237</v>
      </c>
      <c r="Y1290" s="19"/>
      <c r="Z1290" s="19"/>
    </row>
    <row r="1291" spans="1:26">
      <c r="A1291" s="19" t="s">
        <v>2174</v>
      </c>
      <c r="B1291" s="185"/>
      <c r="C1291" s="186"/>
      <c r="D1291" s="185"/>
      <c r="E1291" s="185"/>
      <c r="F1291" s="185"/>
      <c r="G1291" s="185"/>
      <c r="H1291" s="185"/>
      <c r="I1291" s="185"/>
      <c r="J1291" s="182"/>
      <c r="K1291" s="24" t="s">
        <v>3229</v>
      </c>
      <c r="L1291" s="24" t="s">
        <v>246</v>
      </c>
      <c r="M1291" s="19">
        <v>50</v>
      </c>
      <c r="N1291" s="93">
        <v>345.6</v>
      </c>
      <c r="O1291" s="19" t="s">
        <v>2588</v>
      </c>
      <c r="P1291" s="19" t="s">
        <v>56</v>
      </c>
      <c r="Q1291" s="12" t="s">
        <v>89</v>
      </c>
      <c r="R1291" s="24" t="s">
        <v>2334</v>
      </c>
      <c r="S1291" s="24" t="s">
        <v>65</v>
      </c>
      <c r="T1291" s="19" t="s">
        <v>2334</v>
      </c>
      <c r="U1291" s="19" t="s">
        <v>2334</v>
      </c>
      <c r="V1291" s="19" t="s">
        <v>2334</v>
      </c>
      <c r="W1291" s="19" t="s">
        <v>67</v>
      </c>
      <c r="X1291" s="33">
        <v>46237</v>
      </c>
      <c r="Y1291" s="19"/>
      <c r="Z1291" s="19"/>
    </row>
    <row r="1292" spans="1:26">
      <c r="A1292" s="19" t="s">
        <v>2174</v>
      </c>
      <c r="B1292" s="185"/>
      <c r="C1292" s="40" t="s">
        <v>3230</v>
      </c>
      <c r="D1292" s="185"/>
      <c r="E1292" s="185"/>
      <c r="F1292" s="185"/>
      <c r="G1292" s="185"/>
      <c r="H1292" s="185"/>
      <c r="I1292" s="185"/>
      <c r="J1292" s="182"/>
      <c r="K1292" s="24" t="s">
        <v>3231</v>
      </c>
      <c r="L1292" s="24" t="s">
        <v>721</v>
      </c>
      <c r="M1292" s="19">
        <f>117+37</f>
        <v>154</v>
      </c>
      <c r="N1292" s="93">
        <f>863.46+159.84</f>
        <v>1023.3000000000001</v>
      </c>
      <c r="O1292" s="19" t="s">
        <v>2588</v>
      </c>
      <c r="P1292" s="19" t="s">
        <v>56</v>
      </c>
      <c r="Q1292" s="12" t="s">
        <v>89</v>
      </c>
      <c r="R1292" s="24" t="s">
        <v>2334</v>
      </c>
      <c r="S1292" s="24" t="s">
        <v>65</v>
      </c>
      <c r="T1292" s="19" t="s">
        <v>2334</v>
      </c>
      <c r="U1292" s="19" t="s">
        <v>2334</v>
      </c>
      <c r="V1292" s="19" t="s">
        <v>2334</v>
      </c>
      <c r="W1292" s="19" t="s">
        <v>67</v>
      </c>
      <c r="X1292" s="33">
        <v>46237</v>
      </c>
      <c r="Y1292" s="19"/>
      <c r="Z1292" s="19"/>
    </row>
    <row r="1293" spans="1:26">
      <c r="A1293" s="19" t="s">
        <v>2174</v>
      </c>
      <c r="B1293" s="186"/>
      <c r="C1293" s="40" t="s">
        <v>3226</v>
      </c>
      <c r="D1293" s="186"/>
      <c r="E1293" s="186"/>
      <c r="F1293" s="186"/>
      <c r="G1293" s="186"/>
      <c r="H1293" s="186"/>
      <c r="I1293" s="186"/>
      <c r="J1293" s="183"/>
      <c r="K1293" s="24" t="s">
        <v>3232</v>
      </c>
      <c r="L1293" s="24" t="s">
        <v>246</v>
      </c>
      <c r="M1293" s="19">
        <f>75+3+51+575+3+2+19+1+216+1</f>
        <v>946</v>
      </c>
      <c r="N1293" s="93">
        <f>324+23.957+556.8+3992.328+17.9+19.4+94.487+0.75+1384.246+1.61</f>
        <v>6415.4779999999992</v>
      </c>
      <c r="O1293" s="19" t="s">
        <v>2588</v>
      </c>
      <c r="P1293" s="19" t="s">
        <v>56</v>
      </c>
      <c r="Q1293" s="12" t="s">
        <v>89</v>
      </c>
      <c r="R1293" s="24" t="s">
        <v>2334</v>
      </c>
      <c r="S1293" s="24" t="s">
        <v>65</v>
      </c>
      <c r="T1293" s="19" t="s">
        <v>2334</v>
      </c>
      <c r="U1293" s="19" t="s">
        <v>2334</v>
      </c>
      <c r="V1293" s="19" t="s">
        <v>2334</v>
      </c>
      <c r="W1293" s="19" t="s">
        <v>67</v>
      </c>
      <c r="X1293" s="33">
        <v>46237</v>
      </c>
      <c r="Y1293" s="19"/>
      <c r="Z1293" s="19"/>
    </row>
    <row r="1294" spans="1:26">
      <c r="A1294" s="19" t="s">
        <v>2174</v>
      </c>
      <c r="B1294" s="33">
        <v>46231</v>
      </c>
      <c r="C1294" s="19"/>
      <c r="D1294" s="19" t="s">
        <v>59</v>
      </c>
      <c r="E1294" s="19" t="s">
        <v>236</v>
      </c>
      <c r="F1294" s="19" t="s">
        <v>3233</v>
      </c>
      <c r="G1294" s="19" t="s">
        <v>51</v>
      </c>
      <c r="H1294" s="40" t="s">
        <v>2459</v>
      </c>
      <c r="I1294" s="24" t="s">
        <v>239</v>
      </c>
      <c r="J1294" s="46" t="s">
        <v>240</v>
      </c>
      <c r="K1294" s="24" t="s">
        <v>3234</v>
      </c>
      <c r="L1294" s="24" t="s">
        <v>106</v>
      </c>
      <c r="M1294" s="19"/>
      <c r="N1294" s="19"/>
      <c r="O1294" s="19" t="s">
        <v>2588</v>
      </c>
      <c r="P1294" s="19" t="s">
        <v>2758</v>
      </c>
      <c r="Q1294" s="12" t="s">
        <v>1441</v>
      </c>
      <c r="R1294" s="24" t="s">
        <v>2334</v>
      </c>
      <c r="S1294" s="24" t="s">
        <v>65</v>
      </c>
      <c r="T1294" s="19" t="s">
        <v>2334</v>
      </c>
      <c r="U1294" s="19" t="s">
        <v>2334</v>
      </c>
      <c r="V1294" s="19" t="s">
        <v>2334</v>
      </c>
      <c r="W1294" s="19" t="s">
        <v>67</v>
      </c>
      <c r="X1294" s="32">
        <v>46232</v>
      </c>
      <c r="Y1294" s="12" t="s">
        <v>3235</v>
      </c>
      <c r="Z1294" s="19"/>
    </row>
    <row r="1295" spans="1:26">
      <c r="A1295" s="19" t="s">
        <v>2174</v>
      </c>
      <c r="B1295" s="33">
        <v>46231</v>
      </c>
      <c r="C1295" s="40" t="s">
        <v>3236</v>
      </c>
      <c r="D1295" s="19" t="s">
        <v>48</v>
      </c>
      <c r="E1295" s="19" t="s">
        <v>49</v>
      </c>
      <c r="F1295" s="19" t="s">
        <v>2214</v>
      </c>
      <c r="G1295" s="19" t="s">
        <v>51</v>
      </c>
      <c r="H1295" s="40" t="s">
        <v>161</v>
      </c>
      <c r="I1295" s="24" t="s">
        <v>53</v>
      </c>
      <c r="J1295" s="46" t="s">
        <v>55</v>
      </c>
      <c r="K1295" s="24" t="s">
        <v>3237</v>
      </c>
      <c r="L1295" s="24" t="s">
        <v>130</v>
      </c>
      <c r="M1295" s="19">
        <f>615+2</f>
        <v>617</v>
      </c>
      <c r="N1295" s="93">
        <f>4116.444+9.406</f>
        <v>4125.8500000000004</v>
      </c>
      <c r="O1295" s="19" t="s">
        <v>2588</v>
      </c>
      <c r="P1295" s="19" t="s">
        <v>166</v>
      </c>
      <c r="Q1295" s="12" t="s">
        <v>89</v>
      </c>
      <c r="R1295" s="24" t="s">
        <v>2334</v>
      </c>
      <c r="S1295" s="24" t="s">
        <v>65</v>
      </c>
      <c r="T1295" s="19" t="s">
        <v>2334</v>
      </c>
      <c r="U1295" s="19" t="s">
        <v>2334</v>
      </c>
      <c r="V1295" s="19" t="s">
        <v>2334</v>
      </c>
      <c r="W1295" s="19" t="s">
        <v>67</v>
      </c>
      <c r="X1295" s="32">
        <v>46237</v>
      </c>
      <c r="Y1295" s="12" t="s">
        <v>3238</v>
      </c>
      <c r="Z1295" s="19"/>
    </row>
    <row r="1296" spans="1:26">
      <c r="A1296" s="19" t="s">
        <v>2174</v>
      </c>
      <c r="B1296" s="224" t="s">
        <v>3239</v>
      </c>
      <c r="C1296" s="222" t="s">
        <v>3240</v>
      </c>
      <c r="D1296" s="221" t="s">
        <v>48</v>
      </c>
      <c r="E1296" s="221" t="s">
        <v>49</v>
      </c>
      <c r="F1296" s="221" t="s">
        <v>2243</v>
      </c>
      <c r="G1296" s="221" t="s">
        <v>127</v>
      </c>
      <c r="H1296" s="222" t="s">
        <v>2244</v>
      </c>
      <c r="I1296" s="220" t="s">
        <v>53</v>
      </c>
      <c r="J1296" s="233" t="s">
        <v>55</v>
      </c>
      <c r="K1296" s="83" t="s">
        <v>3241</v>
      </c>
      <c r="L1296" s="83" t="s">
        <v>3242</v>
      </c>
      <c r="M1296" s="49">
        <f>119</f>
        <v>119</v>
      </c>
      <c r="N1296" s="127">
        <v>112.828</v>
      </c>
      <c r="O1296" s="49" t="s">
        <v>2588</v>
      </c>
      <c r="P1296" s="49" t="s">
        <v>2246</v>
      </c>
      <c r="Q1296" s="84" t="s">
        <v>89</v>
      </c>
      <c r="R1296" s="83" t="s">
        <v>2334</v>
      </c>
      <c r="S1296" s="83" t="s">
        <v>65</v>
      </c>
      <c r="T1296" s="75" t="s">
        <v>2334</v>
      </c>
      <c r="U1296" s="75" t="s">
        <v>2334</v>
      </c>
      <c r="V1296" s="75" t="s">
        <v>2334</v>
      </c>
      <c r="W1296" s="19" t="s">
        <v>67</v>
      </c>
      <c r="X1296" s="32">
        <v>46235</v>
      </c>
      <c r="Y1296" s="234" t="s">
        <v>3243</v>
      </c>
      <c r="Z1296" s="83"/>
    </row>
    <row r="1297" spans="1:26">
      <c r="A1297" s="19" t="s">
        <v>2174</v>
      </c>
      <c r="B1297" s="185"/>
      <c r="C1297" s="185"/>
      <c r="D1297" s="185"/>
      <c r="E1297" s="185"/>
      <c r="F1297" s="185"/>
      <c r="G1297" s="185"/>
      <c r="H1297" s="185"/>
      <c r="I1297" s="185"/>
      <c r="J1297" s="182"/>
      <c r="K1297" s="83" t="s">
        <v>3244</v>
      </c>
      <c r="L1297" s="83" t="s">
        <v>28</v>
      </c>
      <c r="M1297" s="49">
        <f>23</f>
        <v>23</v>
      </c>
      <c r="N1297" s="127">
        <f>258.18</f>
        <v>258.18</v>
      </c>
      <c r="O1297" s="49" t="s">
        <v>2588</v>
      </c>
      <c r="P1297" s="49" t="s">
        <v>2246</v>
      </c>
      <c r="Q1297" s="84" t="s">
        <v>89</v>
      </c>
      <c r="R1297" s="83" t="s">
        <v>2334</v>
      </c>
      <c r="S1297" s="83" t="s">
        <v>65</v>
      </c>
      <c r="T1297" s="75" t="s">
        <v>2334</v>
      </c>
      <c r="U1297" s="75" t="s">
        <v>2334</v>
      </c>
      <c r="V1297" s="75" t="s">
        <v>2334</v>
      </c>
      <c r="W1297" s="19" t="s">
        <v>67</v>
      </c>
      <c r="X1297" s="32">
        <v>46235</v>
      </c>
      <c r="Y1297" s="185"/>
      <c r="Z1297" s="83"/>
    </row>
    <row r="1298" spans="1:26">
      <c r="A1298" s="19" t="s">
        <v>2174</v>
      </c>
      <c r="B1298" s="185"/>
      <c r="C1298" s="186"/>
      <c r="D1298" s="185"/>
      <c r="E1298" s="185"/>
      <c r="F1298" s="185"/>
      <c r="G1298" s="185"/>
      <c r="H1298" s="185"/>
      <c r="I1298" s="185"/>
      <c r="J1298" s="182"/>
      <c r="K1298" s="83" t="s">
        <v>3245</v>
      </c>
      <c r="L1298" s="83" t="s">
        <v>28</v>
      </c>
      <c r="M1298" s="49">
        <f>11</f>
        <v>11</v>
      </c>
      <c r="N1298" s="127">
        <f>112.828</f>
        <v>112.828</v>
      </c>
      <c r="O1298" s="49" t="s">
        <v>2588</v>
      </c>
      <c r="P1298" s="49" t="s">
        <v>2246</v>
      </c>
      <c r="Q1298" s="84" t="s">
        <v>89</v>
      </c>
      <c r="R1298" s="83" t="s">
        <v>2334</v>
      </c>
      <c r="S1298" s="83" t="s">
        <v>65</v>
      </c>
      <c r="T1298" s="75" t="s">
        <v>2334</v>
      </c>
      <c r="U1298" s="75" t="s">
        <v>2334</v>
      </c>
      <c r="V1298" s="75" t="s">
        <v>2334</v>
      </c>
      <c r="W1298" s="19" t="s">
        <v>67</v>
      </c>
      <c r="X1298" s="32">
        <v>46235</v>
      </c>
      <c r="Y1298" s="185"/>
      <c r="Z1298" s="83"/>
    </row>
    <row r="1299" spans="1:26">
      <c r="A1299" s="19" t="s">
        <v>2174</v>
      </c>
      <c r="B1299" s="185"/>
      <c r="C1299" s="82" t="s">
        <v>3246</v>
      </c>
      <c r="D1299" s="185"/>
      <c r="E1299" s="185"/>
      <c r="F1299" s="185"/>
      <c r="G1299" s="185"/>
      <c r="H1299" s="185"/>
      <c r="I1299" s="185"/>
      <c r="J1299" s="182"/>
      <c r="K1299" s="83" t="s">
        <v>3247</v>
      </c>
      <c r="L1299" s="83" t="s">
        <v>2774</v>
      </c>
      <c r="M1299" s="49">
        <f>225+321+40+4</f>
        <v>590</v>
      </c>
      <c r="N1299" s="127">
        <f>972+2298.778+264.96+14.4</f>
        <v>3550.1379999999999</v>
      </c>
      <c r="O1299" s="49" t="s">
        <v>2588</v>
      </c>
      <c r="P1299" s="49" t="s">
        <v>2246</v>
      </c>
      <c r="Q1299" s="84" t="s">
        <v>89</v>
      </c>
      <c r="R1299" s="83" t="s">
        <v>2334</v>
      </c>
      <c r="S1299" s="83" t="s">
        <v>65</v>
      </c>
      <c r="T1299" s="75" t="s">
        <v>2334</v>
      </c>
      <c r="U1299" s="75" t="s">
        <v>2334</v>
      </c>
      <c r="V1299" s="75" t="s">
        <v>2334</v>
      </c>
      <c r="W1299" s="19" t="s">
        <v>67</v>
      </c>
      <c r="X1299" s="32">
        <v>46235</v>
      </c>
      <c r="Y1299" s="185"/>
      <c r="Z1299" s="83"/>
    </row>
    <row r="1300" spans="1:26">
      <c r="A1300" s="19" t="s">
        <v>2174</v>
      </c>
      <c r="B1300" s="185"/>
      <c r="C1300" s="222" t="s">
        <v>3240</v>
      </c>
      <c r="D1300" s="185"/>
      <c r="E1300" s="185"/>
      <c r="F1300" s="185"/>
      <c r="G1300" s="185"/>
      <c r="H1300" s="185"/>
      <c r="I1300" s="185"/>
      <c r="J1300" s="182"/>
      <c r="K1300" s="83" t="s">
        <v>3248</v>
      </c>
      <c r="L1300" s="83" t="s">
        <v>28</v>
      </c>
      <c r="M1300" s="49">
        <v>50</v>
      </c>
      <c r="N1300" s="127">
        <v>345.6</v>
      </c>
      <c r="O1300" s="49" t="s">
        <v>2588</v>
      </c>
      <c r="P1300" s="49" t="s">
        <v>2246</v>
      </c>
      <c r="Q1300" s="84" t="s">
        <v>89</v>
      </c>
      <c r="R1300" s="83" t="s">
        <v>2334</v>
      </c>
      <c r="S1300" s="83" t="s">
        <v>65</v>
      </c>
      <c r="T1300" s="75" t="s">
        <v>2334</v>
      </c>
      <c r="U1300" s="75" t="s">
        <v>2334</v>
      </c>
      <c r="V1300" s="75" t="s">
        <v>2334</v>
      </c>
      <c r="W1300" s="19" t="s">
        <v>67</v>
      </c>
      <c r="X1300" s="32">
        <v>46235</v>
      </c>
      <c r="Y1300" s="185"/>
      <c r="Z1300" s="83"/>
    </row>
    <row r="1301" spans="1:26">
      <c r="A1301" s="19" t="s">
        <v>2174</v>
      </c>
      <c r="B1301" s="185"/>
      <c r="C1301" s="185"/>
      <c r="D1301" s="185"/>
      <c r="E1301" s="185"/>
      <c r="F1301" s="185"/>
      <c r="G1301" s="185"/>
      <c r="H1301" s="185"/>
      <c r="I1301" s="185"/>
      <c r="J1301" s="182"/>
      <c r="K1301" s="83" t="s">
        <v>3249</v>
      </c>
      <c r="L1301" s="83" t="s">
        <v>28</v>
      </c>
      <c r="M1301" s="49">
        <f>59+20+3</f>
        <v>82</v>
      </c>
      <c r="N1301" s="128">
        <f>338.908+72+9.125</f>
        <v>420.03300000000002</v>
      </c>
      <c r="O1301" s="49" t="s">
        <v>2588</v>
      </c>
      <c r="P1301" s="49" t="s">
        <v>2246</v>
      </c>
      <c r="Q1301" s="84" t="s">
        <v>89</v>
      </c>
      <c r="R1301" s="83" t="s">
        <v>2334</v>
      </c>
      <c r="S1301" s="83" t="s">
        <v>65</v>
      </c>
      <c r="T1301" s="75" t="s">
        <v>2334</v>
      </c>
      <c r="U1301" s="75" t="s">
        <v>2334</v>
      </c>
      <c r="V1301" s="75" t="s">
        <v>2334</v>
      </c>
      <c r="W1301" s="19" t="s">
        <v>67</v>
      </c>
      <c r="X1301" s="32">
        <v>46235</v>
      </c>
      <c r="Y1301" s="185"/>
      <c r="Z1301" s="83"/>
    </row>
    <row r="1302" spans="1:26">
      <c r="A1302" s="19" t="s">
        <v>2174</v>
      </c>
      <c r="B1302" s="186"/>
      <c r="C1302" s="186"/>
      <c r="D1302" s="186"/>
      <c r="E1302" s="186"/>
      <c r="F1302" s="186"/>
      <c r="G1302" s="186"/>
      <c r="H1302" s="186"/>
      <c r="I1302" s="186"/>
      <c r="J1302" s="183"/>
      <c r="K1302" s="83" t="s">
        <v>3250</v>
      </c>
      <c r="L1302" s="83" t="s">
        <v>28</v>
      </c>
      <c r="M1302" s="49">
        <f>25</f>
        <v>25</v>
      </c>
      <c r="N1302" s="127">
        <v>234.12799999999999</v>
      </c>
      <c r="O1302" s="49" t="s">
        <v>2588</v>
      </c>
      <c r="P1302" s="49" t="s">
        <v>2246</v>
      </c>
      <c r="Q1302" s="84" t="s">
        <v>89</v>
      </c>
      <c r="R1302" s="83" t="s">
        <v>2334</v>
      </c>
      <c r="S1302" s="83" t="s">
        <v>65</v>
      </c>
      <c r="T1302" s="75" t="s">
        <v>2334</v>
      </c>
      <c r="U1302" s="75" t="s">
        <v>2334</v>
      </c>
      <c r="V1302" s="75" t="s">
        <v>2334</v>
      </c>
      <c r="W1302" s="19" t="s">
        <v>67</v>
      </c>
      <c r="X1302" s="32">
        <v>46235</v>
      </c>
      <c r="Y1302" s="186"/>
      <c r="Z1302" s="83"/>
    </row>
    <row r="1303" spans="1:26">
      <c r="A1303" s="19" t="s">
        <v>2174</v>
      </c>
      <c r="B1303" s="33">
        <v>46231</v>
      </c>
      <c r="C1303" s="20"/>
      <c r="D1303" s="19" t="s">
        <v>59</v>
      </c>
      <c r="E1303" s="19" t="s">
        <v>1140</v>
      </c>
      <c r="F1303" s="19" t="s">
        <v>285</v>
      </c>
      <c r="G1303" s="19" t="s">
        <v>127</v>
      </c>
      <c r="H1303" s="40" t="s">
        <v>288</v>
      </c>
      <c r="I1303" s="24" t="s">
        <v>1770</v>
      </c>
      <c r="J1303" s="24" t="s">
        <v>2323</v>
      </c>
      <c r="K1303" s="24" t="s">
        <v>2954</v>
      </c>
      <c r="L1303" s="24" t="s">
        <v>3251</v>
      </c>
      <c r="M1303" s="19"/>
      <c r="N1303" s="28"/>
      <c r="O1303" s="19" t="s">
        <v>2588</v>
      </c>
      <c r="P1303" s="19" t="s">
        <v>290</v>
      </c>
      <c r="Q1303" s="12" t="s">
        <v>89</v>
      </c>
      <c r="R1303" s="24" t="s">
        <v>2334</v>
      </c>
      <c r="S1303" s="24" t="s">
        <v>65</v>
      </c>
      <c r="T1303" s="28" t="s">
        <v>2334</v>
      </c>
      <c r="U1303" s="28" t="s">
        <v>2334</v>
      </c>
      <c r="V1303" s="28" t="s">
        <v>2334</v>
      </c>
      <c r="W1303" s="19" t="s">
        <v>67</v>
      </c>
      <c r="X1303" s="33">
        <v>46238</v>
      </c>
      <c r="Y1303" s="24"/>
      <c r="Z1303" s="24"/>
    </row>
    <row r="1304" spans="1:26">
      <c r="A1304" s="19" t="s">
        <v>2174</v>
      </c>
      <c r="B1304" s="33">
        <v>46231</v>
      </c>
      <c r="C1304" s="40" t="s">
        <v>3252</v>
      </c>
      <c r="D1304" s="19" t="s">
        <v>59</v>
      </c>
      <c r="E1304" s="19" t="s">
        <v>230</v>
      </c>
      <c r="F1304" s="19" t="s">
        <v>3128</v>
      </c>
      <c r="G1304" s="19" t="s">
        <v>127</v>
      </c>
      <c r="H1304" s="40" t="s">
        <v>3253</v>
      </c>
      <c r="I1304" s="24" t="s">
        <v>2762</v>
      </c>
      <c r="J1304" s="24" t="s">
        <v>3254</v>
      </c>
      <c r="K1304" s="24" t="s">
        <v>3255</v>
      </c>
      <c r="L1304" s="24" t="s">
        <v>104</v>
      </c>
      <c r="M1304" s="19">
        <v>40</v>
      </c>
      <c r="N1304" s="28">
        <v>2251</v>
      </c>
      <c r="O1304" s="19" t="s">
        <v>2588</v>
      </c>
      <c r="P1304" s="19" t="s">
        <v>218</v>
      </c>
      <c r="Q1304" s="12" t="s">
        <v>1441</v>
      </c>
      <c r="R1304" s="24" t="s">
        <v>2334</v>
      </c>
      <c r="S1304" s="24" t="s">
        <v>65</v>
      </c>
      <c r="T1304" s="28" t="s">
        <v>2334</v>
      </c>
      <c r="U1304" s="28" t="s">
        <v>2334</v>
      </c>
      <c r="V1304" s="28" t="s">
        <v>2334</v>
      </c>
      <c r="W1304" s="19" t="s">
        <v>67</v>
      </c>
      <c r="X1304" s="32">
        <v>46233</v>
      </c>
      <c r="Y1304" s="24"/>
      <c r="Z1304" s="24"/>
    </row>
    <row r="1305" spans="1:26">
      <c r="A1305" s="19" t="s">
        <v>2174</v>
      </c>
      <c r="B1305" s="33">
        <v>46231</v>
      </c>
      <c r="C1305" s="20"/>
      <c r="D1305" s="19" t="s">
        <v>48</v>
      </c>
      <c r="E1305" s="19" t="s">
        <v>284</v>
      </c>
      <c r="F1305" s="19" t="s">
        <v>1097</v>
      </c>
      <c r="G1305" s="19" t="s">
        <v>1856</v>
      </c>
      <c r="H1305" s="40" t="s">
        <v>2193</v>
      </c>
      <c r="I1305" s="24" t="s">
        <v>3256</v>
      </c>
      <c r="J1305" s="24" t="s">
        <v>2778</v>
      </c>
      <c r="K1305" s="24" t="s">
        <v>3257</v>
      </c>
      <c r="L1305" s="24" t="s">
        <v>3258</v>
      </c>
      <c r="M1305" s="19"/>
      <c r="N1305" s="28"/>
      <c r="O1305" s="19" t="s">
        <v>2588</v>
      </c>
      <c r="P1305" s="19" t="s">
        <v>2199</v>
      </c>
      <c r="Q1305" s="12" t="s">
        <v>1441</v>
      </c>
      <c r="R1305" s="24" t="s">
        <v>2334</v>
      </c>
      <c r="S1305" s="24" t="s">
        <v>65</v>
      </c>
      <c r="T1305" s="28" t="s">
        <v>2334</v>
      </c>
      <c r="U1305" s="28" t="s">
        <v>2334</v>
      </c>
      <c r="V1305" s="28" t="s">
        <v>2334</v>
      </c>
      <c r="W1305" s="19" t="s">
        <v>67</v>
      </c>
      <c r="X1305" s="33">
        <v>46238</v>
      </c>
      <c r="Y1305" s="24"/>
      <c r="Z1305" s="24"/>
    </row>
    <row r="1306" spans="1:26">
      <c r="A1306" s="19" t="s">
        <v>2174</v>
      </c>
      <c r="B1306" s="33">
        <v>46231</v>
      </c>
      <c r="C1306" s="20"/>
      <c r="D1306" s="19" t="s">
        <v>48</v>
      </c>
      <c r="E1306" s="19" t="s">
        <v>284</v>
      </c>
      <c r="F1306" s="19" t="s">
        <v>716</v>
      </c>
      <c r="G1306" s="19" t="s">
        <v>1856</v>
      </c>
      <c r="H1306" s="40" t="s">
        <v>3259</v>
      </c>
      <c r="I1306" s="24" t="s">
        <v>3260</v>
      </c>
      <c r="J1306" s="24" t="s">
        <v>330</v>
      </c>
      <c r="K1306" s="24" t="s">
        <v>3261</v>
      </c>
      <c r="L1306" s="24" t="s">
        <v>3262</v>
      </c>
      <c r="M1306" s="19"/>
      <c r="N1306" s="28"/>
      <c r="O1306" s="19" t="s">
        <v>2588</v>
      </c>
      <c r="P1306" s="19" t="s">
        <v>593</v>
      </c>
      <c r="Q1306" s="12" t="s">
        <v>1441</v>
      </c>
      <c r="R1306" s="24" t="s">
        <v>2334</v>
      </c>
      <c r="S1306" s="24" t="s">
        <v>65</v>
      </c>
      <c r="T1306" s="28" t="s">
        <v>2334</v>
      </c>
      <c r="U1306" s="28" t="s">
        <v>2334</v>
      </c>
      <c r="V1306" s="28" t="s">
        <v>2334</v>
      </c>
      <c r="W1306" s="19" t="s">
        <v>67</v>
      </c>
      <c r="X1306" s="33">
        <v>46238</v>
      </c>
      <c r="Y1306" s="24"/>
      <c r="Z1306" s="24"/>
    </row>
    <row r="1307" spans="1:26">
      <c r="A1307" s="19" t="s">
        <v>2174</v>
      </c>
      <c r="B1307" s="33">
        <v>46231</v>
      </c>
      <c r="C1307" s="20"/>
      <c r="D1307" s="19" t="s">
        <v>48</v>
      </c>
      <c r="E1307" s="19" t="s">
        <v>609</v>
      </c>
      <c r="F1307" s="19" t="s">
        <v>3263</v>
      </c>
      <c r="G1307" s="19" t="s">
        <v>2293</v>
      </c>
      <c r="H1307" s="40" t="s">
        <v>262</v>
      </c>
      <c r="I1307" s="24" t="s">
        <v>109</v>
      </c>
      <c r="J1307" s="24" t="s">
        <v>330</v>
      </c>
      <c r="K1307" s="24" t="s">
        <v>164</v>
      </c>
      <c r="L1307" s="24" t="s">
        <v>104</v>
      </c>
      <c r="M1307" s="19"/>
      <c r="N1307" s="28"/>
      <c r="O1307" s="19" t="s">
        <v>2588</v>
      </c>
      <c r="P1307" s="19" t="s">
        <v>1817</v>
      </c>
      <c r="Q1307" s="12" t="s">
        <v>1441</v>
      </c>
      <c r="R1307" s="24" t="s">
        <v>2334</v>
      </c>
      <c r="S1307" s="24" t="s">
        <v>65</v>
      </c>
      <c r="T1307" s="28" t="s">
        <v>2334</v>
      </c>
      <c r="U1307" s="28" t="s">
        <v>2334</v>
      </c>
      <c r="V1307" s="28" t="s">
        <v>2334</v>
      </c>
      <c r="W1307" s="28"/>
      <c r="X1307" s="56"/>
      <c r="Y1307" s="24"/>
      <c r="Z1307" s="24"/>
    </row>
    <row r="1308" spans="1:26">
      <c r="A1308" s="19" t="s">
        <v>2174</v>
      </c>
      <c r="B1308" s="197">
        <v>46231</v>
      </c>
      <c r="C1308" s="20"/>
      <c r="D1308" s="184" t="s">
        <v>59</v>
      </c>
      <c r="E1308" s="184" t="s">
        <v>96</v>
      </c>
      <c r="F1308" s="184" t="s">
        <v>2936</v>
      </c>
      <c r="G1308" s="184" t="s">
        <v>51</v>
      </c>
      <c r="H1308" s="192" t="s">
        <v>3264</v>
      </c>
      <c r="I1308" s="191" t="s">
        <v>100</v>
      </c>
      <c r="J1308" s="196" t="s">
        <v>102</v>
      </c>
      <c r="K1308" s="24" t="s">
        <v>3265</v>
      </c>
      <c r="L1308" s="24" t="s">
        <v>1078</v>
      </c>
      <c r="M1308" s="19"/>
      <c r="N1308" s="28"/>
      <c r="O1308" s="19" t="s">
        <v>2588</v>
      </c>
      <c r="P1308" s="19" t="s">
        <v>3266</v>
      </c>
      <c r="Q1308" s="12" t="s">
        <v>89</v>
      </c>
      <c r="R1308" s="24" t="s">
        <v>2334</v>
      </c>
      <c r="S1308" s="24" t="s">
        <v>65</v>
      </c>
      <c r="T1308" s="28" t="s">
        <v>2334</v>
      </c>
      <c r="U1308" s="28" t="s">
        <v>2334</v>
      </c>
      <c r="V1308" s="28"/>
      <c r="W1308" s="19" t="s">
        <v>67</v>
      </c>
      <c r="X1308" s="32">
        <v>46237</v>
      </c>
      <c r="Y1308" s="12" t="s">
        <v>2276</v>
      </c>
      <c r="Z1308" s="24"/>
    </row>
    <row r="1309" spans="1:26">
      <c r="A1309" s="19" t="s">
        <v>2174</v>
      </c>
      <c r="B1309" s="185"/>
      <c r="C1309" s="20"/>
      <c r="D1309" s="185"/>
      <c r="E1309" s="185"/>
      <c r="F1309" s="185"/>
      <c r="G1309" s="185"/>
      <c r="H1309" s="185"/>
      <c r="I1309" s="185"/>
      <c r="J1309" s="182"/>
      <c r="K1309" s="24" t="s">
        <v>3267</v>
      </c>
      <c r="L1309" s="24" t="s">
        <v>1078</v>
      </c>
      <c r="M1309" s="19"/>
      <c r="N1309" s="28"/>
      <c r="O1309" s="19" t="s">
        <v>2588</v>
      </c>
      <c r="P1309" s="19" t="s">
        <v>3266</v>
      </c>
      <c r="Q1309" s="12" t="s">
        <v>89</v>
      </c>
      <c r="R1309" s="24" t="s">
        <v>2334</v>
      </c>
      <c r="S1309" s="24" t="s">
        <v>65</v>
      </c>
      <c r="T1309" s="28" t="s">
        <v>2334</v>
      </c>
      <c r="U1309" s="28" t="s">
        <v>2334</v>
      </c>
      <c r="V1309" s="28"/>
      <c r="W1309" s="19" t="s">
        <v>67</v>
      </c>
      <c r="X1309" s="32">
        <v>46237</v>
      </c>
      <c r="Y1309" s="12" t="s">
        <v>2184</v>
      </c>
      <c r="Z1309" s="24"/>
    </row>
    <row r="1310" spans="1:26">
      <c r="A1310" s="19" t="s">
        <v>2174</v>
      </c>
      <c r="B1310" s="185"/>
      <c r="C1310" s="20"/>
      <c r="D1310" s="185"/>
      <c r="E1310" s="185"/>
      <c r="F1310" s="185"/>
      <c r="G1310" s="185"/>
      <c r="H1310" s="185"/>
      <c r="I1310" s="185"/>
      <c r="J1310" s="182"/>
      <c r="K1310" s="24" t="s">
        <v>3268</v>
      </c>
      <c r="L1310" s="24" t="s">
        <v>246</v>
      </c>
      <c r="M1310" s="19"/>
      <c r="N1310" s="28"/>
      <c r="O1310" s="19" t="s">
        <v>2588</v>
      </c>
      <c r="P1310" s="19" t="s">
        <v>3266</v>
      </c>
      <c r="Q1310" s="12" t="s">
        <v>89</v>
      </c>
      <c r="R1310" s="24" t="s">
        <v>2334</v>
      </c>
      <c r="S1310" s="24" t="s">
        <v>65</v>
      </c>
      <c r="T1310" s="28" t="s">
        <v>2334</v>
      </c>
      <c r="U1310" s="28" t="s">
        <v>2334</v>
      </c>
      <c r="V1310" s="28"/>
      <c r="W1310" s="19" t="s">
        <v>67</v>
      </c>
      <c r="X1310" s="32">
        <v>46237</v>
      </c>
      <c r="Y1310" s="19"/>
      <c r="Z1310" s="24"/>
    </row>
    <row r="1311" spans="1:26">
      <c r="A1311" s="19" t="s">
        <v>2174</v>
      </c>
      <c r="B1311" s="186"/>
      <c r="C1311" s="20"/>
      <c r="D1311" s="186"/>
      <c r="E1311" s="186"/>
      <c r="F1311" s="186"/>
      <c r="G1311" s="186"/>
      <c r="H1311" s="186"/>
      <c r="I1311" s="186"/>
      <c r="J1311" s="183"/>
      <c r="K1311" s="24" t="s">
        <v>3269</v>
      </c>
      <c r="L1311" s="24" t="s">
        <v>182</v>
      </c>
      <c r="M1311" s="19"/>
      <c r="N1311" s="28"/>
      <c r="O1311" s="19" t="s">
        <v>2588</v>
      </c>
      <c r="P1311" s="19" t="s">
        <v>3266</v>
      </c>
      <c r="Q1311" s="12" t="s">
        <v>89</v>
      </c>
      <c r="R1311" s="24" t="s">
        <v>2334</v>
      </c>
      <c r="S1311" s="24" t="s">
        <v>65</v>
      </c>
      <c r="T1311" s="28" t="s">
        <v>2334</v>
      </c>
      <c r="U1311" s="28" t="s">
        <v>2334</v>
      </c>
      <c r="V1311" s="28"/>
      <c r="W1311" s="19" t="s">
        <v>67</v>
      </c>
      <c r="X1311" s="32">
        <v>46237</v>
      </c>
      <c r="Y1311" s="19"/>
      <c r="Z1311" s="24"/>
    </row>
    <row r="1312" spans="1:26">
      <c r="A1312" s="19" t="s">
        <v>2174</v>
      </c>
      <c r="B1312" s="33">
        <v>46231</v>
      </c>
      <c r="C1312" s="20"/>
      <c r="D1312" s="19" t="s">
        <v>59</v>
      </c>
      <c r="E1312" s="19" t="s">
        <v>1007</v>
      </c>
      <c r="F1312" s="19" t="s">
        <v>2008</v>
      </c>
      <c r="G1312" s="19" t="s">
        <v>2293</v>
      </c>
      <c r="H1312" s="40" t="s">
        <v>2501</v>
      </c>
      <c r="I1312" s="28" t="s">
        <v>3270</v>
      </c>
      <c r="J1312" s="28" t="s">
        <v>3271</v>
      </c>
      <c r="K1312" s="28" t="s">
        <v>3272</v>
      </c>
      <c r="L1312" s="24" t="s">
        <v>28</v>
      </c>
      <c r="M1312" s="19"/>
      <c r="N1312" s="28"/>
      <c r="O1312" s="19" t="s">
        <v>2588</v>
      </c>
      <c r="P1312" s="19" t="s">
        <v>2503</v>
      </c>
      <c r="Q1312" s="12" t="s">
        <v>1441</v>
      </c>
      <c r="R1312" s="24" t="s">
        <v>2334</v>
      </c>
      <c r="S1312" s="24" t="s">
        <v>65</v>
      </c>
      <c r="T1312" s="28" t="s">
        <v>2334</v>
      </c>
      <c r="U1312" s="28" t="s">
        <v>2334</v>
      </c>
      <c r="V1312" s="28" t="s">
        <v>2334</v>
      </c>
      <c r="W1312" s="19" t="s">
        <v>67</v>
      </c>
      <c r="X1312" s="33">
        <v>46231</v>
      </c>
      <c r="Y1312" s="24"/>
      <c r="Z1312" s="24"/>
    </row>
    <row r="1313" spans="1:26">
      <c r="A1313" s="19" t="s">
        <v>2174</v>
      </c>
      <c r="B1313" s="197">
        <v>46231</v>
      </c>
      <c r="C1313" s="20"/>
      <c r="D1313" s="184" t="s">
        <v>59</v>
      </c>
      <c r="E1313" s="184" t="s">
        <v>2395</v>
      </c>
      <c r="F1313" s="184" t="s">
        <v>237</v>
      </c>
      <c r="G1313" s="184" t="s">
        <v>98</v>
      </c>
      <c r="H1313" s="192" t="s">
        <v>238</v>
      </c>
      <c r="I1313" s="191" t="s">
        <v>2963</v>
      </c>
      <c r="J1313" s="191" t="s">
        <v>28</v>
      </c>
      <c r="K1313" s="24" t="s">
        <v>3273</v>
      </c>
      <c r="L1313" s="24" t="s">
        <v>175</v>
      </c>
      <c r="M1313" s="19"/>
      <c r="N1313" s="28"/>
      <c r="O1313" s="19" t="s">
        <v>2588</v>
      </c>
      <c r="P1313" s="19" t="s">
        <v>241</v>
      </c>
      <c r="Q1313" s="12" t="s">
        <v>1441</v>
      </c>
      <c r="R1313" s="24" t="s">
        <v>2334</v>
      </c>
      <c r="S1313" s="24" t="s">
        <v>65</v>
      </c>
      <c r="T1313" s="28" t="s">
        <v>2334</v>
      </c>
      <c r="U1313" s="28" t="s">
        <v>2334</v>
      </c>
      <c r="V1313" s="28" t="s">
        <v>2334</v>
      </c>
      <c r="W1313" s="19" t="s">
        <v>67</v>
      </c>
      <c r="X1313" s="32">
        <v>46234</v>
      </c>
      <c r="Y1313" s="195" t="s">
        <v>2400</v>
      </c>
      <c r="Z1313" s="24"/>
    </row>
    <row r="1314" spans="1:26">
      <c r="A1314" s="19" t="s">
        <v>2174</v>
      </c>
      <c r="B1314" s="186"/>
      <c r="C1314" s="20"/>
      <c r="D1314" s="186"/>
      <c r="E1314" s="186"/>
      <c r="F1314" s="186"/>
      <c r="G1314" s="186"/>
      <c r="H1314" s="186"/>
      <c r="I1314" s="186"/>
      <c r="J1314" s="186"/>
      <c r="K1314" s="24" t="s">
        <v>3274</v>
      </c>
      <c r="L1314" s="24" t="s">
        <v>343</v>
      </c>
      <c r="M1314" s="19"/>
      <c r="N1314" s="28"/>
      <c r="O1314" s="19" t="s">
        <v>2588</v>
      </c>
      <c r="P1314" s="19" t="s">
        <v>241</v>
      </c>
      <c r="Q1314" s="12" t="s">
        <v>1441</v>
      </c>
      <c r="R1314" s="24" t="s">
        <v>2334</v>
      </c>
      <c r="S1314" s="24" t="s">
        <v>65</v>
      </c>
      <c r="T1314" s="28" t="s">
        <v>2334</v>
      </c>
      <c r="U1314" s="28" t="s">
        <v>2334</v>
      </c>
      <c r="V1314" s="28" t="s">
        <v>2334</v>
      </c>
      <c r="W1314" s="19" t="s">
        <v>67</v>
      </c>
      <c r="X1314" s="32">
        <v>46234</v>
      </c>
      <c r="Y1314" s="186"/>
      <c r="Z1314" s="24"/>
    </row>
    <row r="1315" spans="1:26">
      <c r="A1315" s="19" t="s">
        <v>2174</v>
      </c>
      <c r="B1315" s="81">
        <v>46231</v>
      </c>
      <c r="C1315" s="115"/>
      <c r="D1315" s="49" t="s">
        <v>59</v>
      </c>
      <c r="E1315" s="49" t="s">
        <v>1875</v>
      </c>
      <c r="F1315" s="49" t="s">
        <v>193</v>
      </c>
      <c r="G1315" s="49" t="s">
        <v>51</v>
      </c>
      <c r="H1315" s="82" t="s">
        <v>194</v>
      </c>
      <c r="I1315" s="129" t="s">
        <v>2223</v>
      </c>
      <c r="J1315" s="83" t="s">
        <v>28</v>
      </c>
      <c r="K1315" s="83" t="s">
        <v>130</v>
      </c>
      <c r="L1315" s="83" t="s">
        <v>130</v>
      </c>
      <c r="M1315" s="49"/>
      <c r="N1315" s="75"/>
      <c r="O1315" s="49" t="s">
        <v>2588</v>
      </c>
      <c r="P1315" s="49" t="s">
        <v>196</v>
      </c>
      <c r="Q1315" s="84" t="s">
        <v>1441</v>
      </c>
      <c r="R1315" s="83" t="s">
        <v>2334</v>
      </c>
      <c r="S1315" s="83" t="s">
        <v>65</v>
      </c>
      <c r="T1315" s="75" t="s">
        <v>2334</v>
      </c>
      <c r="U1315" s="75" t="s">
        <v>2334</v>
      </c>
      <c r="V1315" s="75" t="s">
        <v>2334</v>
      </c>
      <c r="W1315" s="75" t="s">
        <v>67</v>
      </c>
      <c r="X1315" s="81">
        <v>46234</v>
      </c>
      <c r="Y1315" s="49"/>
      <c r="Z1315" s="83"/>
    </row>
    <row r="1316" spans="1:26">
      <c r="A1316" s="19" t="s">
        <v>2174</v>
      </c>
      <c r="B1316" s="197">
        <v>46231</v>
      </c>
      <c r="C1316" s="20"/>
      <c r="D1316" s="184" t="s">
        <v>59</v>
      </c>
      <c r="E1316" s="184" t="s">
        <v>101</v>
      </c>
      <c r="F1316" s="184" t="s">
        <v>3275</v>
      </c>
      <c r="G1316" s="184" t="s">
        <v>127</v>
      </c>
      <c r="H1316" s="192" t="s">
        <v>3276</v>
      </c>
      <c r="I1316" s="191" t="s">
        <v>3277</v>
      </c>
      <c r="J1316" s="191" t="s">
        <v>130</v>
      </c>
      <c r="K1316" s="24" t="s">
        <v>131</v>
      </c>
      <c r="L1316" s="24" t="s">
        <v>104</v>
      </c>
      <c r="M1316" s="19"/>
      <c r="N1316" s="28"/>
      <c r="O1316" s="19" t="s">
        <v>2334</v>
      </c>
      <c r="P1316" s="19" t="s">
        <v>3278</v>
      </c>
      <c r="Q1316" s="12" t="s">
        <v>89</v>
      </c>
      <c r="R1316" s="24" t="s">
        <v>2334</v>
      </c>
      <c r="S1316" s="24" t="s">
        <v>65</v>
      </c>
      <c r="T1316" s="28" t="s">
        <v>2334</v>
      </c>
      <c r="U1316" s="28" t="s">
        <v>2334</v>
      </c>
      <c r="V1316" s="28" t="s">
        <v>2334</v>
      </c>
      <c r="W1316" s="19" t="s">
        <v>67</v>
      </c>
      <c r="X1316" s="32">
        <v>46232</v>
      </c>
      <c r="Y1316" s="19"/>
      <c r="Z1316" s="24"/>
    </row>
    <row r="1317" spans="1:26">
      <c r="A1317" s="19" t="s">
        <v>2174</v>
      </c>
      <c r="B1317" s="186"/>
      <c r="C1317" s="20"/>
      <c r="D1317" s="186"/>
      <c r="E1317" s="186"/>
      <c r="F1317" s="186"/>
      <c r="G1317" s="186"/>
      <c r="H1317" s="186"/>
      <c r="I1317" s="186"/>
      <c r="J1317" s="186"/>
      <c r="K1317" s="24" t="s">
        <v>381</v>
      </c>
      <c r="L1317" s="24" t="s">
        <v>382</v>
      </c>
      <c r="M1317" s="19"/>
      <c r="N1317" s="28"/>
      <c r="O1317" s="19" t="s">
        <v>2588</v>
      </c>
      <c r="P1317" s="19" t="s">
        <v>3279</v>
      </c>
      <c r="Q1317" s="12" t="s">
        <v>89</v>
      </c>
      <c r="R1317" s="24" t="s">
        <v>2334</v>
      </c>
      <c r="S1317" s="24" t="s">
        <v>65</v>
      </c>
      <c r="T1317" s="28" t="s">
        <v>2334</v>
      </c>
      <c r="U1317" s="28" t="s">
        <v>2334</v>
      </c>
      <c r="V1317" s="28" t="s">
        <v>2334</v>
      </c>
      <c r="W1317" s="28"/>
      <c r="X1317" s="56"/>
      <c r="Y1317" s="19"/>
      <c r="Z1317" s="24"/>
    </row>
    <row r="1318" spans="1:26">
      <c r="A1318" s="19" t="s">
        <v>2174</v>
      </c>
      <c r="B1318" s="197">
        <v>46232</v>
      </c>
      <c r="C1318" s="20"/>
      <c r="D1318" s="184" t="s">
        <v>48</v>
      </c>
      <c r="E1318" s="184" t="s">
        <v>3280</v>
      </c>
      <c r="F1318" s="184" t="s">
        <v>1893</v>
      </c>
      <c r="G1318" s="184" t="s">
        <v>127</v>
      </c>
      <c r="H1318" s="192" t="s">
        <v>3281</v>
      </c>
      <c r="I1318" s="218" t="s">
        <v>3282</v>
      </c>
      <c r="J1318" s="191" t="s">
        <v>3283</v>
      </c>
      <c r="K1318" s="24" t="s">
        <v>3284</v>
      </c>
      <c r="L1318" s="24" t="s">
        <v>104</v>
      </c>
      <c r="M1318" s="19"/>
      <c r="N1318" s="28"/>
      <c r="O1318" s="19" t="s">
        <v>2334</v>
      </c>
      <c r="P1318" s="19" t="s">
        <v>3285</v>
      </c>
      <c r="Q1318" s="12" t="s">
        <v>1441</v>
      </c>
      <c r="R1318" s="24" t="s">
        <v>2334</v>
      </c>
      <c r="S1318" s="24" t="s">
        <v>65</v>
      </c>
      <c r="T1318" s="28" t="s">
        <v>2334</v>
      </c>
      <c r="U1318" s="28" t="s">
        <v>2334</v>
      </c>
      <c r="V1318" s="28" t="s">
        <v>2334</v>
      </c>
      <c r="W1318" s="19" t="s">
        <v>67</v>
      </c>
      <c r="X1318" s="33">
        <v>46239</v>
      </c>
      <c r="Y1318" s="19"/>
      <c r="Z1318" s="24"/>
    </row>
    <row r="1319" spans="1:26">
      <c r="A1319" s="19" t="s">
        <v>2174</v>
      </c>
      <c r="B1319" s="186"/>
      <c r="C1319" s="20"/>
      <c r="D1319" s="186"/>
      <c r="E1319" s="186"/>
      <c r="F1319" s="186"/>
      <c r="G1319" s="186"/>
      <c r="H1319" s="186"/>
      <c r="I1319" s="183"/>
      <c r="J1319" s="186"/>
      <c r="K1319" s="24" t="s">
        <v>2961</v>
      </c>
      <c r="L1319" s="24" t="s">
        <v>130</v>
      </c>
      <c r="M1319" s="19"/>
      <c r="N1319" s="28"/>
      <c r="O1319" s="19" t="s">
        <v>2334</v>
      </c>
      <c r="P1319" s="19" t="s">
        <v>3285</v>
      </c>
      <c r="Q1319" s="12" t="s">
        <v>1441</v>
      </c>
      <c r="R1319" s="24" t="s">
        <v>2334</v>
      </c>
      <c r="S1319" s="24" t="s">
        <v>65</v>
      </c>
      <c r="T1319" s="28" t="s">
        <v>2334</v>
      </c>
      <c r="U1319" s="28" t="s">
        <v>2334</v>
      </c>
      <c r="V1319" s="28" t="s">
        <v>2334</v>
      </c>
      <c r="W1319" s="19" t="s">
        <v>67</v>
      </c>
      <c r="X1319" s="33">
        <v>46239</v>
      </c>
      <c r="Y1319" s="19"/>
      <c r="Z1319" s="24"/>
    </row>
    <row r="1320" spans="1:26">
      <c r="A1320" s="19" t="s">
        <v>2174</v>
      </c>
      <c r="B1320" s="33">
        <v>46232</v>
      </c>
      <c r="C1320" s="19"/>
      <c r="D1320" s="19" t="s">
        <v>59</v>
      </c>
      <c r="E1320" s="19" t="s">
        <v>284</v>
      </c>
      <c r="F1320" s="19" t="s">
        <v>3286</v>
      </c>
      <c r="G1320" s="19" t="s">
        <v>127</v>
      </c>
      <c r="H1320" s="40" t="s">
        <v>3287</v>
      </c>
      <c r="I1320" s="24" t="s">
        <v>3288</v>
      </c>
      <c r="J1320" s="24" t="s">
        <v>60</v>
      </c>
      <c r="K1320" s="24" t="s">
        <v>3289</v>
      </c>
      <c r="L1320" s="24" t="s">
        <v>104</v>
      </c>
      <c r="M1320" s="19"/>
      <c r="N1320" s="19"/>
      <c r="O1320" s="19" t="s">
        <v>2588</v>
      </c>
      <c r="P1320" s="19" t="s">
        <v>3290</v>
      </c>
      <c r="Q1320" s="12" t="s">
        <v>89</v>
      </c>
      <c r="R1320" s="24" t="s">
        <v>2334</v>
      </c>
      <c r="S1320" s="24" t="s">
        <v>65</v>
      </c>
      <c r="T1320" s="19" t="s">
        <v>2334</v>
      </c>
      <c r="U1320" s="19" t="s">
        <v>2334</v>
      </c>
      <c r="V1320" s="19" t="s">
        <v>2334</v>
      </c>
      <c r="W1320" s="19" t="s">
        <v>67</v>
      </c>
      <c r="X1320" s="32">
        <v>46232</v>
      </c>
      <c r="Y1320" s="19"/>
      <c r="Z1320" s="19"/>
    </row>
    <row r="1321" spans="1:26">
      <c r="A1321" s="19" t="s">
        <v>2174</v>
      </c>
      <c r="B1321" s="33">
        <v>46232</v>
      </c>
      <c r="C1321" s="19"/>
      <c r="D1321" s="19" t="s">
        <v>59</v>
      </c>
      <c r="E1321" s="19" t="s">
        <v>284</v>
      </c>
      <c r="F1321" s="19" t="s">
        <v>255</v>
      </c>
      <c r="G1321" s="19" t="s">
        <v>51</v>
      </c>
      <c r="H1321" s="40" t="s">
        <v>2190</v>
      </c>
      <c r="I1321" s="24" t="s">
        <v>3288</v>
      </c>
      <c r="J1321" s="24" t="s">
        <v>60</v>
      </c>
      <c r="K1321" s="24" t="s">
        <v>3289</v>
      </c>
      <c r="L1321" s="24" t="s">
        <v>28</v>
      </c>
      <c r="M1321" s="19"/>
      <c r="N1321" s="19"/>
      <c r="O1321" s="19" t="s">
        <v>2588</v>
      </c>
      <c r="P1321" s="19" t="s">
        <v>2191</v>
      </c>
      <c r="Q1321" s="12" t="s">
        <v>89</v>
      </c>
      <c r="R1321" s="24" t="s">
        <v>2334</v>
      </c>
      <c r="S1321" s="24" t="s">
        <v>65</v>
      </c>
      <c r="T1321" s="19" t="s">
        <v>2334</v>
      </c>
      <c r="U1321" s="19" t="s">
        <v>2334</v>
      </c>
      <c r="V1321" s="19" t="s">
        <v>2334</v>
      </c>
      <c r="W1321" s="19" t="s">
        <v>67</v>
      </c>
      <c r="X1321" s="32">
        <v>46232</v>
      </c>
      <c r="Y1321" s="19"/>
      <c r="Z1321" s="19"/>
    </row>
    <row r="1322" spans="1:26">
      <c r="A1322" s="19" t="s">
        <v>2174</v>
      </c>
      <c r="B1322" s="33">
        <v>46232</v>
      </c>
      <c r="C1322" s="19"/>
      <c r="D1322" s="19" t="s">
        <v>59</v>
      </c>
      <c r="E1322" s="19" t="s">
        <v>3291</v>
      </c>
      <c r="F1322" s="19" t="s">
        <v>3292</v>
      </c>
      <c r="G1322" s="19" t="s">
        <v>51</v>
      </c>
      <c r="H1322" s="19">
        <v>82213248484</v>
      </c>
      <c r="I1322" s="24" t="s">
        <v>3293</v>
      </c>
      <c r="J1322" s="24" t="s">
        <v>3294</v>
      </c>
      <c r="K1322" s="125" t="s">
        <v>3295</v>
      </c>
      <c r="L1322" s="24" t="s">
        <v>3296</v>
      </c>
      <c r="M1322" s="19"/>
      <c r="N1322" s="19"/>
      <c r="O1322" s="19" t="s">
        <v>2588</v>
      </c>
      <c r="P1322" s="19" t="s">
        <v>2578</v>
      </c>
      <c r="Q1322" s="12" t="s">
        <v>89</v>
      </c>
      <c r="R1322" s="24" t="s">
        <v>2334</v>
      </c>
      <c r="S1322" s="24" t="s">
        <v>65</v>
      </c>
      <c r="T1322" s="19" t="s">
        <v>2334</v>
      </c>
      <c r="U1322" s="19" t="s">
        <v>2334</v>
      </c>
      <c r="V1322" s="19" t="s">
        <v>2334</v>
      </c>
      <c r="W1322" s="19" t="s">
        <v>67</v>
      </c>
      <c r="X1322" s="32">
        <v>46233</v>
      </c>
      <c r="Y1322" s="19"/>
      <c r="Z1322" s="19"/>
    </row>
    <row r="1323" spans="1:26">
      <c r="A1323" s="19" t="s">
        <v>2174</v>
      </c>
      <c r="B1323" s="33">
        <v>46232</v>
      </c>
      <c r="C1323" s="19"/>
      <c r="D1323" s="19" t="s">
        <v>48</v>
      </c>
      <c r="E1323" s="19" t="s">
        <v>140</v>
      </c>
      <c r="F1323" s="19" t="s">
        <v>910</v>
      </c>
      <c r="G1323" s="19" t="s">
        <v>98</v>
      </c>
      <c r="H1323" s="40" t="s">
        <v>2219</v>
      </c>
      <c r="I1323" s="125" t="s">
        <v>3297</v>
      </c>
      <c r="J1323" s="24" t="s">
        <v>3298</v>
      </c>
      <c r="K1323" s="24" t="s">
        <v>3299</v>
      </c>
      <c r="L1323" s="24" t="s">
        <v>3300</v>
      </c>
      <c r="M1323" s="19"/>
      <c r="N1323" s="19"/>
      <c r="O1323" s="19" t="s">
        <v>2588</v>
      </c>
      <c r="P1323" s="19" t="s">
        <v>2224</v>
      </c>
      <c r="Q1323" s="12" t="s">
        <v>1441</v>
      </c>
      <c r="R1323" s="24" t="s">
        <v>2334</v>
      </c>
      <c r="S1323" s="24" t="s">
        <v>65</v>
      </c>
      <c r="T1323" s="19" t="s">
        <v>2334</v>
      </c>
      <c r="U1323" s="19" t="s">
        <v>2334</v>
      </c>
      <c r="V1323" s="19" t="s">
        <v>2334</v>
      </c>
      <c r="W1323" s="19" t="s">
        <v>67</v>
      </c>
      <c r="X1323" s="33">
        <v>46240</v>
      </c>
      <c r="Y1323" s="19"/>
      <c r="Z1323" s="19"/>
    </row>
    <row r="1324" spans="1:26">
      <c r="A1324" s="19" t="s">
        <v>2174</v>
      </c>
      <c r="B1324" s="33">
        <v>46232</v>
      </c>
      <c r="C1324" s="19"/>
      <c r="D1324" s="19" t="s">
        <v>48</v>
      </c>
      <c r="E1324" s="19" t="s">
        <v>609</v>
      </c>
      <c r="F1324" s="19" t="s">
        <v>2292</v>
      </c>
      <c r="G1324" s="19" t="s">
        <v>2293</v>
      </c>
      <c r="H1324" s="40" t="s">
        <v>2082</v>
      </c>
      <c r="I1324" s="24" t="s">
        <v>3301</v>
      </c>
      <c r="J1324" s="24" t="s">
        <v>330</v>
      </c>
      <c r="K1324" s="24" t="s">
        <v>150</v>
      </c>
      <c r="L1324" s="24" t="s">
        <v>246</v>
      </c>
      <c r="M1324" s="19"/>
      <c r="N1324" s="19"/>
      <c r="O1324" s="19" t="s">
        <v>2588</v>
      </c>
      <c r="P1324" s="19" t="s">
        <v>3302</v>
      </c>
      <c r="Q1324" s="12" t="s">
        <v>1441</v>
      </c>
      <c r="R1324" s="24" t="s">
        <v>2334</v>
      </c>
      <c r="S1324" s="24" t="s">
        <v>65</v>
      </c>
      <c r="T1324" s="19" t="s">
        <v>2334</v>
      </c>
      <c r="U1324" s="19" t="s">
        <v>2334</v>
      </c>
      <c r="V1324" s="19" t="s">
        <v>2334</v>
      </c>
      <c r="W1324" s="19" t="s">
        <v>67</v>
      </c>
      <c r="X1324" s="33">
        <v>46240</v>
      </c>
      <c r="Y1324" s="19"/>
      <c r="Z1324" s="19"/>
    </row>
    <row r="1325" spans="1:26">
      <c r="A1325" s="19" t="s">
        <v>2174</v>
      </c>
      <c r="B1325" s="197">
        <v>46232</v>
      </c>
      <c r="C1325" s="19"/>
      <c r="D1325" s="184" t="s">
        <v>48</v>
      </c>
      <c r="E1325" s="184" t="s">
        <v>71</v>
      </c>
      <c r="F1325" s="184" t="s">
        <v>2310</v>
      </c>
      <c r="G1325" s="184" t="s">
        <v>173</v>
      </c>
      <c r="H1325" s="192" t="s">
        <v>2227</v>
      </c>
      <c r="I1325" s="191" t="s">
        <v>2439</v>
      </c>
      <c r="J1325" s="191" t="s">
        <v>3209</v>
      </c>
      <c r="K1325" s="24" t="s">
        <v>3303</v>
      </c>
      <c r="L1325" s="24" t="s">
        <v>330</v>
      </c>
      <c r="M1325" s="19"/>
      <c r="N1325" s="19"/>
      <c r="O1325" s="19" t="s">
        <v>2588</v>
      </c>
      <c r="P1325" s="19" t="s">
        <v>3304</v>
      </c>
      <c r="Q1325" s="12" t="s">
        <v>1441</v>
      </c>
      <c r="R1325" s="24" t="s">
        <v>2334</v>
      </c>
      <c r="S1325" s="24" t="s">
        <v>65</v>
      </c>
      <c r="T1325" s="19" t="s">
        <v>2334</v>
      </c>
      <c r="U1325" s="19" t="s">
        <v>2334</v>
      </c>
      <c r="V1325" s="19" t="s">
        <v>2334</v>
      </c>
      <c r="W1325" s="19" t="s">
        <v>67</v>
      </c>
      <c r="X1325" s="33">
        <v>46241</v>
      </c>
      <c r="Y1325" s="12" t="s">
        <v>3305</v>
      </c>
      <c r="Z1325" s="43" t="s">
        <v>3306</v>
      </c>
    </row>
    <row r="1326" spans="1:26">
      <c r="A1326" s="19" t="s">
        <v>2174</v>
      </c>
      <c r="B1326" s="186"/>
      <c r="C1326" s="19"/>
      <c r="D1326" s="186"/>
      <c r="E1326" s="186"/>
      <c r="F1326" s="186"/>
      <c r="G1326" s="186"/>
      <c r="H1326" s="186"/>
      <c r="I1326" s="186"/>
      <c r="J1326" s="186"/>
      <c r="K1326" s="24" t="s">
        <v>3307</v>
      </c>
      <c r="L1326" s="24" t="s">
        <v>388</v>
      </c>
      <c r="M1326" s="19"/>
      <c r="N1326" s="19"/>
      <c r="O1326" s="19" t="s">
        <v>2588</v>
      </c>
      <c r="P1326" s="19" t="s">
        <v>3308</v>
      </c>
      <c r="Q1326" s="12" t="s">
        <v>1441</v>
      </c>
      <c r="R1326" s="24" t="s">
        <v>2334</v>
      </c>
      <c r="S1326" s="24" t="s">
        <v>65</v>
      </c>
      <c r="T1326" s="19" t="s">
        <v>2334</v>
      </c>
      <c r="U1326" s="19" t="s">
        <v>2334</v>
      </c>
      <c r="V1326" s="19" t="s">
        <v>2591</v>
      </c>
      <c r="W1326" s="19" t="s">
        <v>67</v>
      </c>
      <c r="X1326" s="33">
        <v>46241</v>
      </c>
      <c r="Y1326" s="12" t="s">
        <v>3309</v>
      </c>
      <c r="Z1326" s="43" t="s">
        <v>3310</v>
      </c>
    </row>
    <row r="1327" spans="1:26">
      <c r="A1327" s="19" t="s">
        <v>2174</v>
      </c>
      <c r="B1327" s="33">
        <v>46232</v>
      </c>
      <c r="C1327" s="40" t="s">
        <v>3311</v>
      </c>
      <c r="D1327" s="19" t="s">
        <v>59</v>
      </c>
      <c r="E1327" s="19" t="s">
        <v>497</v>
      </c>
      <c r="F1327" s="19" t="s">
        <v>3312</v>
      </c>
      <c r="G1327" s="19" t="s">
        <v>173</v>
      </c>
      <c r="H1327" s="40" t="s">
        <v>717</v>
      </c>
      <c r="I1327" s="24" t="s">
        <v>1183</v>
      </c>
      <c r="J1327" s="24" t="s">
        <v>116</v>
      </c>
      <c r="K1327" s="24" t="s">
        <v>1184</v>
      </c>
      <c r="L1327" s="24" t="s">
        <v>246</v>
      </c>
      <c r="M1327" s="19"/>
      <c r="N1327" s="19"/>
      <c r="O1327" s="19" t="s">
        <v>2588</v>
      </c>
      <c r="P1327" s="19" t="s">
        <v>718</v>
      </c>
      <c r="Q1327" s="12" t="s">
        <v>1441</v>
      </c>
      <c r="R1327" s="24" t="s">
        <v>2334</v>
      </c>
      <c r="S1327" s="24" t="s">
        <v>65</v>
      </c>
      <c r="T1327" s="19" t="s">
        <v>2334</v>
      </c>
      <c r="U1327" s="19" t="s">
        <v>2334</v>
      </c>
      <c r="V1327" s="19" t="s">
        <v>2334</v>
      </c>
      <c r="W1327" s="19" t="s">
        <v>67</v>
      </c>
      <c r="X1327" s="32">
        <v>46233</v>
      </c>
      <c r="Y1327" s="19"/>
      <c r="Z1327" s="19"/>
    </row>
    <row r="1328" spans="1:26">
      <c r="A1328" s="19" t="s">
        <v>2174</v>
      </c>
      <c r="B1328" s="33">
        <v>46232</v>
      </c>
      <c r="C1328" s="19"/>
      <c r="D1328" s="19" t="s">
        <v>59</v>
      </c>
      <c r="E1328" s="19" t="s">
        <v>723</v>
      </c>
      <c r="F1328" s="19" t="s">
        <v>3313</v>
      </c>
      <c r="G1328" s="19" t="s">
        <v>98</v>
      </c>
      <c r="H1328" s="40" t="s">
        <v>306</v>
      </c>
      <c r="I1328" s="24" t="s">
        <v>3314</v>
      </c>
      <c r="J1328" s="24" t="s">
        <v>246</v>
      </c>
      <c r="K1328" s="24" t="s">
        <v>3315</v>
      </c>
      <c r="L1328" s="24" t="s">
        <v>60</v>
      </c>
      <c r="M1328" s="19"/>
      <c r="N1328" s="19"/>
      <c r="O1328" s="19" t="s">
        <v>2588</v>
      </c>
      <c r="P1328" s="19" t="s">
        <v>307</v>
      </c>
      <c r="Q1328" s="12" t="s">
        <v>1441</v>
      </c>
      <c r="R1328" s="24" t="s">
        <v>2334</v>
      </c>
      <c r="S1328" s="24" t="s">
        <v>65</v>
      </c>
      <c r="T1328" s="19" t="s">
        <v>2334</v>
      </c>
      <c r="U1328" s="19" t="s">
        <v>2334</v>
      </c>
      <c r="V1328" s="19" t="s">
        <v>2334</v>
      </c>
      <c r="W1328" s="19" t="s">
        <v>67</v>
      </c>
      <c r="X1328" s="33">
        <v>46238</v>
      </c>
      <c r="Y1328" s="19"/>
      <c r="Z1328" s="19"/>
    </row>
    <row r="1329" spans="1:26">
      <c r="A1329" s="19" t="s">
        <v>2174</v>
      </c>
      <c r="B1329" s="197">
        <v>46232</v>
      </c>
      <c r="C1329" s="19"/>
      <c r="D1329" s="184" t="s">
        <v>59</v>
      </c>
      <c r="E1329" s="184" t="s">
        <v>96</v>
      </c>
      <c r="F1329" s="184" t="s">
        <v>3128</v>
      </c>
      <c r="G1329" s="184" t="s">
        <v>51</v>
      </c>
      <c r="H1329" s="192" t="s">
        <v>2186</v>
      </c>
      <c r="I1329" s="193" t="s">
        <v>100</v>
      </c>
      <c r="J1329" s="181" t="s">
        <v>102</v>
      </c>
      <c r="K1329" s="24" t="s">
        <v>3316</v>
      </c>
      <c r="L1329" s="24" t="s">
        <v>945</v>
      </c>
      <c r="M1329" s="19"/>
      <c r="N1329" s="19"/>
      <c r="O1329" s="19" t="s">
        <v>2588</v>
      </c>
      <c r="P1329" s="19" t="s">
        <v>218</v>
      </c>
      <c r="Q1329" s="12" t="s">
        <v>1441</v>
      </c>
      <c r="R1329" s="24" t="s">
        <v>2334</v>
      </c>
      <c r="S1329" s="24" t="s">
        <v>65</v>
      </c>
      <c r="T1329" s="19" t="s">
        <v>2334</v>
      </c>
      <c r="U1329" s="19" t="s">
        <v>2334</v>
      </c>
      <c r="V1329" s="19" t="s">
        <v>2334</v>
      </c>
      <c r="W1329" s="19" t="s">
        <v>67</v>
      </c>
      <c r="X1329" s="32">
        <v>46234</v>
      </c>
      <c r="Y1329" s="19"/>
      <c r="Z1329" s="19"/>
    </row>
    <row r="1330" spans="1:26">
      <c r="A1330" s="19" t="s">
        <v>2174</v>
      </c>
      <c r="B1330" s="186"/>
      <c r="C1330" s="20"/>
      <c r="D1330" s="186"/>
      <c r="E1330" s="186"/>
      <c r="F1330" s="186"/>
      <c r="G1330" s="186"/>
      <c r="H1330" s="186"/>
      <c r="I1330" s="186"/>
      <c r="J1330" s="183"/>
      <c r="K1330" s="24" t="s">
        <v>2953</v>
      </c>
      <c r="L1330" s="24" t="s">
        <v>170</v>
      </c>
      <c r="M1330" s="19"/>
      <c r="N1330" s="28"/>
      <c r="O1330" s="19" t="s">
        <v>2588</v>
      </c>
      <c r="P1330" s="19" t="s">
        <v>218</v>
      </c>
      <c r="Q1330" s="12" t="s">
        <v>1441</v>
      </c>
      <c r="R1330" s="24" t="s">
        <v>2334</v>
      </c>
      <c r="S1330" s="24" t="s">
        <v>65</v>
      </c>
      <c r="T1330" s="28" t="s">
        <v>2334</v>
      </c>
      <c r="U1330" s="28" t="s">
        <v>2334</v>
      </c>
      <c r="V1330" s="28" t="s">
        <v>2334</v>
      </c>
      <c r="W1330" s="19" t="s">
        <v>67</v>
      </c>
      <c r="X1330" s="32">
        <v>46234</v>
      </c>
      <c r="Y1330" s="19"/>
      <c r="Z1330" s="24"/>
    </row>
    <row r="1331" spans="1:26">
      <c r="A1331" s="19" t="s">
        <v>2174</v>
      </c>
      <c r="B1331" s="33">
        <v>46232</v>
      </c>
      <c r="C1331" s="20"/>
      <c r="D1331" s="19" t="s">
        <v>59</v>
      </c>
      <c r="E1331" s="19" t="s">
        <v>284</v>
      </c>
      <c r="F1331" s="19" t="s">
        <v>1821</v>
      </c>
      <c r="G1331" s="19" t="s">
        <v>98</v>
      </c>
      <c r="H1331" s="40" t="s">
        <v>3259</v>
      </c>
      <c r="I1331" s="24" t="s">
        <v>3317</v>
      </c>
      <c r="J1331" s="24" t="s">
        <v>3225</v>
      </c>
      <c r="K1331" s="24" t="s">
        <v>3223</v>
      </c>
      <c r="L1331" s="24" t="s">
        <v>110</v>
      </c>
      <c r="M1331" s="19"/>
      <c r="N1331" s="28"/>
      <c r="O1331" s="19" t="s">
        <v>2588</v>
      </c>
      <c r="P1331" s="19" t="s">
        <v>593</v>
      </c>
      <c r="Q1331" s="12" t="s">
        <v>1441</v>
      </c>
      <c r="R1331" s="24" t="s">
        <v>2334</v>
      </c>
      <c r="S1331" s="24" t="s">
        <v>65</v>
      </c>
      <c r="T1331" s="28" t="s">
        <v>2334</v>
      </c>
      <c r="U1331" s="28" t="s">
        <v>2334</v>
      </c>
      <c r="V1331" s="28" t="s">
        <v>2334</v>
      </c>
      <c r="W1331" s="19" t="s">
        <v>67</v>
      </c>
      <c r="X1331" s="33">
        <v>46238</v>
      </c>
      <c r="Y1331" s="19"/>
      <c r="Z1331" s="24"/>
    </row>
    <row r="1332" spans="1:26">
      <c r="A1332" s="19" t="s">
        <v>2174</v>
      </c>
      <c r="B1332" s="33">
        <v>46232</v>
      </c>
      <c r="C1332" s="20"/>
      <c r="D1332" s="19" t="s">
        <v>59</v>
      </c>
      <c r="E1332" s="19" t="s">
        <v>96</v>
      </c>
      <c r="F1332" s="19" t="s">
        <v>2676</v>
      </c>
      <c r="G1332" s="19" t="s">
        <v>51</v>
      </c>
      <c r="H1332" s="40" t="s">
        <v>3190</v>
      </c>
      <c r="I1332" s="28" t="s">
        <v>100</v>
      </c>
      <c r="J1332" s="55" t="s">
        <v>102</v>
      </c>
      <c r="K1332" s="24" t="s">
        <v>3318</v>
      </c>
      <c r="L1332" s="24" t="s">
        <v>3319</v>
      </c>
      <c r="M1332" s="19"/>
      <c r="N1332" s="28"/>
      <c r="O1332" s="19" t="s">
        <v>2588</v>
      </c>
      <c r="P1332" s="19" t="s">
        <v>2545</v>
      </c>
      <c r="Q1332" s="12" t="s">
        <v>89</v>
      </c>
      <c r="R1332" s="24" t="s">
        <v>2334</v>
      </c>
      <c r="S1332" s="24" t="s">
        <v>65</v>
      </c>
      <c r="T1332" s="28" t="s">
        <v>2334</v>
      </c>
      <c r="U1332" s="28" t="s">
        <v>2334</v>
      </c>
      <c r="V1332" s="28" t="s">
        <v>2334</v>
      </c>
      <c r="W1332" s="19" t="s">
        <v>67</v>
      </c>
      <c r="X1332" s="33">
        <v>46238</v>
      </c>
      <c r="Y1332" s="19"/>
      <c r="Z1332" s="24"/>
    </row>
    <row r="1333" spans="1:26">
      <c r="A1333" s="19" t="s">
        <v>2174</v>
      </c>
      <c r="B1333" s="33">
        <v>46232</v>
      </c>
      <c r="C1333" s="20"/>
      <c r="D1333" s="19" t="s">
        <v>59</v>
      </c>
      <c r="E1333" s="19" t="s">
        <v>2531</v>
      </c>
      <c r="F1333" s="19" t="s">
        <v>2252</v>
      </c>
      <c r="G1333" s="19" t="s">
        <v>51</v>
      </c>
      <c r="H1333" s="40" t="s">
        <v>3320</v>
      </c>
      <c r="I1333" s="24" t="s">
        <v>3321</v>
      </c>
      <c r="J1333" s="24" t="s">
        <v>3322</v>
      </c>
      <c r="K1333" s="24" t="s">
        <v>3323</v>
      </c>
      <c r="L1333" s="24" t="s">
        <v>3324</v>
      </c>
      <c r="M1333" s="19"/>
      <c r="N1333" s="28"/>
      <c r="O1333" s="19" t="s">
        <v>2588</v>
      </c>
      <c r="P1333" s="19" t="s">
        <v>462</v>
      </c>
      <c r="Q1333" s="12" t="s">
        <v>1441</v>
      </c>
      <c r="R1333" s="24" t="s">
        <v>2334</v>
      </c>
      <c r="S1333" s="24" t="s">
        <v>65</v>
      </c>
      <c r="T1333" s="28" t="s">
        <v>2334</v>
      </c>
      <c r="U1333" s="28" t="s">
        <v>2334</v>
      </c>
      <c r="V1333" s="28" t="s">
        <v>2591</v>
      </c>
      <c r="W1333" s="19" t="s">
        <v>67</v>
      </c>
      <c r="X1333" s="33">
        <v>46241</v>
      </c>
      <c r="Y1333" s="19"/>
      <c r="Z1333" s="24"/>
    </row>
    <row r="1334" spans="1:26">
      <c r="A1334" s="19" t="s">
        <v>2174</v>
      </c>
      <c r="B1334" s="81">
        <v>46232</v>
      </c>
      <c r="C1334" s="115"/>
      <c r="D1334" s="49" t="s">
        <v>59</v>
      </c>
      <c r="E1334" s="49" t="s">
        <v>2395</v>
      </c>
      <c r="F1334" s="49" t="s">
        <v>1822</v>
      </c>
      <c r="G1334" s="49" t="s">
        <v>2670</v>
      </c>
      <c r="H1334" s="82" t="s">
        <v>3325</v>
      </c>
      <c r="I1334" s="83" t="s">
        <v>3326</v>
      </c>
      <c r="J1334" s="83" t="s">
        <v>28</v>
      </c>
      <c r="K1334" s="83" t="s">
        <v>3033</v>
      </c>
      <c r="L1334" s="83" t="s">
        <v>3327</v>
      </c>
      <c r="M1334" s="49"/>
      <c r="N1334" s="75"/>
      <c r="O1334" s="49" t="s">
        <v>2588</v>
      </c>
      <c r="P1334" s="49" t="s">
        <v>3031</v>
      </c>
      <c r="Q1334" s="84" t="s">
        <v>1441</v>
      </c>
      <c r="R1334" s="83" t="s">
        <v>2334</v>
      </c>
      <c r="S1334" s="83" t="s">
        <v>65</v>
      </c>
      <c r="T1334" s="75" t="s">
        <v>2334</v>
      </c>
      <c r="U1334" s="75" t="s">
        <v>2334</v>
      </c>
      <c r="V1334" s="75" t="s">
        <v>2334</v>
      </c>
      <c r="W1334" s="75" t="s">
        <v>2964</v>
      </c>
      <c r="X1334" s="81">
        <v>46233</v>
      </c>
      <c r="Y1334" s="84" t="s">
        <v>2400</v>
      </c>
      <c r="Z1334" s="83"/>
    </row>
    <row r="1335" spans="1:26">
      <c r="A1335" s="19" t="s">
        <v>2174</v>
      </c>
      <c r="B1335" s="81">
        <v>46232</v>
      </c>
      <c r="C1335" s="115"/>
      <c r="D1335" s="49" t="s">
        <v>59</v>
      </c>
      <c r="E1335" s="49" t="s">
        <v>3059</v>
      </c>
      <c r="F1335" s="49" t="s">
        <v>3328</v>
      </c>
      <c r="G1335" s="49" t="s">
        <v>127</v>
      </c>
      <c r="H1335" s="82" t="s">
        <v>3329</v>
      </c>
      <c r="I1335" s="83" t="s">
        <v>3330</v>
      </c>
      <c r="J1335" s="83" t="s">
        <v>3331</v>
      </c>
      <c r="K1335" s="83" t="s">
        <v>3332</v>
      </c>
      <c r="L1335" s="132" t="s">
        <v>3333</v>
      </c>
      <c r="M1335" s="49"/>
      <c r="N1335" s="75"/>
      <c r="O1335" s="49" t="s">
        <v>2588</v>
      </c>
      <c r="P1335" s="49" t="s">
        <v>3334</v>
      </c>
      <c r="Q1335" s="84" t="s">
        <v>89</v>
      </c>
      <c r="R1335" s="83" t="s">
        <v>2334</v>
      </c>
      <c r="S1335" s="83" t="s">
        <v>65</v>
      </c>
      <c r="T1335" s="75" t="s">
        <v>2334</v>
      </c>
      <c r="U1335" s="75" t="s">
        <v>2334</v>
      </c>
      <c r="V1335" s="75" t="s">
        <v>2334</v>
      </c>
      <c r="W1335" s="19" t="s">
        <v>67</v>
      </c>
      <c r="X1335" s="32">
        <v>46234</v>
      </c>
      <c r="Y1335" s="84" t="s">
        <v>3335</v>
      </c>
      <c r="Z1335" s="83"/>
    </row>
    <row r="1336" spans="1:26">
      <c r="A1336" s="19" t="s">
        <v>2174</v>
      </c>
      <c r="B1336" s="197">
        <v>46232</v>
      </c>
      <c r="C1336" s="20"/>
      <c r="D1336" s="184" t="s">
        <v>59</v>
      </c>
      <c r="E1336" s="184" t="s">
        <v>96</v>
      </c>
      <c r="F1336" s="184" t="s">
        <v>3336</v>
      </c>
      <c r="G1336" s="184" t="s">
        <v>98</v>
      </c>
      <c r="H1336" s="192" t="s">
        <v>238</v>
      </c>
      <c r="I1336" s="193" t="s">
        <v>100</v>
      </c>
      <c r="J1336" s="181" t="s">
        <v>102</v>
      </c>
      <c r="K1336" s="24" t="s">
        <v>3337</v>
      </c>
      <c r="L1336" s="24" t="s">
        <v>151</v>
      </c>
      <c r="M1336" s="19"/>
      <c r="N1336" s="28"/>
      <c r="O1336" s="19" t="s">
        <v>2588</v>
      </c>
      <c r="P1336" s="19" t="s">
        <v>241</v>
      </c>
      <c r="Q1336" s="12" t="s">
        <v>1441</v>
      </c>
      <c r="R1336" s="24" t="s">
        <v>2334</v>
      </c>
      <c r="S1336" s="24" t="s">
        <v>65</v>
      </c>
      <c r="T1336" s="28" t="s">
        <v>2334</v>
      </c>
      <c r="U1336" s="28" t="s">
        <v>2334</v>
      </c>
      <c r="V1336" s="28" t="s">
        <v>2334</v>
      </c>
      <c r="W1336" s="19" t="s">
        <v>67</v>
      </c>
      <c r="X1336" s="32">
        <v>46234</v>
      </c>
      <c r="Y1336" s="19"/>
      <c r="Z1336" s="24"/>
    </row>
    <row r="1337" spans="1:26">
      <c r="A1337" s="19" t="s">
        <v>2174</v>
      </c>
      <c r="B1337" s="185"/>
      <c r="C1337" s="20"/>
      <c r="D1337" s="185"/>
      <c r="E1337" s="185"/>
      <c r="F1337" s="185"/>
      <c r="G1337" s="185"/>
      <c r="H1337" s="185"/>
      <c r="I1337" s="185"/>
      <c r="J1337" s="182"/>
      <c r="K1337" s="24" t="s">
        <v>3338</v>
      </c>
      <c r="L1337" s="24" t="s">
        <v>249</v>
      </c>
      <c r="M1337" s="19"/>
      <c r="N1337" s="28"/>
      <c r="O1337" s="19" t="s">
        <v>2588</v>
      </c>
      <c r="P1337" s="19" t="s">
        <v>241</v>
      </c>
      <c r="Q1337" s="12" t="s">
        <v>1441</v>
      </c>
      <c r="R1337" s="24" t="s">
        <v>2334</v>
      </c>
      <c r="S1337" s="24" t="s">
        <v>65</v>
      </c>
      <c r="T1337" s="28" t="s">
        <v>2334</v>
      </c>
      <c r="U1337" s="28" t="s">
        <v>2334</v>
      </c>
      <c r="V1337" s="28" t="s">
        <v>2334</v>
      </c>
      <c r="W1337" s="19" t="s">
        <v>67</v>
      </c>
      <c r="X1337" s="32">
        <v>46234</v>
      </c>
      <c r="Y1337" s="19"/>
      <c r="Z1337" s="24"/>
    </row>
    <row r="1338" spans="1:26">
      <c r="A1338" s="19" t="s">
        <v>2174</v>
      </c>
      <c r="B1338" s="186"/>
      <c r="C1338" s="20"/>
      <c r="D1338" s="186"/>
      <c r="E1338" s="186"/>
      <c r="F1338" s="186"/>
      <c r="G1338" s="186"/>
      <c r="H1338" s="186"/>
      <c r="I1338" s="186"/>
      <c r="J1338" s="183"/>
      <c r="K1338" s="24" t="s">
        <v>3339</v>
      </c>
      <c r="L1338" s="24" t="s">
        <v>175</v>
      </c>
      <c r="M1338" s="19"/>
      <c r="N1338" s="28"/>
      <c r="O1338" s="19" t="s">
        <v>2588</v>
      </c>
      <c r="P1338" s="19" t="s">
        <v>241</v>
      </c>
      <c r="Q1338" s="12" t="s">
        <v>1441</v>
      </c>
      <c r="R1338" s="24" t="s">
        <v>2334</v>
      </c>
      <c r="S1338" s="24" t="s">
        <v>65</v>
      </c>
      <c r="T1338" s="28" t="s">
        <v>2334</v>
      </c>
      <c r="U1338" s="28" t="s">
        <v>2334</v>
      </c>
      <c r="V1338" s="28" t="s">
        <v>2334</v>
      </c>
      <c r="W1338" s="19" t="s">
        <v>67</v>
      </c>
      <c r="X1338" s="32">
        <v>46234</v>
      </c>
      <c r="Y1338" s="19"/>
      <c r="Z1338" s="24"/>
    </row>
    <row r="1339" spans="1:26">
      <c r="A1339" s="19" t="s">
        <v>2174</v>
      </c>
      <c r="B1339" s="33">
        <v>46233</v>
      </c>
      <c r="C1339" s="40" t="s">
        <v>3340</v>
      </c>
      <c r="D1339" s="19" t="s">
        <v>59</v>
      </c>
      <c r="E1339" s="19" t="s">
        <v>230</v>
      </c>
      <c r="F1339" s="19" t="s">
        <v>2832</v>
      </c>
      <c r="G1339" s="19" t="s">
        <v>127</v>
      </c>
      <c r="H1339" s="40" t="s">
        <v>221</v>
      </c>
      <c r="I1339" s="24" t="s">
        <v>3341</v>
      </c>
      <c r="J1339" s="24" t="s">
        <v>28</v>
      </c>
      <c r="K1339" s="24" t="s">
        <v>3342</v>
      </c>
      <c r="L1339" s="24" t="s">
        <v>135</v>
      </c>
      <c r="M1339" s="19"/>
      <c r="N1339" s="28"/>
      <c r="O1339" s="19" t="s">
        <v>2588</v>
      </c>
      <c r="P1339" s="19" t="s">
        <v>573</v>
      </c>
      <c r="Q1339" s="12" t="s">
        <v>1441</v>
      </c>
      <c r="R1339" s="24" t="s">
        <v>2334</v>
      </c>
      <c r="S1339" s="24" t="s">
        <v>65</v>
      </c>
      <c r="T1339" s="28" t="s">
        <v>2334</v>
      </c>
      <c r="U1339" s="28" t="s">
        <v>2334</v>
      </c>
      <c r="V1339" s="28" t="s">
        <v>2334</v>
      </c>
      <c r="W1339" s="19" t="s">
        <v>67</v>
      </c>
      <c r="X1339" s="32">
        <v>46234</v>
      </c>
      <c r="Y1339" s="19"/>
      <c r="Z1339" s="24"/>
    </row>
    <row r="1340" spans="1:26">
      <c r="A1340" s="19" t="s">
        <v>2174</v>
      </c>
      <c r="B1340" s="134">
        <v>46233</v>
      </c>
      <c r="C1340" s="135"/>
      <c r="D1340" s="136" t="s">
        <v>59</v>
      </c>
      <c r="E1340" s="136" t="s">
        <v>284</v>
      </c>
      <c r="F1340" s="136" t="s">
        <v>255</v>
      </c>
      <c r="G1340" s="136" t="s">
        <v>51</v>
      </c>
      <c r="H1340" s="137" t="s">
        <v>2190</v>
      </c>
      <c r="I1340" s="138" t="s">
        <v>3289</v>
      </c>
      <c r="J1340" s="138" t="s">
        <v>28</v>
      </c>
      <c r="K1340" s="138" t="s">
        <v>3343</v>
      </c>
      <c r="L1340" s="138" t="s">
        <v>110</v>
      </c>
      <c r="M1340" s="136"/>
      <c r="N1340" s="139"/>
      <c r="O1340" s="136" t="s">
        <v>2588</v>
      </c>
      <c r="P1340" s="136" t="s">
        <v>2191</v>
      </c>
      <c r="Q1340" s="140" t="s">
        <v>89</v>
      </c>
      <c r="R1340" s="138"/>
      <c r="S1340" s="138" t="s">
        <v>3344</v>
      </c>
      <c r="T1340" s="139"/>
      <c r="U1340" s="139"/>
      <c r="V1340" s="139"/>
      <c r="W1340" s="139"/>
      <c r="X1340" s="134"/>
      <c r="Y1340" s="136"/>
      <c r="Z1340" s="138"/>
    </row>
    <row r="1341" spans="1:26">
      <c r="A1341" s="19" t="s">
        <v>2174</v>
      </c>
      <c r="B1341" s="33">
        <v>46233</v>
      </c>
      <c r="C1341" s="20"/>
      <c r="D1341" s="19" t="s">
        <v>59</v>
      </c>
      <c r="E1341" s="19" t="s">
        <v>723</v>
      </c>
      <c r="F1341" s="19" t="s">
        <v>3312</v>
      </c>
      <c r="G1341" s="19" t="s">
        <v>2670</v>
      </c>
      <c r="H1341" s="40" t="s">
        <v>717</v>
      </c>
      <c r="I1341" s="24" t="s">
        <v>3198</v>
      </c>
      <c r="J1341" s="24" t="s">
        <v>246</v>
      </c>
      <c r="K1341" s="24" t="s">
        <v>3345</v>
      </c>
      <c r="L1341" s="24" t="s">
        <v>1111</v>
      </c>
      <c r="M1341" s="19"/>
      <c r="N1341" s="28"/>
      <c r="O1341" s="19" t="s">
        <v>2588</v>
      </c>
      <c r="P1341" s="19" t="s">
        <v>718</v>
      </c>
      <c r="Q1341" s="12" t="s">
        <v>1441</v>
      </c>
      <c r="R1341" s="24" t="s">
        <v>2334</v>
      </c>
      <c r="S1341" s="24" t="s">
        <v>65</v>
      </c>
      <c r="T1341" s="28" t="s">
        <v>2334</v>
      </c>
      <c r="U1341" s="28" t="s">
        <v>2334</v>
      </c>
      <c r="V1341" s="28" t="s">
        <v>2334</v>
      </c>
      <c r="W1341" s="19" t="s">
        <v>67</v>
      </c>
      <c r="X1341" s="33">
        <v>46238</v>
      </c>
      <c r="Y1341" s="24"/>
      <c r="Z1341" s="24"/>
    </row>
    <row r="1342" spans="1:26">
      <c r="A1342" s="19" t="s">
        <v>2174</v>
      </c>
      <c r="B1342" s="141">
        <v>46233</v>
      </c>
      <c r="C1342" s="142"/>
      <c r="D1342" s="49" t="s">
        <v>59</v>
      </c>
      <c r="E1342" s="143" t="s">
        <v>101</v>
      </c>
      <c r="F1342" s="143" t="s">
        <v>2175</v>
      </c>
      <c r="G1342" s="143" t="s">
        <v>98</v>
      </c>
      <c r="H1342" s="144" t="s">
        <v>194</v>
      </c>
      <c r="I1342" s="145" t="s">
        <v>3277</v>
      </c>
      <c r="J1342" s="145" t="s">
        <v>130</v>
      </c>
      <c r="K1342" s="145" t="s">
        <v>3346</v>
      </c>
      <c r="L1342" s="145" t="s">
        <v>104</v>
      </c>
      <c r="M1342" s="142"/>
      <c r="N1342" s="142"/>
      <c r="O1342" s="49" t="s">
        <v>2588</v>
      </c>
      <c r="P1342" s="143" t="s">
        <v>196</v>
      </c>
      <c r="Q1342" s="84" t="s">
        <v>1441</v>
      </c>
      <c r="R1342" s="83" t="s">
        <v>2334</v>
      </c>
      <c r="S1342" s="83" t="s">
        <v>65</v>
      </c>
      <c r="T1342" s="75" t="s">
        <v>2334</v>
      </c>
      <c r="U1342" s="75" t="s">
        <v>2334</v>
      </c>
      <c r="V1342" s="75" t="s">
        <v>2334</v>
      </c>
      <c r="W1342" s="19" t="s">
        <v>67</v>
      </c>
      <c r="X1342" s="32">
        <v>46235</v>
      </c>
      <c r="Y1342" s="146" t="s">
        <v>2184</v>
      </c>
      <c r="Z1342" s="142"/>
    </row>
    <row r="1343" spans="1:26">
      <c r="A1343" s="19" t="s">
        <v>2174</v>
      </c>
      <c r="B1343" s="147">
        <v>46233</v>
      </c>
      <c r="C1343" s="130"/>
      <c r="D1343" s="19" t="s">
        <v>59</v>
      </c>
      <c r="E1343" s="130" t="s">
        <v>200</v>
      </c>
      <c r="F1343" s="130" t="s">
        <v>2292</v>
      </c>
      <c r="G1343" s="130" t="s">
        <v>98</v>
      </c>
      <c r="H1343" s="131" t="s">
        <v>2082</v>
      </c>
      <c r="I1343" s="148" t="s">
        <v>3347</v>
      </c>
      <c r="J1343" s="148" t="s">
        <v>388</v>
      </c>
      <c r="K1343" s="149" t="s">
        <v>3348</v>
      </c>
      <c r="L1343" s="149" t="s">
        <v>2393</v>
      </c>
      <c r="M1343" s="133"/>
      <c r="N1343" s="95"/>
      <c r="O1343" s="19" t="s">
        <v>2588</v>
      </c>
      <c r="P1343" s="130" t="s">
        <v>2045</v>
      </c>
      <c r="Q1343" s="12" t="s">
        <v>1441</v>
      </c>
      <c r="R1343" s="24" t="s">
        <v>2334</v>
      </c>
      <c r="S1343" s="24" t="s">
        <v>65</v>
      </c>
      <c r="T1343" s="28" t="s">
        <v>2334</v>
      </c>
      <c r="U1343" s="28" t="s">
        <v>2334</v>
      </c>
      <c r="V1343" s="28" t="s">
        <v>2334</v>
      </c>
      <c r="W1343" s="19" t="s">
        <v>67</v>
      </c>
      <c r="X1343" s="33">
        <v>46238</v>
      </c>
      <c r="Y1343" s="150" t="s">
        <v>3349</v>
      </c>
      <c r="Z1343" s="133"/>
    </row>
    <row r="1344" spans="1:26">
      <c r="A1344" s="19" t="s">
        <v>2174</v>
      </c>
      <c r="B1344" s="147">
        <v>46233</v>
      </c>
      <c r="C1344" s="151" t="s">
        <v>3350</v>
      </c>
      <c r="D1344" s="130" t="s">
        <v>59</v>
      </c>
      <c r="E1344" s="130" t="s">
        <v>621</v>
      </c>
      <c r="F1344" s="130" t="s">
        <v>3351</v>
      </c>
      <c r="G1344" s="130" t="s">
        <v>51</v>
      </c>
      <c r="H1344" s="131" t="s">
        <v>3352</v>
      </c>
      <c r="I1344" s="148" t="s">
        <v>685</v>
      </c>
      <c r="J1344" s="148" t="s">
        <v>263</v>
      </c>
      <c r="K1344" s="148" t="s">
        <v>3353</v>
      </c>
      <c r="L1344" s="148" t="s">
        <v>246</v>
      </c>
      <c r="M1344" s="133">
        <v>592</v>
      </c>
      <c r="N1344" s="133">
        <v>2652</v>
      </c>
      <c r="O1344" s="19" t="s">
        <v>2588</v>
      </c>
      <c r="P1344" s="45" t="s">
        <v>3354</v>
      </c>
      <c r="Q1344" s="12" t="s">
        <v>1441</v>
      </c>
      <c r="R1344" s="24" t="s">
        <v>2334</v>
      </c>
      <c r="S1344" s="24" t="s">
        <v>65</v>
      </c>
      <c r="T1344" s="28" t="s">
        <v>2334</v>
      </c>
      <c r="U1344" s="28" t="s">
        <v>2334</v>
      </c>
      <c r="V1344" s="28" t="s">
        <v>2334</v>
      </c>
      <c r="W1344" s="19" t="s">
        <v>67</v>
      </c>
      <c r="X1344" s="32">
        <v>46237</v>
      </c>
      <c r="Y1344" s="148"/>
      <c r="Z1344" s="152" t="s">
        <v>3355</v>
      </c>
    </row>
    <row r="1345" spans="1:26">
      <c r="A1345" s="19" t="s">
        <v>2174</v>
      </c>
      <c r="B1345" s="141">
        <v>46233</v>
      </c>
      <c r="C1345" s="142"/>
      <c r="D1345" s="143" t="s">
        <v>59</v>
      </c>
      <c r="E1345" s="143" t="s">
        <v>2234</v>
      </c>
      <c r="F1345" s="143" t="s">
        <v>3356</v>
      </c>
      <c r="G1345" s="143" t="s">
        <v>2670</v>
      </c>
      <c r="H1345" s="144" t="s">
        <v>3357</v>
      </c>
      <c r="I1345" s="145" t="s">
        <v>3358</v>
      </c>
      <c r="J1345" s="145" t="s">
        <v>28</v>
      </c>
      <c r="K1345" s="145" t="s">
        <v>3359</v>
      </c>
      <c r="L1345" s="145" t="s">
        <v>28</v>
      </c>
      <c r="M1345" s="142"/>
      <c r="N1345" s="142"/>
      <c r="O1345" s="49" t="s">
        <v>2588</v>
      </c>
      <c r="P1345" s="143" t="s">
        <v>353</v>
      </c>
      <c r="Q1345" s="84" t="s">
        <v>1441</v>
      </c>
      <c r="R1345" s="83" t="s">
        <v>2334</v>
      </c>
      <c r="S1345" s="83" t="s">
        <v>65</v>
      </c>
      <c r="T1345" s="75" t="s">
        <v>2334</v>
      </c>
      <c r="U1345" s="75" t="s">
        <v>2334</v>
      </c>
      <c r="V1345" s="75" t="s">
        <v>2334</v>
      </c>
      <c r="W1345" s="142" t="s">
        <v>67</v>
      </c>
      <c r="X1345" s="153">
        <v>46233</v>
      </c>
      <c r="Y1345" s="142"/>
      <c r="Z1345" s="142"/>
    </row>
    <row r="1346" spans="1:26">
      <c r="A1346" s="19" t="s">
        <v>2174</v>
      </c>
      <c r="B1346" s="141">
        <v>46233</v>
      </c>
      <c r="C1346" s="142"/>
      <c r="D1346" s="143" t="s">
        <v>59</v>
      </c>
      <c r="E1346" s="143" t="s">
        <v>236</v>
      </c>
      <c r="F1346" s="143" t="s">
        <v>1822</v>
      </c>
      <c r="G1346" s="143" t="s">
        <v>98</v>
      </c>
      <c r="H1346" s="144" t="s">
        <v>3325</v>
      </c>
      <c r="I1346" s="154" t="s">
        <v>239</v>
      </c>
      <c r="J1346" s="155" t="s">
        <v>240</v>
      </c>
      <c r="K1346" s="145" t="s">
        <v>2476</v>
      </c>
      <c r="L1346" s="145" t="s">
        <v>175</v>
      </c>
      <c r="M1346" s="142"/>
      <c r="N1346" s="142"/>
      <c r="O1346" s="49" t="s">
        <v>2588</v>
      </c>
      <c r="P1346" s="143" t="s">
        <v>3031</v>
      </c>
      <c r="Q1346" s="84" t="s">
        <v>1441</v>
      </c>
      <c r="R1346" s="83" t="s">
        <v>2334</v>
      </c>
      <c r="S1346" s="83" t="s">
        <v>65</v>
      </c>
      <c r="T1346" s="75" t="s">
        <v>2334</v>
      </c>
      <c r="U1346" s="75" t="s">
        <v>2334</v>
      </c>
      <c r="V1346" s="75" t="s">
        <v>2334</v>
      </c>
      <c r="W1346" s="142" t="s">
        <v>67</v>
      </c>
      <c r="X1346" s="153">
        <v>46234</v>
      </c>
      <c r="Y1346" s="146" t="s">
        <v>3360</v>
      </c>
      <c r="Z1346" s="142"/>
    </row>
    <row r="1347" spans="1:26">
      <c r="A1347" s="19" t="s">
        <v>2174</v>
      </c>
      <c r="B1347" s="225">
        <v>46233</v>
      </c>
      <c r="C1347" s="131" t="s">
        <v>3361</v>
      </c>
      <c r="D1347" s="208" t="s">
        <v>59</v>
      </c>
      <c r="E1347" s="208" t="s">
        <v>49</v>
      </c>
      <c r="F1347" s="208" t="s">
        <v>126</v>
      </c>
      <c r="G1347" s="208" t="s">
        <v>51</v>
      </c>
      <c r="H1347" s="210" t="s">
        <v>128</v>
      </c>
      <c r="I1347" s="205" t="s">
        <v>53</v>
      </c>
      <c r="J1347" s="206" t="s">
        <v>55</v>
      </c>
      <c r="K1347" s="149" t="s">
        <v>3362</v>
      </c>
      <c r="L1347" s="148" t="s">
        <v>409</v>
      </c>
      <c r="M1347" s="133">
        <f>249+3+12</f>
        <v>264</v>
      </c>
      <c r="N1347" s="133">
        <f>1780.208+10.8+62.4</f>
        <v>1853.4080000000001</v>
      </c>
      <c r="O1347" s="19" t="s">
        <v>2588</v>
      </c>
      <c r="P1347" s="130" t="s">
        <v>132</v>
      </c>
      <c r="Q1347" s="12" t="s">
        <v>1441</v>
      </c>
      <c r="R1347" s="24" t="s">
        <v>2334</v>
      </c>
      <c r="S1347" s="24" t="s">
        <v>65</v>
      </c>
      <c r="T1347" s="28" t="s">
        <v>2334</v>
      </c>
      <c r="U1347" s="28" t="s">
        <v>2334</v>
      </c>
      <c r="V1347" s="28" t="s">
        <v>2334</v>
      </c>
      <c r="W1347" s="19" t="s">
        <v>67</v>
      </c>
      <c r="X1347" s="33">
        <v>46238</v>
      </c>
      <c r="Y1347" s="133"/>
      <c r="Z1347" s="133"/>
    </row>
    <row r="1348" spans="1:26">
      <c r="A1348" s="19" t="s">
        <v>2174</v>
      </c>
      <c r="B1348" s="186"/>
      <c r="C1348" s="131" t="s">
        <v>3363</v>
      </c>
      <c r="D1348" s="186"/>
      <c r="E1348" s="186"/>
      <c r="F1348" s="186"/>
      <c r="G1348" s="186"/>
      <c r="H1348" s="186"/>
      <c r="I1348" s="186"/>
      <c r="J1348" s="183"/>
      <c r="K1348" s="149" t="s">
        <v>3364</v>
      </c>
      <c r="L1348" s="148" t="s">
        <v>1013</v>
      </c>
      <c r="M1348" s="133">
        <f>327+21</f>
        <v>348</v>
      </c>
      <c r="N1348" s="133">
        <f>2443.344+132.872</f>
        <v>2576.2159999999999</v>
      </c>
      <c r="O1348" s="19" t="s">
        <v>2588</v>
      </c>
      <c r="P1348" s="130" t="s">
        <v>132</v>
      </c>
      <c r="Q1348" s="12" t="s">
        <v>1441</v>
      </c>
      <c r="R1348" s="24" t="s">
        <v>2334</v>
      </c>
      <c r="S1348" s="24" t="s">
        <v>65</v>
      </c>
      <c r="T1348" s="28" t="s">
        <v>2334</v>
      </c>
      <c r="U1348" s="28" t="s">
        <v>2334</v>
      </c>
      <c r="V1348" s="28" t="s">
        <v>2334</v>
      </c>
      <c r="W1348" s="19" t="s">
        <v>67</v>
      </c>
      <c r="X1348" s="33">
        <v>46238</v>
      </c>
      <c r="Y1348" s="133"/>
      <c r="Z1348" s="133"/>
    </row>
    <row r="1349" spans="1:26">
      <c r="A1349" s="19" t="s">
        <v>2174</v>
      </c>
      <c r="B1349" s="141">
        <v>46233</v>
      </c>
      <c r="C1349" s="144" t="s">
        <v>3365</v>
      </c>
      <c r="D1349" s="143" t="s">
        <v>59</v>
      </c>
      <c r="E1349" s="143" t="s">
        <v>230</v>
      </c>
      <c r="F1349" s="143" t="s">
        <v>219</v>
      </c>
      <c r="G1349" s="143" t="s">
        <v>127</v>
      </c>
      <c r="H1349" s="144" t="s">
        <v>221</v>
      </c>
      <c r="I1349" s="154" t="s">
        <v>2762</v>
      </c>
      <c r="J1349" s="156" t="s">
        <v>28</v>
      </c>
      <c r="K1349" s="157" t="s">
        <v>3366</v>
      </c>
      <c r="L1349" s="145" t="s">
        <v>60</v>
      </c>
      <c r="M1349" s="142"/>
      <c r="N1349" s="142"/>
      <c r="O1349" s="49" t="s">
        <v>2588</v>
      </c>
      <c r="P1349" s="143" t="s">
        <v>573</v>
      </c>
      <c r="Q1349" s="84" t="s">
        <v>1441</v>
      </c>
      <c r="R1349" s="83" t="s">
        <v>2334</v>
      </c>
      <c r="S1349" s="83" t="s">
        <v>65</v>
      </c>
      <c r="T1349" s="75" t="s">
        <v>2334</v>
      </c>
      <c r="U1349" s="75" t="s">
        <v>2334</v>
      </c>
      <c r="V1349" s="75" t="s">
        <v>2334</v>
      </c>
      <c r="W1349" s="142" t="s">
        <v>67</v>
      </c>
      <c r="X1349" s="153">
        <v>46234</v>
      </c>
      <c r="Y1349" s="142"/>
      <c r="Z1349" s="142"/>
    </row>
    <row r="1350" spans="1:26">
      <c r="A1350" s="19" t="s">
        <v>2174</v>
      </c>
      <c r="B1350" s="147">
        <v>46233</v>
      </c>
      <c r="C1350" s="130"/>
      <c r="D1350" s="130" t="s">
        <v>59</v>
      </c>
      <c r="E1350" s="130" t="s">
        <v>1140</v>
      </c>
      <c r="F1350" s="130" t="s">
        <v>2685</v>
      </c>
      <c r="G1350" s="130" t="s">
        <v>51</v>
      </c>
      <c r="H1350" s="131" t="s">
        <v>2501</v>
      </c>
      <c r="I1350" s="35" t="s">
        <v>2782</v>
      </c>
      <c r="J1350" s="72" t="s">
        <v>343</v>
      </c>
      <c r="K1350" s="149" t="s">
        <v>1123</v>
      </c>
      <c r="L1350" s="148" t="s">
        <v>1123</v>
      </c>
      <c r="M1350" s="133"/>
      <c r="N1350" s="133"/>
      <c r="O1350" s="19" t="s">
        <v>2588</v>
      </c>
      <c r="P1350" s="130" t="s">
        <v>2503</v>
      </c>
      <c r="Q1350" s="12" t="s">
        <v>1441</v>
      </c>
      <c r="R1350" s="24" t="s">
        <v>2334</v>
      </c>
      <c r="S1350" s="24" t="s">
        <v>65</v>
      </c>
      <c r="T1350" s="28" t="s">
        <v>2334</v>
      </c>
      <c r="U1350" s="28" t="s">
        <v>2334</v>
      </c>
      <c r="V1350" s="28" t="s">
        <v>2334</v>
      </c>
      <c r="W1350" s="19" t="s">
        <v>67</v>
      </c>
      <c r="X1350" s="33">
        <v>46241</v>
      </c>
      <c r="Y1350" s="133"/>
      <c r="Z1350" s="133"/>
    </row>
    <row r="1351" spans="1:26">
      <c r="A1351" s="19" t="s">
        <v>2174</v>
      </c>
      <c r="B1351" s="147">
        <v>46233</v>
      </c>
      <c r="C1351" s="130"/>
      <c r="D1351" s="130" t="s">
        <v>59</v>
      </c>
      <c r="E1351" s="130" t="s">
        <v>2531</v>
      </c>
      <c r="F1351" s="130" t="s">
        <v>2310</v>
      </c>
      <c r="G1351" s="130" t="s">
        <v>98</v>
      </c>
      <c r="H1351" s="131" t="s">
        <v>2227</v>
      </c>
      <c r="I1351" s="35" t="s">
        <v>3367</v>
      </c>
      <c r="J1351" s="72" t="s">
        <v>182</v>
      </c>
      <c r="K1351" s="149" t="s">
        <v>3368</v>
      </c>
      <c r="L1351" s="148" t="s">
        <v>330</v>
      </c>
      <c r="M1351" s="133"/>
      <c r="N1351" s="133"/>
      <c r="O1351" s="19" t="s">
        <v>2588</v>
      </c>
      <c r="P1351" s="130" t="s">
        <v>593</v>
      </c>
      <c r="Q1351" s="12" t="s">
        <v>1441</v>
      </c>
      <c r="R1351" s="24" t="s">
        <v>2334</v>
      </c>
      <c r="S1351" s="24" t="s">
        <v>65</v>
      </c>
      <c r="T1351" s="28" t="s">
        <v>2334</v>
      </c>
      <c r="U1351" s="28" t="s">
        <v>2334</v>
      </c>
      <c r="V1351" s="28" t="s">
        <v>2591</v>
      </c>
      <c r="W1351" s="19" t="s">
        <v>67</v>
      </c>
      <c r="X1351" s="33">
        <v>46241</v>
      </c>
      <c r="Y1351" s="133"/>
      <c r="Z1351" s="133"/>
    </row>
    <row r="1352" spans="1:26">
      <c r="A1352" s="19" t="s">
        <v>2174</v>
      </c>
      <c r="B1352" s="141">
        <v>46233</v>
      </c>
      <c r="C1352" s="142"/>
      <c r="D1352" s="143" t="s">
        <v>59</v>
      </c>
      <c r="E1352" s="143" t="s">
        <v>96</v>
      </c>
      <c r="F1352" s="158" t="s">
        <v>3369</v>
      </c>
      <c r="G1352" s="143" t="s">
        <v>51</v>
      </c>
      <c r="H1352" s="144" t="s">
        <v>3370</v>
      </c>
      <c r="I1352" s="154" t="s">
        <v>3371</v>
      </c>
      <c r="J1352" s="156" t="s">
        <v>3372</v>
      </c>
      <c r="K1352" s="157" t="s">
        <v>3373</v>
      </c>
      <c r="L1352" s="145" t="s">
        <v>833</v>
      </c>
      <c r="M1352" s="142"/>
      <c r="N1352" s="142"/>
      <c r="O1352" s="49" t="s">
        <v>2588</v>
      </c>
      <c r="P1352" s="143" t="s">
        <v>3290</v>
      </c>
      <c r="Q1352" s="84" t="s">
        <v>1441</v>
      </c>
      <c r="R1352" s="83" t="s">
        <v>2334</v>
      </c>
      <c r="S1352" s="83" t="s">
        <v>65</v>
      </c>
      <c r="T1352" s="75" t="s">
        <v>2334</v>
      </c>
      <c r="U1352" s="75" t="s">
        <v>2334</v>
      </c>
      <c r="V1352" s="75" t="s">
        <v>2334</v>
      </c>
      <c r="W1352" s="19" t="s">
        <v>67</v>
      </c>
      <c r="X1352" s="32">
        <v>46235</v>
      </c>
      <c r="Y1352" s="142"/>
      <c r="Z1352" s="142"/>
    </row>
    <row r="1353" spans="1:26">
      <c r="A1353" s="19" t="s">
        <v>2174</v>
      </c>
      <c r="B1353" s="227">
        <v>46233</v>
      </c>
      <c r="C1353" s="159"/>
      <c r="D1353" s="211" t="s">
        <v>59</v>
      </c>
      <c r="E1353" s="211" t="s">
        <v>96</v>
      </c>
      <c r="F1353" s="212" t="s">
        <v>3374</v>
      </c>
      <c r="G1353" s="211" t="s">
        <v>127</v>
      </c>
      <c r="H1353" s="203" t="s">
        <v>3375</v>
      </c>
      <c r="I1353" s="204" t="s">
        <v>100</v>
      </c>
      <c r="J1353" s="207" t="s">
        <v>102</v>
      </c>
      <c r="K1353" s="160" t="s">
        <v>3376</v>
      </c>
      <c r="L1353" s="161" t="s">
        <v>106</v>
      </c>
      <c r="M1353" s="162"/>
      <c r="N1353" s="162"/>
      <c r="O1353" s="136" t="s">
        <v>2588</v>
      </c>
      <c r="P1353" s="163" t="s">
        <v>3377</v>
      </c>
      <c r="Q1353" s="140" t="s">
        <v>89</v>
      </c>
      <c r="R1353" s="138"/>
      <c r="S1353" s="138" t="s">
        <v>3344</v>
      </c>
      <c r="T1353" s="139"/>
      <c r="U1353" s="139"/>
      <c r="V1353" s="139"/>
      <c r="W1353" s="162"/>
      <c r="X1353" s="159"/>
      <c r="Y1353" s="162"/>
      <c r="Z1353" s="162"/>
    </row>
    <row r="1354" spans="1:26">
      <c r="A1354" s="19" t="s">
        <v>2174</v>
      </c>
      <c r="B1354" s="186"/>
      <c r="C1354" s="159"/>
      <c r="D1354" s="186"/>
      <c r="E1354" s="186"/>
      <c r="F1354" s="186"/>
      <c r="G1354" s="186"/>
      <c r="H1354" s="186"/>
      <c r="I1354" s="186"/>
      <c r="J1354" s="183"/>
      <c r="K1354" s="160" t="s">
        <v>3378</v>
      </c>
      <c r="L1354" s="161" t="s">
        <v>629</v>
      </c>
      <c r="M1354" s="162"/>
      <c r="N1354" s="162"/>
      <c r="O1354" s="136" t="s">
        <v>2588</v>
      </c>
      <c r="P1354" s="163" t="s">
        <v>3377</v>
      </c>
      <c r="Q1354" s="140" t="s">
        <v>89</v>
      </c>
      <c r="R1354" s="138"/>
      <c r="S1354" s="138" t="s">
        <v>3344</v>
      </c>
      <c r="T1354" s="139"/>
      <c r="U1354" s="139"/>
      <c r="V1354" s="139"/>
      <c r="W1354" s="162"/>
      <c r="X1354" s="159"/>
      <c r="Y1354" s="162"/>
      <c r="Z1354" s="162"/>
    </row>
    <row r="1355" spans="1:26">
      <c r="A1355" s="19" t="s">
        <v>2174</v>
      </c>
      <c r="B1355" s="147">
        <v>46234</v>
      </c>
      <c r="C1355" s="130"/>
      <c r="D1355" s="130" t="s">
        <v>59</v>
      </c>
      <c r="E1355" s="130" t="s">
        <v>200</v>
      </c>
      <c r="F1355" s="45" t="s">
        <v>3379</v>
      </c>
      <c r="G1355" s="130" t="s">
        <v>186</v>
      </c>
      <c r="H1355" s="131" t="s">
        <v>3380</v>
      </c>
      <c r="I1355" s="35" t="s">
        <v>3381</v>
      </c>
      <c r="J1355" s="72" t="s">
        <v>3382</v>
      </c>
      <c r="K1355" s="149" t="s">
        <v>1191</v>
      </c>
      <c r="L1355" s="148" t="s">
        <v>130</v>
      </c>
      <c r="M1355" s="133"/>
      <c r="N1355" s="133"/>
      <c r="O1355" s="19" t="s">
        <v>2334</v>
      </c>
      <c r="P1355" s="45" t="s">
        <v>3383</v>
      </c>
      <c r="Q1355" s="12" t="s">
        <v>1441</v>
      </c>
      <c r="R1355" s="24" t="s">
        <v>2334</v>
      </c>
      <c r="S1355" s="24" t="s">
        <v>65</v>
      </c>
      <c r="T1355" s="28" t="s">
        <v>2334</v>
      </c>
      <c r="U1355" s="28" t="s">
        <v>2334</v>
      </c>
      <c r="V1355" s="28" t="s">
        <v>2334</v>
      </c>
      <c r="W1355" s="19" t="s">
        <v>67</v>
      </c>
      <c r="X1355" s="33">
        <v>46239</v>
      </c>
      <c r="Y1355" s="133"/>
      <c r="Z1355" s="133"/>
    </row>
    <row r="1356" spans="1:26">
      <c r="A1356" s="19" t="s">
        <v>2174</v>
      </c>
      <c r="B1356" s="147">
        <v>46234</v>
      </c>
      <c r="C1356" s="131" t="s">
        <v>3384</v>
      </c>
      <c r="D1356" s="130" t="s">
        <v>59</v>
      </c>
      <c r="E1356" s="130" t="s">
        <v>2242</v>
      </c>
      <c r="F1356" s="130" t="s">
        <v>3292</v>
      </c>
      <c r="G1356" s="130" t="s">
        <v>51</v>
      </c>
      <c r="H1356" s="131" t="s">
        <v>3385</v>
      </c>
      <c r="I1356" s="148" t="s">
        <v>1774</v>
      </c>
      <c r="J1356" s="148" t="s">
        <v>28</v>
      </c>
      <c r="K1356" s="149" t="s">
        <v>3386</v>
      </c>
      <c r="L1356" s="148" t="s">
        <v>110</v>
      </c>
      <c r="M1356" s="133"/>
      <c r="N1356" s="133"/>
      <c r="O1356" s="19" t="s">
        <v>2588</v>
      </c>
      <c r="P1356" s="45" t="s">
        <v>2578</v>
      </c>
      <c r="Q1356" s="12" t="s">
        <v>89</v>
      </c>
      <c r="R1356" s="24" t="s">
        <v>2334</v>
      </c>
      <c r="S1356" s="24" t="s">
        <v>65</v>
      </c>
      <c r="T1356" s="28" t="s">
        <v>2334</v>
      </c>
      <c r="U1356" s="28" t="s">
        <v>2334</v>
      </c>
      <c r="V1356" s="28" t="s">
        <v>2591</v>
      </c>
      <c r="W1356" s="19" t="s">
        <v>67</v>
      </c>
      <c r="X1356" s="33">
        <v>46241</v>
      </c>
      <c r="Y1356" s="133"/>
      <c r="Z1356" s="133"/>
    </row>
    <row r="1357" spans="1:26">
      <c r="A1357" s="19" t="s">
        <v>2174</v>
      </c>
      <c r="B1357" s="147">
        <v>46234</v>
      </c>
      <c r="C1357" s="133"/>
      <c r="D1357" s="130" t="s">
        <v>59</v>
      </c>
      <c r="E1357" s="130" t="s">
        <v>373</v>
      </c>
      <c r="F1357" s="130" t="s">
        <v>3387</v>
      </c>
      <c r="G1357" s="130" t="s">
        <v>98</v>
      </c>
      <c r="H1357" s="131" t="s">
        <v>238</v>
      </c>
      <c r="I1357" s="35" t="s">
        <v>374</v>
      </c>
      <c r="J1357" s="164" t="s">
        <v>375</v>
      </c>
      <c r="K1357" s="149" t="s">
        <v>2595</v>
      </c>
      <c r="L1357" s="148" t="s">
        <v>130</v>
      </c>
      <c r="M1357" s="133"/>
      <c r="N1357" s="95"/>
      <c r="O1357" s="19" t="s">
        <v>2588</v>
      </c>
      <c r="P1357" s="45" t="s">
        <v>241</v>
      </c>
      <c r="Q1357" s="12" t="s">
        <v>1441</v>
      </c>
      <c r="R1357" s="24" t="s">
        <v>2334</v>
      </c>
      <c r="S1357" s="24" t="s">
        <v>65</v>
      </c>
      <c r="T1357" s="28" t="s">
        <v>2334</v>
      </c>
      <c r="U1357" s="28" t="s">
        <v>2334</v>
      </c>
      <c r="V1357" s="28" t="s">
        <v>2334</v>
      </c>
      <c r="W1357" s="19" t="s">
        <v>67</v>
      </c>
      <c r="X1357" s="32">
        <v>46237</v>
      </c>
      <c r="Y1357" s="133"/>
      <c r="Z1357" s="133"/>
    </row>
    <row r="1358" spans="1:26">
      <c r="A1358" s="19" t="s">
        <v>2174</v>
      </c>
      <c r="B1358" s="165">
        <v>46234</v>
      </c>
      <c r="C1358" s="159"/>
      <c r="D1358" s="159" t="s">
        <v>59</v>
      </c>
      <c r="E1358" s="159" t="s">
        <v>1140</v>
      </c>
      <c r="F1358" s="159" t="s">
        <v>2366</v>
      </c>
      <c r="G1358" s="159" t="s">
        <v>127</v>
      </c>
      <c r="H1358" s="166" t="s">
        <v>3388</v>
      </c>
      <c r="I1358" s="161" t="s">
        <v>3389</v>
      </c>
      <c r="J1358" s="161" t="s">
        <v>28</v>
      </c>
      <c r="K1358" s="160" t="s">
        <v>2954</v>
      </c>
      <c r="L1358" s="161" t="s">
        <v>338</v>
      </c>
      <c r="M1358" s="162"/>
      <c r="N1358" s="162"/>
      <c r="O1358" s="136" t="s">
        <v>2588</v>
      </c>
      <c r="P1358" s="163" t="s">
        <v>3390</v>
      </c>
      <c r="Q1358" s="140" t="s">
        <v>89</v>
      </c>
      <c r="R1358" s="138"/>
      <c r="S1358" s="138" t="s">
        <v>3344</v>
      </c>
      <c r="T1358" s="139"/>
      <c r="U1358" s="139"/>
      <c r="V1358" s="139"/>
      <c r="W1358" s="162"/>
      <c r="X1358" s="159"/>
      <c r="Y1358" s="162"/>
      <c r="Z1358" s="162"/>
    </row>
    <row r="1359" spans="1:26">
      <c r="A1359" s="19" t="s">
        <v>2174</v>
      </c>
      <c r="B1359" s="147">
        <v>46234</v>
      </c>
      <c r="C1359" s="131" t="s">
        <v>3391</v>
      </c>
      <c r="D1359" s="130" t="s">
        <v>48</v>
      </c>
      <c r="E1359" s="130" t="s">
        <v>609</v>
      </c>
      <c r="F1359" s="130" t="s">
        <v>2016</v>
      </c>
      <c r="G1359" s="130" t="s">
        <v>127</v>
      </c>
      <c r="H1359" s="131" t="s">
        <v>3392</v>
      </c>
      <c r="I1359" s="148" t="s">
        <v>2279</v>
      </c>
      <c r="J1359" s="148" t="s">
        <v>330</v>
      </c>
      <c r="K1359" s="149" t="s">
        <v>3393</v>
      </c>
      <c r="L1359" s="148" t="s">
        <v>104</v>
      </c>
      <c r="M1359" s="133"/>
      <c r="N1359" s="133"/>
      <c r="O1359" s="19" t="s">
        <v>2588</v>
      </c>
      <c r="P1359" s="45" t="s">
        <v>290</v>
      </c>
      <c r="Q1359" s="12" t="s">
        <v>89</v>
      </c>
      <c r="R1359" s="24" t="s">
        <v>2334</v>
      </c>
      <c r="S1359" s="24" t="s">
        <v>65</v>
      </c>
      <c r="T1359" s="28" t="s">
        <v>2334</v>
      </c>
      <c r="U1359" s="28" t="s">
        <v>2334</v>
      </c>
      <c r="V1359" s="28" t="s">
        <v>2334</v>
      </c>
      <c r="W1359" s="19" t="s">
        <v>67</v>
      </c>
      <c r="X1359" s="33">
        <v>46238</v>
      </c>
      <c r="Y1359" s="133"/>
      <c r="Z1359" s="133"/>
    </row>
    <row r="1360" spans="1:26">
      <c r="A1360" s="19" t="s">
        <v>2174</v>
      </c>
      <c r="B1360" s="147">
        <v>46234</v>
      </c>
      <c r="C1360" s="130"/>
      <c r="D1360" s="130" t="s">
        <v>48</v>
      </c>
      <c r="E1360" s="130" t="s">
        <v>609</v>
      </c>
      <c r="F1360" s="130" t="s">
        <v>3394</v>
      </c>
      <c r="G1360" s="130" t="s">
        <v>98</v>
      </c>
      <c r="H1360" s="131" t="s">
        <v>3264</v>
      </c>
      <c r="I1360" s="148" t="s">
        <v>2279</v>
      </c>
      <c r="J1360" s="148" t="s">
        <v>330</v>
      </c>
      <c r="K1360" s="149" t="s">
        <v>164</v>
      </c>
      <c r="L1360" s="148" t="s">
        <v>104</v>
      </c>
      <c r="M1360" s="133"/>
      <c r="N1360" s="133"/>
      <c r="O1360" s="19" t="s">
        <v>2588</v>
      </c>
      <c r="P1360" s="45" t="s">
        <v>2940</v>
      </c>
      <c r="Q1360" s="12" t="s">
        <v>89</v>
      </c>
      <c r="R1360" s="24" t="s">
        <v>2334</v>
      </c>
      <c r="S1360" s="24" t="s">
        <v>65</v>
      </c>
      <c r="T1360" s="28" t="s">
        <v>2334</v>
      </c>
      <c r="U1360" s="28" t="s">
        <v>2334</v>
      </c>
      <c r="V1360" s="28" t="s">
        <v>2334</v>
      </c>
      <c r="W1360" s="19" t="s">
        <v>67</v>
      </c>
      <c r="X1360" s="33">
        <v>46238</v>
      </c>
      <c r="Y1360" s="133"/>
      <c r="Z1360" s="133"/>
    </row>
    <row r="1361" spans="1:26">
      <c r="A1361" s="19" t="s">
        <v>2174</v>
      </c>
      <c r="B1361" s="141">
        <v>46234</v>
      </c>
      <c r="C1361" s="142"/>
      <c r="D1361" s="143" t="s">
        <v>48</v>
      </c>
      <c r="E1361" s="143" t="s">
        <v>236</v>
      </c>
      <c r="F1361" s="143" t="s">
        <v>3395</v>
      </c>
      <c r="G1361" s="143" t="s">
        <v>51</v>
      </c>
      <c r="H1361" s="144" t="s">
        <v>3396</v>
      </c>
      <c r="I1361" s="167" t="s">
        <v>239</v>
      </c>
      <c r="J1361" s="155" t="s">
        <v>240</v>
      </c>
      <c r="K1361" s="157" t="s">
        <v>3397</v>
      </c>
      <c r="L1361" s="145" t="s">
        <v>170</v>
      </c>
      <c r="M1361" s="142"/>
      <c r="N1361" s="142"/>
      <c r="O1361" s="49" t="s">
        <v>2588</v>
      </c>
      <c r="P1361" s="158" t="s">
        <v>3398</v>
      </c>
      <c r="Q1361" s="84" t="s">
        <v>1441</v>
      </c>
      <c r="R1361" s="83" t="s">
        <v>2334</v>
      </c>
      <c r="S1361" s="83" t="s">
        <v>65</v>
      </c>
      <c r="T1361" s="75" t="s">
        <v>2334</v>
      </c>
      <c r="U1361" s="75" t="s">
        <v>2334</v>
      </c>
      <c r="V1361" s="75" t="s">
        <v>2334</v>
      </c>
      <c r="W1361" s="142" t="s">
        <v>67</v>
      </c>
      <c r="X1361" s="153">
        <v>46235</v>
      </c>
      <c r="Y1361" s="168" t="s">
        <v>2496</v>
      </c>
      <c r="Z1361" s="142"/>
    </row>
    <row r="1362" spans="1:26">
      <c r="A1362" s="19" t="s">
        <v>2174</v>
      </c>
      <c r="B1362" s="141">
        <v>46234</v>
      </c>
      <c r="C1362" s="142"/>
      <c r="D1362" s="143" t="s">
        <v>48</v>
      </c>
      <c r="E1362" s="143" t="s">
        <v>3399</v>
      </c>
      <c r="F1362" s="143" t="s">
        <v>3400</v>
      </c>
      <c r="G1362" s="143" t="s">
        <v>3401</v>
      </c>
      <c r="H1362" s="144" t="s">
        <v>2328</v>
      </c>
      <c r="I1362" s="145" t="s">
        <v>2331</v>
      </c>
      <c r="J1362" s="157" t="s">
        <v>3402</v>
      </c>
      <c r="K1362" s="157" t="s">
        <v>3403</v>
      </c>
      <c r="L1362" s="157" t="s">
        <v>3404</v>
      </c>
      <c r="M1362" s="142"/>
      <c r="N1362" s="142"/>
      <c r="O1362" s="49" t="s">
        <v>2334</v>
      </c>
      <c r="P1362" s="158" t="s">
        <v>3405</v>
      </c>
      <c r="Q1362" s="84" t="s">
        <v>89</v>
      </c>
      <c r="R1362" s="83" t="s">
        <v>2334</v>
      </c>
      <c r="S1362" s="83" t="s">
        <v>65</v>
      </c>
      <c r="T1362" s="75" t="s">
        <v>2334</v>
      </c>
      <c r="U1362" s="75" t="s">
        <v>2334</v>
      </c>
      <c r="V1362" s="75" t="s">
        <v>2334</v>
      </c>
      <c r="W1362" s="142" t="s">
        <v>67</v>
      </c>
      <c r="X1362" s="153">
        <v>46235</v>
      </c>
      <c r="Y1362" s="142"/>
      <c r="Z1362" s="142"/>
    </row>
    <row r="1363" spans="1:26">
      <c r="A1363" s="19" t="s">
        <v>2174</v>
      </c>
      <c r="B1363" s="165">
        <v>46234</v>
      </c>
      <c r="C1363" s="159"/>
      <c r="D1363" s="159" t="s">
        <v>48</v>
      </c>
      <c r="E1363" s="159" t="s">
        <v>609</v>
      </c>
      <c r="F1363" s="159" t="s">
        <v>2235</v>
      </c>
      <c r="G1363" s="159" t="s">
        <v>2293</v>
      </c>
      <c r="H1363" s="166" t="s">
        <v>262</v>
      </c>
      <c r="I1363" s="161" t="s">
        <v>2279</v>
      </c>
      <c r="J1363" s="161" t="s">
        <v>330</v>
      </c>
      <c r="K1363" s="160" t="s">
        <v>150</v>
      </c>
      <c r="L1363" s="160" t="s">
        <v>246</v>
      </c>
      <c r="M1363" s="162"/>
      <c r="N1363" s="162"/>
      <c r="O1363" s="136" t="s">
        <v>2588</v>
      </c>
      <c r="P1363" s="163" t="s">
        <v>3406</v>
      </c>
      <c r="Q1363" s="140" t="s">
        <v>89</v>
      </c>
      <c r="R1363" s="138"/>
      <c r="S1363" s="138" t="s">
        <v>3344</v>
      </c>
      <c r="T1363" s="139"/>
      <c r="U1363" s="139"/>
      <c r="V1363" s="139"/>
      <c r="W1363" s="162"/>
      <c r="X1363" s="159"/>
      <c r="Y1363" s="162"/>
      <c r="Z1363" s="162"/>
    </row>
    <row r="1364" spans="1:26">
      <c r="A1364" s="19" t="s">
        <v>2174</v>
      </c>
      <c r="B1364" s="141">
        <v>46234</v>
      </c>
      <c r="C1364" s="143"/>
      <c r="D1364" s="143" t="s">
        <v>59</v>
      </c>
      <c r="E1364" s="143" t="s">
        <v>3407</v>
      </c>
      <c r="F1364" s="143" t="s">
        <v>3408</v>
      </c>
      <c r="G1364" s="143" t="s">
        <v>98</v>
      </c>
      <c r="H1364" s="144" t="s">
        <v>75</v>
      </c>
      <c r="I1364" s="157" t="s">
        <v>3409</v>
      </c>
      <c r="J1364" s="157" t="s">
        <v>3410</v>
      </c>
      <c r="K1364" s="157" t="s">
        <v>263</v>
      </c>
      <c r="L1364" s="157" t="s">
        <v>3411</v>
      </c>
      <c r="M1364" s="142"/>
      <c r="N1364" s="142"/>
      <c r="O1364" s="49" t="s">
        <v>2588</v>
      </c>
      <c r="P1364" s="158" t="s">
        <v>83</v>
      </c>
      <c r="Q1364" s="84" t="s">
        <v>1441</v>
      </c>
      <c r="R1364" s="83" t="s">
        <v>2334</v>
      </c>
      <c r="S1364" s="83" t="s">
        <v>65</v>
      </c>
      <c r="T1364" s="75" t="s">
        <v>2334</v>
      </c>
      <c r="U1364" s="75" t="s">
        <v>2334</v>
      </c>
      <c r="V1364" s="75" t="s">
        <v>2334</v>
      </c>
      <c r="W1364" s="142" t="s">
        <v>67</v>
      </c>
      <c r="X1364" s="153">
        <v>46237</v>
      </c>
      <c r="Y1364" s="142"/>
      <c r="Z1364" s="142"/>
    </row>
    <row r="1365" spans="1:26">
      <c r="A1365" s="19" t="s">
        <v>2174</v>
      </c>
      <c r="B1365" s="147">
        <v>46234</v>
      </c>
      <c r="C1365" s="133"/>
      <c r="D1365" s="130" t="s">
        <v>59</v>
      </c>
      <c r="E1365" s="130" t="s">
        <v>2395</v>
      </c>
      <c r="F1365" s="45" t="s">
        <v>3412</v>
      </c>
      <c r="G1365" s="130" t="s">
        <v>51</v>
      </c>
      <c r="H1365" s="131" t="s">
        <v>3329</v>
      </c>
      <c r="I1365" s="149" t="s">
        <v>2963</v>
      </c>
      <c r="J1365" s="149" t="s">
        <v>28</v>
      </c>
      <c r="K1365" s="149" t="s">
        <v>3413</v>
      </c>
      <c r="L1365" s="149" t="s">
        <v>104</v>
      </c>
      <c r="M1365" s="133"/>
      <c r="N1365" s="133"/>
      <c r="O1365" s="19" t="s">
        <v>2588</v>
      </c>
      <c r="P1365" s="45" t="s">
        <v>3334</v>
      </c>
      <c r="Q1365" s="12" t="s">
        <v>1441</v>
      </c>
      <c r="R1365" s="24" t="s">
        <v>2334</v>
      </c>
      <c r="S1365" s="24" t="s">
        <v>65</v>
      </c>
      <c r="T1365" s="28" t="s">
        <v>2334</v>
      </c>
      <c r="U1365" s="28" t="s">
        <v>2334</v>
      </c>
      <c r="V1365" s="28" t="s">
        <v>2334</v>
      </c>
      <c r="W1365" s="19" t="s">
        <v>67</v>
      </c>
      <c r="X1365" s="32">
        <v>46237</v>
      </c>
      <c r="Y1365" s="169" t="s">
        <v>3414</v>
      </c>
      <c r="Z1365" s="133"/>
    </row>
    <row r="1366" spans="1:26">
      <c r="A1366" s="19" t="s">
        <v>2174</v>
      </c>
      <c r="B1366" s="147">
        <v>46234</v>
      </c>
      <c r="C1366" s="130"/>
      <c r="D1366" s="130" t="s">
        <v>59</v>
      </c>
      <c r="E1366" s="130" t="s">
        <v>200</v>
      </c>
      <c r="F1366" s="45" t="s">
        <v>2235</v>
      </c>
      <c r="G1366" s="130" t="s">
        <v>3415</v>
      </c>
      <c r="H1366" s="130" t="s">
        <v>3416</v>
      </c>
      <c r="I1366" s="149" t="s">
        <v>2312</v>
      </c>
      <c r="J1366" s="149" t="s">
        <v>580</v>
      </c>
      <c r="K1366" s="149" t="s">
        <v>3417</v>
      </c>
      <c r="L1366" s="149" t="s">
        <v>3418</v>
      </c>
      <c r="M1366" s="133"/>
      <c r="N1366" s="133"/>
      <c r="O1366" s="19" t="s">
        <v>2588</v>
      </c>
      <c r="P1366" s="45" t="s">
        <v>458</v>
      </c>
      <c r="Q1366" s="12" t="s">
        <v>1441</v>
      </c>
      <c r="R1366" s="24" t="s">
        <v>2334</v>
      </c>
      <c r="S1366" s="24" t="s">
        <v>65</v>
      </c>
      <c r="T1366" s="28" t="s">
        <v>2334</v>
      </c>
      <c r="U1366" s="28" t="s">
        <v>2334</v>
      </c>
      <c r="V1366" s="28" t="s">
        <v>2591</v>
      </c>
      <c r="W1366" s="19" t="s">
        <v>67</v>
      </c>
      <c r="X1366" s="33">
        <v>46241</v>
      </c>
      <c r="Y1366" s="133"/>
      <c r="Z1366" s="133"/>
    </row>
    <row r="1367" spans="1:26">
      <c r="A1367" s="19" t="s">
        <v>2174</v>
      </c>
      <c r="B1367" s="225">
        <v>46234</v>
      </c>
      <c r="C1367" s="130"/>
      <c r="D1367" s="208" t="s">
        <v>59</v>
      </c>
      <c r="E1367" s="208" t="s">
        <v>284</v>
      </c>
      <c r="F1367" s="209" t="s">
        <v>3419</v>
      </c>
      <c r="G1367" s="208" t="s">
        <v>3415</v>
      </c>
      <c r="H1367" s="210" t="s">
        <v>2227</v>
      </c>
      <c r="I1367" s="24" t="s">
        <v>2777</v>
      </c>
      <c r="J1367" s="24" t="s">
        <v>2778</v>
      </c>
      <c r="K1367" s="149" t="s">
        <v>3420</v>
      </c>
      <c r="L1367" s="149" t="s">
        <v>1884</v>
      </c>
      <c r="M1367" s="133"/>
      <c r="N1367" s="133"/>
      <c r="O1367" s="19" t="s">
        <v>2588</v>
      </c>
      <c r="P1367" s="45" t="s">
        <v>593</v>
      </c>
      <c r="Q1367" s="12" t="s">
        <v>1441</v>
      </c>
      <c r="R1367" s="24" t="s">
        <v>2334</v>
      </c>
      <c r="S1367" s="24" t="s">
        <v>65</v>
      </c>
      <c r="T1367" s="28" t="s">
        <v>2334</v>
      </c>
      <c r="U1367" s="28" t="s">
        <v>2334</v>
      </c>
      <c r="V1367" s="28" t="s">
        <v>2334</v>
      </c>
      <c r="W1367" s="19" t="s">
        <v>67</v>
      </c>
      <c r="X1367" s="33">
        <v>46241</v>
      </c>
      <c r="Y1367" s="133"/>
      <c r="Z1367" s="133"/>
    </row>
    <row r="1368" spans="1:26">
      <c r="A1368" s="19" t="s">
        <v>2174</v>
      </c>
      <c r="B1368" s="186"/>
      <c r="C1368" s="130"/>
      <c r="D1368" s="186"/>
      <c r="E1368" s="186"/>
      <c r="F1368" s="186"/>
      <c r="G1368" s="186"/>
      <c r="H1368" s="186"/>
      <c r="I1368" s="24" t="s">
        <v>3421</v>
      </c>
      <c r="J1368" s="24" t="s">
        <v>3258</v>
      </c>
      <c r="K1368" s="149" t="s">
        <v>3005</v>
      </c>
      <c r="L1368" s="149" t="s">
        <v>330</v>
      </c>
      <c r="M1368" s="133"/>
      <c r="N1368" s="133"/>
      <c r="O1368" s="19" t="s">
        <v>2588</v>
      </c>
      <c r="P1368" s="45" t="s">
        <v>593</v>
      </c>
      <c r="Q1368" s="12" t="s">
        <v>1441</v>
      </c>
      <c r="R1368" s="24" t="s">
        <v>2334</v>
      </c>
      <c r="S1368" s="24" t="s">
        <v>65</v>
      </c>
      <c r="T1368" s="28" t="s">
        <v>2334</v>
      </c>
      <c r="U1368" s="28" t="s">
        <v>2334</v>
      </c>
      <c r="V1368" s="28" t="s">
        <v>2334</v>
      </c>
      <c r="W1368" s="19" t="s">
        <v>67</v>
      </c>
      <c r="X1368" s="33">
        <v>46241</v>
      </c>
      <c r="Y1368" s="133"/>
      <c r="Z1368" s="133"/>
    </row>
    <row r="1369" spans="1:26">
      <c r="A1369" s="19" t="s">
        <v>2174</v>
      </c>
      <c r="B1369" s="226">
        <v>46234</v>
      </c>
      <c r="C1369" s="143"/>
      <c r="D1369" s="213" t="s">
        <v>59</v>
      </c>
      <c r="E1369" s="213" t="s">
        <v>3165</v>
      </c>
      <c r="F1369" s="214" t="s">
        <v>3166</v>
      </c>
      <c r="G1369" s="213" t="s">
        <v>127</v>
      </c>
      <c r="H1369" s="201" t="s">
        <v>2108</v>
      </c>
      <c r="I1369" s="202" t="s">
        <v>3422</v>
      </c>
      <c r="J1369" s="202" t="s">
        <v>3423</v>
      </c>
      <c r="K1369" s="157" t="s">
        <v>3424</v>
      </c>
      <c r="L1369" s="157" t="s">
        <v>3425</v>
      </c>
      <c r="M1369" s="142"/>
      <c r="N1369" s="142"/>
      <c r="O1369" s="49" t="s">
        <v>2334</v>
      </c>
      <c r="P1369" s="158" t="s">
        <v>3170</v>
      </c>
      <c r="Q1369" s="84" t="s">
        <v>1441</v>
      </c>
      <c r="R1369" s="83" t="s">
        <v>2591</v>
      </c>
      <c r="S1369" s="83" t="s">
        <v>65</v>
      </c>
      <c r="T1369" s="75" t="s">
        <v>2591</v>
      </c>
      <c r="U1369" s="75" t="s">
        <v>2334</v>
      </c>
      <c r="V1369" s="75" t="s">
        <v>2591</v>
      </c>
      <c r="W1369" s="19" t="s">
        <v>67</v>
      </c>
      <c r="X1369" s="33">
        <v>46241</v>
      </c>
      <c r="Y1369" s="142"/>
      <c r="Z1369" s="142"/>
    </row>
    <row r="1370" spans="1:26">
      <c r="A1370" s="19" t="s">
        <v>2174</v>
      </c>
      <c r="B1370" s="185"/>
      <c r="C1370" s="143"/>
      <c r="D1370" s="185"/>
      <c r="E1370" s="185"/>
      <c r="F1370" s="185"/>
      <c r="G1370" s="185"/>
      <c r="H1370" s="185"/>
      <c r="I1370" s="185"/>
      <c r="J1370" s="185"/>
      <c r="K1370" s="157" t="s">
        <v>3171</v>
      </c>
      <c r="L1370" s="157" t="s">
        <v>3172</v>
      </c>
      <c r="M1370" s="142"/>
      <c r="N1370" s="142"/>
      <c r="O1370" s="49" t="s">
        <v>2334</v>
      </c>
      <c r="P1370" s="158" t="s">
        <v>3170</v>
      </c>
      <c r="Q1370" s="84" t="s">
        <v>1441</v>
      </c>
      <c r="R1370" s="83" t="s">
        <v>2591</v>
      </c>
      <c r="S1370" s="83" t="s">
        <v>65</v>
      </c>
      <c r="T1370" s="75" t="s">
        <v>2591</v>
      </c>
      <c r="U1370" s="75" t="s">
        <v>2334</v>
      </c>
      <c r="V1370" s="75" t="s">
        <v>2591</v>
      </c>
      <c r="W1370" s="19" t="s">
        <v>67</v>
      </c>
      <c r="X1370" s="33">
        <v>46241</v>
      </c>
      <c r="Y1370" s="142"/>
      <c r="Z1370" s="142"/>
    </row>
    <row r="1371" spans="1:26">
      <c r="A1371" s="19" t="s">
        <v>2174</v>
      </c>
      <c r="B1371" s="186"/>
      <c r="C1371" s="130"/>
      <c r="D1371" s="186"/>
      <c r="E1371" s="186"/>
      <c r="F1371" s="186"/>
      <c r="G1371" s="186"/>
      <c r="H1371" s="186"/>
      <c r="I1371" s="186"/>
      <c r="J1371" s="186"/>
      <c r="K1371" s="149" t="s">
        <v>3426</v>
      </c>
      <c r="L1371" s="149" t="s">
        <v>3427</v>
      </c>
      <c r="M1371" s="133"/>
      <c r="N1371" s="133"/>
      <c r="O1371" s="19" t="s">
        <v>2334</v>
      </c>
      <c r="P1371" s="45" t="s">
        <v>3170</v>
      </c>
      <c r="Q1371" s="12" t="s">
        <v>1441</v>
      </c>
      <c r="R1371" s="24" t="s">
        <v>2591</v>
      </c>
      <c r="S1371" s="24" t="s">
        <v>65</v>
      </c>
      <c r="T1371" s="28" t="s">
        <v>2591</v>
      </c>
      <c r="U1371" s="28" t="s">
        <v>2334</v>
      </c>
      <c r="V1371" s="28" t="s">
        <v>2591</v>
      </c>
      <c r="W1371" s="19" t="s">
        <v>67</v>
      </c>
      <c r="X1371" s="33">
        <v>46241</v>
      </c>
      <c r="Y1371" s="133"/>
      <c r="Z1371" s="133"/>
    </row>
    <row r="1372" spans="1:26">
      <c r="A1372" s="19" t="s">
        <v>2174</v>
      </c>
      <c r="B1372" s="147">
        <v>46234</v>
      </c>
      <c r="C1372" s="133"/>
      <c r="D1372" s="130" t="s">
        <v>59</v>
      </c>
      <c r="E1372" s="130" t="s">
        <v>96</v>
      </c>
      <c r="F1372" s="45" t="s">
        <v>3428</v>
      </c>
      <c r="G1372" s="130" t="s">
        <v>51</v>
      </c>
      <c r="H1372" s="131" t="s">
        <v>3329</v>
      </c>
      <c r="I1372" s="35" t="s">
        <v>100</v>
      </c>
      <c r="J1372" s="72" t="s">
        <v>102</v>
      </c>
      <c r="K1372" s="149" t="s">
        <v>2953</v>
      </c>
      <c r="L1372" s="149" t="s">
        <v>170</v>
      </c>
      <c r="M1372" s="133"/>
      <c r="N1372" s="133"/>
      <c r="O1372" s="19" t="s">
        <v>2588</v>
      </c>
      <c r="P1372" s="45" t="s">
        <v>3429</v>
      </c>
      <c r="Q1372" s="12" t="s">
        <v>1441</v>
      </c>
      <c r="R1372" s="24" t="s">
        <v>2334</v>
      </c>
      <c r="S1372" s="24" t="s">
        <v>65</v>
      </c>
      <c r="T1372" s="28" t="s">
        <v>2334</v>
      </c>
      <c r="U1372" s="28" t="s">
        <v>2334</v>
      </c>
      <c r="V1372" s="28" t="s">
        <v>2334</v>
      </c>
      <c r="W1372" s="19" t="s">
        <v>67</v>
      </c>
      <c r="X1372" s="32">
        <v>46237</v>
      </c>
      <c r="Y1372" s="133"/>
      <c r="Z1372" s="133"/>
    </row>
    <row r="1373" spans="1:26">
      <c r="A1373" s="170"/>
      <c r="B1373" s="171"/>
      <c r="C1373" s="170"/>
      <c r="D1373" s="172"/>
      <c r="E1373" s="172"/>
      <c r="F1373" s="173"/>
      <c r="G1373" s="172"/>
      <c r="H1373" s="172"/>
      <c r="I1373" s="174"/>
      <c r="J1373" s="174"/>
      <c r="K1373" s="175"/>
      <c r="L1373" s="175"/>
      <c r="M1373" s="170"/>
      <c r="N1373" s="170"/>
      <c r="O1373" s="176"/>
      <c r="P1373" s="173"/>
      <c r="Q1373" s="177"/>
      <c r="R1373" s="178"/>
      <c r="S1373" s="178"/>
      <c r="T1373" s="179"/>
      <c r="U1373" s="179"/>
      <c r="V1373" s="179"/>
      <c r="W1373" s="176"/>
      <c r="X1373" s="180"/>
      <c r="Y1373" s="170"/>
      <c r="Z1373" s="170"/>
    </row>
    <row r="1374" spans="1:26">
      <c r="A1374" s="170"/>
      <c r="B1374" s="171"/>
      <c r="C1374" s="170"/>
      <c r="D1374" s="172"/>
      <c r="E1374" s="172"/>
      <c r="F1374" s="173"/>
      <c r="G1374" s="172"/>
      <c r="H1374" s="172"/>
      <c r="I1374" s="174"/>
      <c r="J1374" s="174"/>
      <c r="K1374" s="175"/>
      <c r="L1374" s="175"/>
      <c r="M1374" s="170"/>
      <c r="N1374" s="170"/>
      <c r="O1374" s="176"/>
      <c r="P1374" s="173"/>
      <c r="Q1374" s="177"/>
      <c r="R1374" s="178"/>
      <c r="S1374" s="178"/>
      <c r="T1374" s="179"/>
      <c r="U1374" s="179"/>
      <c r="V1374" s="179"/>
      <c r="W1374" s="176"/>
      <c r="X1374" s="180"/>
      <c r="Y1374" s="170"/>
      <c r="Z1374" s="170"/>
    </row>
    <row r="1375" spans="1:26">
      <c r="A1375" s="170"/>
      <c r="B1375" s="171"/>
      <c r="C1375" s="170"/>
      <c r="D1375" s="172"/>
      <c r="E1375" s="172"/>
      <c r="F1375" s="173"/>
      <c r="G1375" s="172"/>
      <c r="H1375" s="172"/>
      <c r="I1375" s="174"/>
      <c r="J1375" s="174"/>
      <c r="K1375" s="175"/>
      <c r="L1375" s="175"/>
      <c r="M1375" s="170"/>
      <c r="N1375" s="170"/>
      <c r="O1375" s="176"/>
      <c r="P1375" s="173"/>
      <c r="Q1375" s="177"/>
      <c r="R1375" s="178"/>
      <c r="S1375" s="178"/>
      <c r="T1375" s="179"/>
      <c r="U1375" s="179"/>
      <c r="V1375" s="179"/>
      <c r="W1375" s="176"/>
      <c r="X1375" s="180"/>
      <c r="Y1375" s="170"/>
      <c r="Z1375" s="170"/>
    </row>
    <row r="1376" spans="1:26">
      <c r="A1376" s="170"/>
      <c r="B1376" s="171"/>
      <c r="C1376" s="170"/>
      <c r="D1376" s="172"/>
      <c r="E1376" s="172"/>
      <c r="F1376" s="173"/>
      <c r="G1376" s="172"/>
      <c r="H1376" s="172"/>
      <c r="I1376" s="174"/>
      <c r="J1376" s="174"/>
      <c r="K1376" s="175"/>
      <c r="L1376" s="175"/>
      <c r="M1376" s="170"/>
      <c r="N1376" s="170"/>
      <c r="O1376" s="176"/>
      <c r="P1376" s="173"/>
      <c r="Q1376" s="177"/>
      <c r="R1376" s="178"/>
      <c r="S1376" s="178"/>
      <c r="T1376" s="179"/>
      <c r="U1376" s="179"/>
      <c r="V1376" s="179"/>
      <c r="W1376" s="176"/>
      <c r="X1376" s="180"/>
      <c r="Y1376" s="170"/>
      <c r="Z1376" s="170"/>
    </row>
    <row r="1377" spans="1:26">
      <c r="A1377" s="170"/>
      <c r="B1377" s="171"/>
      <c r="C1377" s="170"/>
      <c r="D1377" s="172"/>
      <c r="E1377" s="172"/>
      <c r="F1377" s="173"/>
      <c r="G1377" s="172"/>
      <c r="H1377" s="172"/>
      <c r="I1377" s="174"/>
      <c r="J1377" s="174"/>
      <c r="K1377" s="175"/>
      <c r="L1377" s="175"/>
      <c r="M1377" s="170"/>
      <c r="N1377" s="170"/>
      <c r="O1377" s="176"/>
      <c r="P1377" s="173"/>
      <c r="Q1377" s="177"/>
      <c r="R1377" s="178"/>
      <c r="S1377" s="178"/>
      <c r="T1377" s="179"/>
      <c r="U1377" s="179"/>
      <c r="V1377" s="179"/>
      <c r="W1377" s="176"/>
      <c r="X1377" s="180"/>
      <c r="Y1377" s="170"/>
      <c r="Z1377" s="170"/>
    </row>
    <row r="1378" spans="1:26">
      <c r="A1378" s="170"/>
      <c r="B1378" s="171"/>
      <c r="C1378" s="170"/>
      <c r="D1378" s="172"/>
      <c r="E1378" s="172"/>
      <c r="F1378" s="173"/>
      <c r="G1378" s="172"/>
      <c r="H1378" s="172"/>
      <c r="I1378" s="174"/>
      <c r="J1378" s="174"/>
      <c r="K1378" s="175"/>
      <c r="L1378" s="175"/>
      <c r="M1378" s="170"/>
      <c r="N1378" s="170"/>
      <c r="O1378" s="176"/>
      <c r="P1378" s="173"/>
      <c r="Q1378" s="177"/>
      <c r="R1378" s="178"/>
      <c r="S1378" s="178"/>
      <c r="T1378" s="179"/>
      <c r="U1378" s="179"/>
      <c r="V1378" s="179"/>
      <c r="W1378" s="176"/>
      <c r="X1378" s="180"/>
      <c r="Y1378" s="170"/>
      <c r="Z1378" s="170"/>
    </row>
    <row r="1379" spans="1:26">
      <c r="A1379" s="170"/>
      <c r="B1379" s="171"/>
      <c r="C1379" s="170"/>
      <c r="D1379" s="172"/>
      <c r="E1379" s="172"/>
      <c r="F1379" s="173"/>
      <c r="G1379" s="172"/>
      <c r="H1379" s="172"/>
      <c r="I1379" s="174"/>
      <c r="J1379" s="174"/>
      <c r="K1379" s="175"/>
      <c r="L1379" s="175"/>
      <c r="M1379" s="170"/>
      <c r="N1379" s="170"/>
      <c r="O1379" s="176"/>
      <c r="P1379" s="173"/>
      <c r="Q1379" s="177"/>
      <c r="R1379" s="178"/>
      <c r="S1379" s="178"/>
      <c r="T1379" s="179"/>
      <c r="U1379" s="179"/>
      <c r="V1379" s="179"/>
      <c r="W1379" s="176"/>
      <c r="X1379" s="180"/>
      <c r="Y1379" s="170"/>
      <c r="Z1379" s="170"/>
    </row>
    <row r="1380" spans="1:26">
      <c r="A1380" s="170"/>
      <c r="B1380" s="171"/>
      <c r="C1380" s="170"/>
      <c r="D1380" s="172"/>
      <c r="E1380" s="172"/>
      <c r="F1380" s="173"/>
      <c r="G1380" s="172"/>
      <c r="H1380" s="172"/>
      <c r="I1380" s="174"/>
      <c r="J1380" s="174"/>
      <c r="K1380" s="175"/>
      <c r="L1380" s="175"/>
      <c r="M1380" s="170"/>
      <c r="N1380" s="170"/>
      <c r="O1380" s="176"/>
      <c r="P1380" s="173"/>
      <c r="Q1380" s="177"/>
      <c r="R1380" s="178"/>
      <c r="S1380" s="178"/>
      <c r="T1380" s="179"/>
      <c r="U1380" s="179"/>
      <c r="V1380" s="179"/>
      <c r="W1380" s="176"/>
      <c r="X1380" s="180"/>
      <c r="Y1380" s="170"/>
      <c r="Z1380" s="170"/>
    </row>
    <row r="1381" spans="1:26">
      <c r="A1381" s="170"/>
      <c r="B1381" s="171"/>
      <c r="C1381" s="170"/>
      <c r="D1381" s="172"/>
      <c r="E1381" s="172"/>
      <c r="F1381" s="173"/>
      <c r="G1381" s="172"/>
      <c r="H1381" s="172"/>
      <c r="I1381" s="174"/>
      <c r="J1381" s="174"/>
      <c r="K1381" s="175"/>
      <c r="L1381" s="175"/>
      <c r="M1381" s="170"/>
      <c r="N1381" s="170"/>
      <c r="O1381" s="176"/>
      <c r="P1381" s="173"/>
      <c r="Q1381" s="177"/>
      <c r="R1381" s="178"/>
      <c r="S1381" s="178"/>
      <c r="T1381" s="179"/>
      <c r="U1381" s="179"/>
      <c r="V1381" s="179"/>
      <c r="W1381" s="176"/>
      <c r="X1381" s="180"/>
      <c r="Y1381" s="170"/>
      <c r="Z1381" s="170"/>
    </row>
    <row r="1382" spans="1:26">
      <c r="A1382" s="170"/>
      <c r="B1382" s="171"/>
      <c r="C1382" s="170"/>
      <c r="D1382" s="172"/>
      <c r="E1382" s="172"/>
      <c r="F1382" s="173"/>
      <c r="G1382" s="172"/>
      <c r="H1382" s="172"/>
      <c r="I1382" s="174"/>
      <c r="J1382" s="174"/>
      <c r="K1382" s="175"/>
      <c r="L1382" s="175"/>
      <c r="M1382" s="170"/>
      <c r="N1382" s="170"/>
      <c r="O1382" s="176"/>
      <c r="P1382" s="173"/>
      <c r="Q1382" s="177"/>
      <c r="R1382" s="178"/>
      <c r="S1382" s="178"/>
      <c r="T1382" s="179"/>
      <c r="U1382" s="179"/>
      <c r="V1382" s="179"/>
      <c r="W1382" s="176"/>
      <c r="X1382" s="180"/>
      <c r="Y1382" s="170"/>
      <c r="Z1382" s="170"/>
    </row>
    <row r="1383" spans="1:26">
      <c r="A1383" s="170"/>
      <c r="B1383" s="171"/>
      <c r="C1383" s="170"/>
      <c r="D1383" s="172"/>
      <c r="E1383" s="172"/>
      <c r="F1383" s="173"/>
      <c r="G1383" s="172"/>
      <c r="H1383" s="172"/>
      <c r="I1383" s="174"/>
      <c r="J1383" s="174"/>
      <c r="K1383" s="175"/>
      <c r="L1383" s="175"/>
      <c r="M1383" s="170"/>
      <c r="N1383" s="170"/>
      <c r="O1383" s="176"/>
      <c r="P1383" s="173"/>
      <c r="Q1383" s="177"/>
      <c r="R1383" s="178"/>
      <c r="S1383" s="178"/>
      <c r="T1383" s="179"/>
      <c r="U1383" s="179"/>
      <c r="V1383" s="179"/>
      <c r="W1383" s="176"/>
      <c r="X1383" s="180"/>
      <c r="Y1383" s="170"/>
      <c r="Z1383" s="170"/>
    </row>
    <row r="1384" spans="1:26">
      <c r="A1384" s="170"/>
      <c r="B1384" s="171"/>
      <c r="C1384" s="170"/>
      <c r="D1384" s="172"/>
      <c r="E1384" s="172"/>
      <c r="F1384" s="173"/>
      <c r="G1384" s="172"/>
      <c r="H1384" s="172"/>
      <c r="I1384" s="174"/>
      <c r="J1384" s="174"/>
      <c r="K1384" s="175"/>
      <c r="L1384" s="175"/>
      <c r="M1384" s="170"/>
      <c r="N1384" s="170"/>
      <c r="O1384" s="176"/>
      <c r="P1384" s="173"/>
      <c r="Q1384" s="177"/>
      <c r="R1384" s="178"/>
      <c r="S1384" s="178"/>
      <c r="T1384" s="179"/>
      <c r="U1384" s="179"/>
      <c r="V1384" s="179"/>
      <c r="W1384" s="176"/>
      <c r="X1384" s="180"/>
      <c r="Y1384" s="170"/>
      <c r="Z1384" s="170"/>
    </row>
    <row r="1385" spans="1:26">
      <c r="A1385" s="170"/>
      <c r="B1385" s="171"/>
      <c r="C1385" s="170"/>
      <c r="D1385" s="172"/>
      <c r="E1385" s="172"/>
      <c r="F1385" s="173"/>
      <c r="G1385" s="172"/>
      <c r="H1385" s="172"/>
      <c r="I1385" s="174"/>
      <c r="J1385" s="174"/>
      <c r="K1385" s="175"/>
      <c r="L1385" s="175"/>
      <c r="M1385" s="170"/>
      <c r="N1385" s="170"/>
      <c r="O1385" s="176"/>
      <c r="P1385" s="173"/>
      <c r="Q1385" s="177"/>
      <c r="R1385" s="178"/>
      <c r="S1385" s="178"/>
      <c r="T1385" s="179"/>
      <c r="U1385" s="179"/>
      <c r="V1385" s="179"/>
      <c r="W1385" s="176"/>
      <c r="X1385" s="180"/>
      <c r="Y1385" s="170"/>
      <c r="Z1385" s="170"/>
    </row>
    <row r="1386" spans="1:26">
      <c r="A1386" s="170"/>
      <c r="B1386" s="171"/>
      <c r="C1386" s="170"/>
      <c r="D1386" s="172"/>
      <c r="E1386" s="172"/>
      <c r="F1386" s="173"/>
      <c r="G1386" s="172"/>
      <c r="H1386" s="172"/>
      <c r="I1386" s="174"/>
      <c r="J1386" s="174"/>
      <c r="K1386" s="175"/>
      <c r="L1386" s="175"/>
      <c r="M1386" s="170"/>
      <c r="N1386" s="170"/>
      <c r="O1386" s="176"/>
      <c r="P1386" s="173"/>
      <c r="Q1386" s="177"/>
      <c r="R1386" s="178"/>
      <c r="S1386" s="178"/>
      <c r="T1386" s="179"/>
      <c r="U1386" s="179"/>
      <c r="V1386" s="179"/>
      <c r="W1386" s="176"/>
      <c r="X1386" s="180"/>
      <c r="Y1386" s="170"/>
      <c r="Z1386" s="170"/>
    </row>
    <row r="1387" spans="1:26">
      <c r="A1387" s="170"/>
      <c r="B1387" s="171"/>
      <c r="C1387" s="170"/>
      <c r="D1387" s="172"/>
      <c r="E1387" s="172"/>
      <c r="F1387" s="173"/>
      <c r="G1387" s="172"/>
      <c r="H1387" s="172"/>
      <c r="I1387" s="174"/>
      <c r="J1387" s="174"/>
      <c r="K1387" s="175"/>
      <c r="L1387" s="175"/>
      <c r="M1387" s="170"/>
      <c r="N1387" s="170"/>
      <c r="O1387" s="176"/>
      <c r="P1387" s="173"/>
      <c r="Q1387" s="177"/>
      <c r="R1387" s="178"/>
      <c r="S1387" s="178"/>
      <c r="T1387" s="179"/>
      <c r="U1387" s="179"/>
      <c r="V1387" s="179"/>
      <c r="W1387" s="176"/>
      <c r="X1387" s="180"/>
      <c r="Y1387" s="170"/>
      <c r="Z1387" s="170"/>
    </row>
    <row r="1388" spans="1:26">
      <c r="A1388" s="170"/>
      <c r="B1388" s="171"/>
      <c r="C1388" s="170"/>
      <c r="D1388" s="172"/>
      <c r="E1388" s="172"/>
      <c r="F1388" s="173"/>
      <c r="G1388" s="172"/>
      <c r="H1388" s="172"/>
      <c r="I1388" s="174"/>
      <c r="J1388" s="174"/>
      <c r="K1388" s="175"/>
      <c r="L1388" s="175"/>
      <c r="M1388" s="170"/>
      <c r="N1388" s="170"/>
      <c r="O1388" s="176"/>
      <c r="P1388" s="173"/>
      <c r="Q1388" s="177"/>
      <c r="R1388" s="178"/>
      <c r="S1388" s="178"/>
      <c r="T1388" s="179"/>
      <c r="U1388" s="179"/>
      <c r="V1388" s="179"/>
      <c r="W1388" s="176"/>
      <c r="X1388" s="180"/>
      <c r="Y1388" s="170"/>
      <c r="Z1388" s="170"/>
    </row>
    <row r="1389" spans="1:26">
      <c r="A1389" s="170"/>
      <c r="B1389" s="171"/>
      <c r="C1389" s="170"/>
      <c r="D1389" s="172"/>
      <c r="E1389" s="172"/>
      <c r="F1389" s="173"/>
      <c r="G1389" s="172"/>
      <c r="H1389" s="172"/>
      <c r="I1389" s="174"/>
      <c r="J1389" s="174"/>
      <c r="K1389" s="175"/>
      <c r="L1389" s="175"/>
      <c r="M1389" s="170"/>
      <c r="N1389" s="170"/>
      <c r="O1389" s="176"/>
      <c r="P1389" s="173"/>
      <c r="Q1389" s="177"/>
      <c r="R1389" s="178"/>
      <c r="S1389" s="178"/>
      <c r="T1389" s="179"/>
      <c r="U1389" s="179"/>
      <c r="V1389" s="179"/>
      <c r="W1389" s="176"/>
      <c r="X1389" s="180"/>
      <c r="Y1389" s="170"/>
      <c r="Z1389" s="170"/>
    </row>
    <row r="1390" spans="1:26">
      <c r="A1390" s="170"/>
      <c r="B1390" s="171"/>
      <c r="C1390" s="170"/>
      <c r="D1390" s="172"/>
      <c r="E1390" s="172"/>
      <c r="F1390" s="173"/>
      <c r="G1390" s="172"/>
      <c r="H1390" s="172"/>
      <c r="I1390" s="174"/>
      <c r="J1390" s="174"/>
      <c r="K1390" s="175"/>
      <c r="L1390" s="175"/>
      <c r="M1390" s="170"/>
      <c r="N1390" s="170"/>
      <c r="O1390" s="176"/>
      <c r="P1390" s="173"/>
      <c r="Q1390" s="177"/>
      <c r="R1390" s="178"/>
      <c r="S1390" s="178"/>
      <c r="T1390" s="179"/>
      <c r="U1390" s="179"/>
      <c r="V1390" s="179"/>
      <c r="W1390" s="176"/>
      <c r="X1390" s="180"/>
      <c r="Y1390" s="170"/>
      <c r="Z1390" s="170"/>
    </row>
    <row r="1391" spans="1:26">
      <c r="A1391" s="170"/>
      <c r="B1391" s="171"/>
      <c r="C1391" s="170"/>
      <c r="D1391" s="172"/>
      <c r="E1391" s="172"/>
      <c r="F1391" s="173"/>
      <c r="G1391" s="172"/>
      <c r="H1391" s="172"/>
      <c r="I1391" s="174"/>
      <c r="J1391" s="174"/>
      <c r="K1391" s="175"/>
      <c r="L1391" s="175"/>
      <c r="M1391" s="170"/>
      <c r="N1391" s="170"/>
      <c r="O1391" s="176"/>
      <c r="P1391" s="173"/>
      <c r="Q1391" s="177"/>
      <c r="R1391" s="178"/>
      <c r="S1391" s="178"/>
      <c r="T1391" s="179"/>
      <c r="U1391" s="179"/>
      <c r="V1391" s="179"/>
      <c r="W1391" s="176"/>
      <c r="X1391" s="180"/>
      <c r="Y1391" s="170"/>
      <c r="Z1391" s="170"/>
    </row>
    <row r="1392" spans="1:26">
      <c r="A1392" s="170"/>
      <c r="B1392" s="171"/>
      <c r="C1392" s="170"/>
      <c r="D1392" s="172"/>
      <c r="E1392" s="172"/>
      <c r="F1392" s="173"/>
      <c r="G1392" s="172"/>
      <c r="H1392" s="172"/>
      <c r="I1392" s="174"/>
      <c r="J1392" s="174"/>
      <c r="K1392" s="175"/>
      <c r="L1392" s="175"/>
      <c r="M1392" s="170"/>
      <c r="N1392" s="170"/>
      <c r="O1392" s="176"/>
      <c r="P1392" s="173"/>
      <c r="Q1392" s="177"/>
      <c r="R1392" s="178"/>
      <c r="S1392" s="178"/>
      <c r="T1392" s="179"/>
      <c r="U1392" s="179"/>
      <c r="V1392" s="179"/>
      <c r="W1392" s="176"/>
      <c r="X1392" s="180"/>
      <c r="Y1392" s="170"/>
      <c r="Z1392" s="170"/>
    </row>
    <row r="1393" spans="1:26">
      <c r="A1393" s="170"/>
      <c r="B1393" s="171"/>
      <c r="C1393" s="170"/>
      <c r="D1393" s="172"/>
      <c r="E1393" s="172"/>
      <c r="F1393" s="173"/>
      <c r="G1393" s="172"/>
      <c r="H1393" s="172"/>
      <c r="I1393" s="174"/>
      <c r="J1393" s="174"/>
      <c r="K1393" s="175"/>
      <c r="L1393" s="175"/>
      <c r="M1393" s="170"/>
      <c r="N1393" s="170"/>
      <c r="O1393" s="176"/>
      <c r="P1393" s="173"/>
      <c r="Q1393" s="177"/>
      <c r="R1393" s="178"/>
      <c r="S1393" s="178"/>
      <c r="T1393" s="179"/>
      <c r="U1393" s="179"/>
      <c r="V1393" s="179"/>
      <c r="W1393" s="176"/>
      <c r="X1393" s="180"/>
      <c r="Y1393" s="170"/>
      <c r="Z1393" s="170"/>
    </row>
    <row r="1394" spans="1:26">
      <c r="A1394" s="170"/>
      <c r="B1394" s="171"/>
      <c r="C1394" s="170"/>
      <c r="D1394" s="172"/>
      <c r="E1394" s="172"/>
      <c r="F1394" s="173"/>
      <c r="G1394" s="172"/>
      <c r="H1394" s="172"/>
      <c r="I1394" s="174"/>
      <c r="J1394" s="174"/>
      <c r="K1394" s="175"/>
      <c r="L1394" s="175"/>
      <c r="M1394" s="170"/>
      <c r="N1394" s="170"/>
      <c r="O1394" s="176"/>
      <c r="P1394" s="173"/>
      <c r="Q1394" s="177"/>
      <c r="R1394" s="178"/>
      <c r="S1394" s="178"/>
      <c r="T1394" s="179"/>
      <c r="U1394" s="179"/>
      <c r="V1394" s="179"/>
      <c r="W1394" s="176"/>
      <c r="X1394" s="180"/>
      <c r="Y1394" s="170"/>
      <c r="Z1394" s="170"/>
    </row>
    <row r="1395" spans="1:26">
      <c r="A1395" s="170"/>
      <c r="B1395" s="171"/>
      <c r="C1395" s="170"/>
      <c r="D1395" s="172"/>
      <c r="E1395" s="172"/>
      <c r="F1395" s="173"/>
      <c r="G1395" s="172"/>
      <c r="H1395" s="172"/>
      <c r="I1395" s="174"/>
      <c r="J1395" s="174"/>
      <c r="K1395" s="175"/>
      <c r="L1395" s="175"/>
      <c r="M1395" s="170"/>
      <c r="N1395" s="170"/>
      <c r="O1395" s="176"/>
      <c r="P1395" s="173"/>
      <c r="Q1395" s="177"/>
      <c r="R1395" s="178"/>
      <c r="S1395" s="178"/>
      <c r="T1395" s="179"/>
      <c r="U1395" s="179"/>
      <c r="V1395" s="179"/>
      <c r="W1395" s="176"/>
      <c r="X1395" s="180"/>
      <c r="Y1395" s="170"/>
      <c r="Z1395" s="170"/>
    </row>
    <row r="1396" spans="1:26">
      <c r="A1396" s="170"/>
      <c r="B1396" s="171"/>
      <c r="C1396" s="170"/>
      <c r="D1396" s="172"/>
      <c r="E1396" s="172"/>
      <c r="F1396" s="173"/>
      <c r="G1396" s="172"/>
      <c r="H1396" s="172"/>
      <c r="I1396" s="174"/>
      <c r="J1396" s="174"/>
      <c r="K1396" s="175"/>
      <c r="L1396" s="175"/>
      <c r="M1396" s="170"/>
      <c r="N1396" s="170"/>
      <c r="O1396" s="176"/>
      <c r="P1396" s="173"/>
      <c r="Q1396" s="177"/>
      <c r="R1396" s="178"/>
      <c r="S1396" s="178"/>
      <c r="T1396" s="179"/>
      <c r="U1396" s="179"/>
      <c r="V1396" s="179"/>
      <c r="W1396" s="176"/>
      <c r="X1396" s="180"/>
      <c r="Y1396" s="170"/>
      <c r="Z1396" s="170"/>
    </row>
    <row r="1397" spans="1:26">
      <c r="A1397" s="170"/>
      <c r="B1397" s="171"/>
      <c r="C1397" s="170"/>
      <c r="D1397" s="172"/>
      <c r="E1397" s="172"/>
      <c r="F1397" s="173"/>
      <c r="G1397" s="172"/>
      <c r="H1397" s="172"/>
      <c r="I1397" s="174"/>
      <c r="J1397" s="174"/>
      <c r="K1397" s="175"/>
      <c r="L1397" s="175"/>
      <c r="M1397" s="170"/>
      <c r="N1397" s="170"/>
      <c r="O1397" s="176"/>
      <c r="P1397" s="173"/>
      <c r="Q1397" s="177"/>
      <c r="R1397" s="178"/>
      <c r="S1397" s="178"/>
      <c r="T1397" s="179"/>
      <c r="U1397" s="179"/>
      <c r="V1397" s="179"/>
      <c r="W1397" s="176"/>
      <c r="X1397" s="180"/>
      <c r="Y1397" s="170"/>
      <c r="Z1397" s="170"/>
    </row>
    <row r="1398" spans="1:26">
      <c r="A1398" s="170"/>
      <c r="B1398" s="171"/>
      <c r="C1398" s="170"/>
      <c r="D1398" s="172"/>
      <c r="E1398" s="172"/>
      <c r="F1398" s="173"/>
      <c r="G1398" s="172"/>
      <c r="H1398" s="172"/>
      <c r="I1398" s="174"/>
      <c r="J1398" s="174"/>
      <c r="K1398" s="175"/>
      <c r="L1398" s="175"/>
      <c r="M1398" s="170"/>
      <c r="N1398" s="170"/>
      <c r="O1398" s="176"/>
      <c r="P1398" s="173"/>
      <c r="Q1398" s="177"/>
      <c r="R1398" s="178"/>
      <c r="S1398" s="178"/>
      <c r="T1398" s="179"/>
      <c r="U1398" s="179"/>
      <c r="V1398" s="179"/>
      <c r="W1398" s="176"/>
      <c r="X1398" s="180"/>
      <c r="Y1398" s="170"/>
      <c r="Z1398" s="170"/>
    </row>
    <row r="1399" spans="1:26">
      <c r="A1399" s="170"/>
      <c r="B1399" s="171"/>
      <c r="C1399" s="170"/>
      <c r="D1399" s="172"/>
      <c r="E1399" s="172"/>
      <c r="F1399" s="173"/>
      <c r="G1399" s="172"/>
      <c r="H1399" s="172"/>
      <c r="I1399" s="174"/>
      <c r="J1399" s="174"/>
      <c r="K1399" s="175"/>
      <c r="L1399" s="175"/>
      <c r="M1399" s="170"/>
      <c r="N1399" s="170"/>
      <c r="O1399" s="176"/>
      <c r="P1399" s="173"/>
      <c r="Q1399" s="177"/>
      <c r="R1399" s="178"/>
      <c r="S1399" s="178"/>
      <c r="T1399" s="179"/>
      <c r="U1399" s="179"/>
      <c r="V1399" s="179"/>
      <c r="W1399" s="176"/>
      <c r="X1399" s="180"/>
      <c r="Y1399" s="170"/>
      <c r="Z1399" s="170"/>
    </row>
    <row r="1400" spans="1:26">
      <c r="A1400" s="170"/>
      <c r="B1400" s="171"/>
      <c r="C1400" s="170"/>
      <c r="D1400" s="172"/>
      <c r="E1400" s="172"/>
      <c r="F1400" s="173"/>
      <c r="G1400" s="172"/>
      <c r="H1400" s="172"/>
      <c r="I1400" s="174"/>
      <c r="J1400" s="174"/>
      <c r="K1400" s="175"/>
      <c r="L1400" s="175"/>
      <c r="M1400" s="170"/>
      <c r="N1400" s="170"/>
      <c r="O1400" s="176"/>
      <c r="P1400" s="173"/>
      <c r="Q1400" s="177"/>
      <c r="R1400" s="178"/>
      <c r="S1400" s="178"/>
      <c r="T1400" s="179"/>
      <c r="U1400" s="179"/>
      <c r="V1400" s="179"/>
      <c r="W1400" s="176"/>
      <c r="X1400" s="180"/>
      <c r="Y1400" s="170"/>
      <c r="Z1400" s="170"/>
    </row>
    <row r="1401" spans="1:26">
      <c r="A1401" s="170"/>
      <c r="B1401" s="171"/>
      <c r="C1401" s="170"/>
      <c r="D1401" s="172"/>
      <c r="E1401" s="172"/>
      <c r="F1401" s="173"/>
      <c r="G1401" s="172"/>
      <c r="H1401" s="172"/>
      <c r="I1401" s="174"/>
      <c r="J1401" s="174"/>
      <c r="K1401" s="175"/>
      <c r="L1401" s="175"/>
      <c r="M1401" s="170"/>
      <c r="N1401" s="170"/>
      <c r="O1401" s="176"/>
      <c r="P1401" s="173"/>
      <c r="Q1401" s="177"/>
      <c r="R1401" s="178"/>
      <c r="S1401" s="178"/>
      <c r="T1401" s="179"/>
      <c r="U1401" s="179"/>
      <c r="V1401" s="179"/>
      <c r="W1401" s="176"/>
      <c r="X1401" s="180"/>
      <c r="Y1401" s="170"/>
      <c r="Z1401" s="170"/>
    </row>
    <row r="1402" spans="1:26">
      <c r="A1402" s="170"/>
      <c r="B1402" s="171"/>
      <c r="C1402" s="170"/>
      <c r="D1402" s="172"/>
      <c r="E1402" s="172"/>
      <c r="F1402" s="173"/>
      <c r="G1402" s="172"/>
      <c r="H1402" s="172"/>
      <c r="I1402" s="174"/>
      <c r="J1402" s="174"/>
      <c r="K1402" s="175"/>
      <c r="L1402" s="175"/>
      <c r="M1402" s="170"/>
      <c r="N1402" s="170"/>
      <c r="O1402" s="176"/>
      <c r="P1402" s="173"/>
      <c r="Q1402" s="177"/>
      <c r="R1402" s="178"/>
      <c r="S1402" s="178"/>
      <c r="T1402" s="179"/>
      <c r="U1402" s="179"/>
      <c r="V1402" s="179"/>
      <c r="W1402" s="176"/>
      <c r="X1402" s="180"/>
      <c r="Y1402" s="170"/>
      <c r="Z1402" s="170"/>
    </row>
    <row r="1403" spans="1:26">
      <c r="A1403" s="170"/>
      <c r="B1403" s="171"/>
      <c r="C1403" s="170"/>
      <c r="D1403" s="172"/>
      <c r="E1403" s="172"/>
      <c r="F1403" s="173"/>
      <c r="G1403" s="172"/>
      <c r="H1403" s="172"/>
      <c r="I1403" s="174"/>
      <c r="J1403" s="174"/>
      <c r="K1403" s="175"/>
      <c r="L1403" s="175"/>
      <c r="M1403" s="170"/>
      <c r="N1403" s="170"/>
      <c r="O1403" s="176"/>
      <c r="P1403" s="173"/>
      <c r="Q1403" s="177"/>
      <c r="R1403" s="178"/>
      <c r="S1403" s="178"/>
      <c r="T1403" s="179"/>
      <c r="U1403" s="179"/>
      <c r="V1403" s="179"/>
      <c r="W1403" s="176"/>
      <c r="X1403" s="180"/>
      <c r="Y1403" s="170"/>
      <c r="Z1403" s="170"/>
    </row>
    <row r="1404" spans="1:26">
      <c r="A1404" s="170"/>
      <c r="B1404" s="171"/>
      <c r="C1404" s="170"/>
      <c r="D1404" s="172"/>
      <c r="E1404" s="172"/>
      <c r="F1404" s="173"/>
      <c r="G1404" s="172"/>
      <c r="H1404" s="172"/>
      <c r="I1404" s="174"/>
      <c r="J1404" s="174"/>
      <c r="K1404" s="175"/>
      <c r="L1404" s="175"/>
      <c r="M1404" s="170"/>
      <c r="N1404" s="170"/>
      <c r="O1404" s="176"/>
      <c r="P1404" s="173"/>
      <c r="Q1404" s="177"/>
      <c r="R1404" s="178"/>
      <c r="S1404" s="178"/>
      <c r="T1404" s="179"/>
      <c r="U1404" s="179"/>
      <c r="V1404" s="179"/>
      <c r="W1404" s="176"/>
      <c r="X1404" s="180"/>
      <c r="Y1404" s="170"/>
      <c r="Z1404" s="170"/>
    </row>
    <row r="1405" spans="1:26">
      <c r="A1405" s="170"/>
      <c r="B1405" s="171"/>
      <c r="C1405" s="170"/>
      <c r="D1405" s="172"/>
      <c r="E1405" s="172"/>
      <c r="F1405" s="173"/>
      <c r="G1405" s="172"/>
      <c r="H1405" s="172"/>
      <c r="I1405" s="174"/>
      <c r="J1405" s="174"/>
      <c r="K1405" s="175"/>
      <c r="L1405" s="175"/>
      <c r="M1405" s="170"/>
      <c r="N1405" s="170"/>
      <c r="O1405" s="176"/>
      <c r="P1405" s="173"/>
      <c r="Q1405" s="177"/>
      <c r="R1405" s="178"/>
      <c r="S1405" s="178"/>
      <c r="T1405" s="179"/>
      <c r="U1405" s="179"/>
      <c r="V1405" s="179"/>
      <c r="W1405" s="176"/>
      <c r="X1405" s="180"/>
      <c r="Y1405" s="170"/>
      <c r="Z1405" s="170"/>
    </row>
    <row r="1406" spans="1:26">
      <c r="A1406" s="170"/>
      <c r="B1406" s="171"/>
      <c r="C1406" s="170"/>
      <c r="D1406" s="172"/>
      <c r="E1406" s="172"/>
      <c r="F1406" s="173"/>
      <c r="G1406" s="172"/>
      <c r="H1406" s="172"/>
      <c r="I1406" s="174"/>
      <c r="J1406" s="174"/>
      <c r="K1406" s="175"/>
      <c r="L1406" s="175"/>
      <c r="M1406" s="170"/>
      <c r="N1406" s="170"/>
      <c r="O1406" s="176"/>
      <c r="P1406" s="173"/>
      <c r="Q1406" s="177"/>
      <c r="R1406" s="178"/>
      <c r="S1406" s="178"/>
      <c r="T1406" s="179"/>
      <c r="U1406" s="179"/>
      <c r="V1406" s="179"/>
      <c r="W1406" s="176"/>
      <c r="X1406" s="180"/>
      <c r="Y1406" s="170"/>
      <c r="Z1406" s="170"/>
    </row>
    <row r="1407" spans="1:26">
      <c r="A1407" s="170"/>
      <c r="B1407" s="171"/>
      <c r="C1407" s="170"/>
      <c r="D1407" s="172"/>
      <c r="E1407" s="172"/>
      <c r="F1407" s="173"/>
      <c r="G1407" s="172"/>
      <c r="H1407" s="172"/>
      <c r="I1407" s="174"/>
      <c r="J1407" s="174"/>
      <c r="K1407" s="175"/>
      <c r="L1407" s="175"/>
      <c r="M1407" s="170"/>
      <c r="N1407" s="170"/>
      <c r="O1407" s="176"/>
      <c r="P1407" s="173"/>
      <c r="Q1407" s="177"/>
      <c r="R1407" s="178"/>
      <c r="S1407" s="178"/>
      <c r="T1407" s="179"/>
      <c r="U1407" s="179"/>
      <c r="V1407" s="179"/>
      <c r="W1407" s="176"/>
      <c r="X1407" s="180"/>
      <c r="Y1407" s="170"/>
      <c r="Z1407" s="170"/>
    </row>
    <row r="1408" spans="1:26">
      <c r="A1408" s="170"/>
      <c r="B1408" s="171"/>
      <c r="C1408" s="170"/>
      <c r="D1408" s="172"/>
      <c r="E1408" s="172"/>
      <c r="F1408" s="173"/>
      <c r="G1408" s="172"/>
      <c r="H1408" s="172"/>
      <c r="I1408" s="174"/>
      <c r="J1408" s="174"/>
      <c r="K1408" s="175"/>
      <c r="L1408" s="175"/>
      <c r="M1408" s="170"/>
      <c r="N1408" s="170"/>
      <c r="O1408" s="176"/>
      <c r="P1408" s="173"/>
      <c r="Q1408" s="177"/>
      <c r="R1408" s="178"/>
      <c r="S1408" s="178"/>
      <c r="T1408" s="179"/>
      <c r="U1408" s="179"/>
      <c r="V1408" s="179"/>
      <c r="W1408" s="176"/>
      <c r="X1408" s="180"/>
      <c r="Y1408" s="170"/>
      <c r="Z1408" s="170"/>
    </row>
    <row r="1409" spans="1:26">
      <c r="A1409" s="170"/>
      <c r="B1409" s="171"/>
      <c r="C1409" s="170"/>
      <c r="D1409" s="172"/>
      <c r="E1409" s="172"/>
      <c r="F1409" s="173"/>
      <c r="G1409" s="172"/>
      <c r="H1409" s="172"/>
      <c r="I1409" s="174"/>
      <c r="J1409" s="174"/>
      <c r="K1409" s="175"/>
      <c r="L1409" s="175"/>
      <c r="M1409" s="170"/>
      <c r="N1409" s="170"/>
      <c r="O1409" s="176"/>
      <c r="P1409" s="173"/>
      <c r="Q1409" s="177"/>
      <c r="R1409" s="178"/>
      <c r="S1409" s="178"/>
      <c r="T1409" s="179"/>
      <c r="U1409" s="179"/>
      <c r="V1409" s="179"/>
      <c r="W1409" s="176"/>
      <c r="X1409" s="180"/>
      <c r="Y1409" s="170"/>
      <c r="Z1409" s="170"/>
    </row>
    <row r="1410" spans="1:26">
      <c r="A1410" s="170"/>
      <c r="B1410" s="171"/>
      <c r="C1410" s="170"/>
      <c r="D1410" s="172"/>
      <c r="E1410" s="172"/>
      <c r="F1410" s="173"/>
      <c r="G1410" s="172"/>
      <c r="H1410" s="172"/>
      <c r="I1410" s="174"/>
      <c r="J1410" s="174"/>
      <c r="K1410" s="175"/>
      <c r="L1410" s="175"/>
      <c r="M1410" s="170"/>
      <c r="N1410" s="170"/>
      <c r="O1410" s="176"/>
      <c r="P1410" s="173"/>
      <c r="Q1410" s="177"/>
      <c r="R1410" s="178"/>
      <c r="S1410" s="178"/>
      <c r="T1410" s="179"/>
      <c r="U1410" s="179"/>
      <c r="V1410" s="179"/>
      <c r="W1410" s="176"/>
      <c r="X1410" s="180"/>
      <c r="Y1410" s="170"/>
      <c r="Z1410" s="170"/>
    </row>
    <row r="1411" spans="1:26">
      <c r="A1411" s="170"/>
      <c r="B1411" s="171"/>
      <c r="C1411" s="170"/>
      <c r="D1411" s="172"/>
      <c r="E1411" s="172"/>
      <c r="F1411" s="173"/>
      <c r="G1411" s="172"/>
      <c r="H1411" s="172"/>
      <c r="I1411" s="174"/>
      <c r="J1411" s="174"/>
      <c r="K1411" s="175"/>
      <c r="L1411" s="175"/>
      <c r="M1411" s="170"/>
      <c r="N1411" s="170"/>
      <c r="O1411" s="176"/>
      <c r="P1411" s="173"/>
      <c r="Q1411" s="177"/>
      <c r="R1411" s="178"/>
      <c r="S1411" s="178"/>
      <c r="T1411" s="179"/>
      <c r="U1411" s="179"/>
      <c r="V1411" s="179"/>
      <c r="W1411" s="176"/>
      <c r="X1411" s="180"/>
      <c r="Y1411" s="170"/>
      <c r="Z1411" s="170"/>
    </row>
    <row r="1412" spans="1:26">
      <c r="A1412" s="170"/>
      <c r="B1412" s="171"/>
      <c r="C1412" s="170"/>
      <c r="D1412" s="172"/>
      <c r="E1412" s="172"/>
      <c r="F1412" s="173"/>
      <c r="G1412" s="172"/>
      <c r="H1412" s="172"/>
      <c r="I1412" s="174"/>
      <c r="J1412" s="174"/>
      <c r="K1412" s="175"/>
      <c r="L1412" s="175"/>
      <c r="M1412" s="170"/>
      <c r="N1412" s="170"/>
      <c r="O1412" s="176"/>
      <c r="P1412" s="173"/>
      <c r="Q1412" s="177"/>
      <c r="R1412" s="178"/>
      <c r="S1412" s="178"/>
      <c r="T1412" s="179"/>
      <c r="U1412" s="179"/>
      <c r="V1412" s="179"/>
      <c r="W1412" s="176"/>
      <c r="X1412" s="180"/>
      <c r="Y1412" s="170"/>
      <c r="Z1412" s="170"/>
    </row>
    <row r="1413" spans="1:26">
      <c r="A1413" s="170"/>
      <c r="B1413" s="171"/>
      <c r="C1413" s="170"/>
      <c r="D1413" s="172"/>
      <c r="E1413" s="172"/>
      <c r="F1413" s="173"/>
      <c r="G1413" s="172"/>
      <c r="H1413" s="172"/>
      <c r="I1413" s="174"/>
      <c r="J1413" s="174"/>
      <c r="K1413" s="175"/>
      <c r="L1413" s="175"/>
      <c r="M1413" s="170"/>
      <c r="N1413" s="170"/>
      <c r="O1413" s="176"/>
      <c r="P1413" s="173"/>
      <c r="Q1413" s="177"/>
      <c r="R1413" s="178"/>
      <c r="S1413" s="178"/>
      <c r="T1413" s="179"/>
      <c r="U1413" s="179"/>
      <c r="V1413" s="179"/>
      <c r="W1413" s="176"/>
      <c r="X1413" s="180"/>
      <c r="Y1413" s="170"/>
      <c r="Z1413" s="170"/>
    </row>
    <row r="1414" spans="1:26">
      <c r="A1414" s="170"/>
      <c r="B1414" s="171"/>
      <c r="C1414" s="170"/>
      <c r="D1414" s="172"/>
      <c r="E1414" s="172"/>
      <c r="F1414" s="173"/>
      <c r="G1414" s="172"/>
      <c r="H1414" s="172"/>
      <c r="I1414" s="174"/>
      <c r="J1414" s="174"/>
      <c r="K1414" s="175"/>
      <c r="L1414" s="175"/>
      <c r="M1414" s="170"/>
      <c r="N1414" s="170"/>
      <c r="O1414" s="176"/>
      <c r="P1414" s="173"/>
      <c r="Q1414" s="177"/>
      <c r="R1414" s="178"/>
      <c r="S1414" s="178"/>
      <c r="T1414" s="179"/>
      <c r="U1414" s="179"/>
      <c r="V1414" s="179"/>
      <c r="W1414" s="176"/>
      <c r="X1414" s="180"/>
      <c r="Y1414" s="170"/>
      <c r="Z1414" s="170"/>
    </row>
    <row r="1415" spans="1:26">
      <c r="A1415" s="170"/>
      <c r="B1415" s="171"/>
      <c r="C1415" s="170"/>
      <c r="D1415" s="172"/>
      <c r="E1415" s="172"/>
      <c r="F1415" s="173"/>
      <c r="G1415" s="172"/>
      <c r="H1415" s="172"/>
      <c r="I1415" s="174"/>
      <c r="J1415" s="174"/>
      <c r="K1415" s="175"/>
      <c r="L1415" s="175"/>
      <c r="M1415" s="170"/>
      <c r="N1415" s="170"/>
      <c r="O1415" s="176"/>
      <c r="P1415" s="173"/>
      <c r="Q1415" s="177"/>
      <c r="R1415" s="178"/>
      <c r="S1415" s="178"/>
      <c r="T1415" s="179"/>
      <c r="U1415" s="179"/>
      <c r="V1415" s="179"/>
      <c r="W1415" s="176"/>
      <c r="X1415" s="180"/>
      <c r="Y1415" s="170"/>
      <c r="Z1415" s="170"/>
    </row>
    <row r="1416" spans="1:26">
      <c r="A1416" s="170"/>
      <c r="B1416" s="171"/>
      <c r="C1416" s="170"/>
      <c r="D1416" s="172"/>
      <c r="E1416" s="172"/>
      <c r="F1416" s="173"/>
      <c r="G1416" s="172"/>
      <c r="H1416" s="172"/>
      <c r="I1416" s="174"/>
      <c r="J1416" s="174"/>
      <c r="K1416" s="175"/>
      <c r="L1416" s="175"/>
      <c r="M1416" s="170"/>
      <c r="N1416" s="170"/>
      <c r="O1416" s="176"/>
      <c r="P1416" s="173"/>
      <c r="Q1416" s="177"/>
      <c r="R1416" s="178"/>
      <c r="S1416" s="178"/>
      <c r="T1416" s="179"/>
      <c r="U1416" s="179"/>
      <c r="V1416" s="179"/>
      <c r="W1416" s="176"/>
      <c r="X1416" s="180"/>
      <c r="Y1416" s="170"/>
      <c r="Z1416" s="170"/>
    </row>
    <row r="1417" spans="1:26">
      <c r="A1417" s="170"/>
      <c r="B1417" s="171"/>
      <c r="C1417" s="170"/>
      <c r="D1417" s="172"/>
      <c r="E1417" s="172"/>
      <c r="F1417" s="173"/>
      <c r="G1417" s="172"/>
      <c r="H1417" s="172"/>
      <c r="I1417" s="174"/>
      <c r="J1417" s="174"/>
      <c r="K1417" s="175"/>
      <c r="L1417" s="175"/>
      <c r="M1417" s="170"/>
      <c r="N1417" s="170"/>
      <c r="O1417" s="176"/>
      <c r="P1417" s="173"/>
      <c r="Q1417" s="177"/>
      <c r="R1417" s="178"/>
      <c r="S1417" s="178"/>
      <c r="T1417" s="179"/>
      <c r="U1417" s="179"/>
      <c r="V1417" s="179"/>
      <c r="W1417" s="176"/>
      <c r="X1417" s="180"/>
      <c r="Y1417" s="170"/>
      <c r="Z1417" s="170"/>
    </row>
    <row r="1418" spans="1:26">
      <c r="A1418" s="170"/>
      <c r="B1418" s="171"/>
      <c r="C1418" s="170"/>
      <c r="D1418" s="172"/>
      <c r="E1418" s="172"/>
      <c r="F1418" s="173"/>
      <c r="G1418" s="172"/>
      <c r="H1418" s="172"/>
      <c r="I1418" s="174"/>
      <c r="J1418" s="174"/>
      <c r="K1418" s="175"/>
      <c r="L1418" s="175"/>
      <c r="M1418" s="170"/>
      <c r="N1418" s="170"/>
      <c r="O1418" s="176"/>
      <c r="P1418" s="173"/>
      <c r="Q1418" s="177"/>
      <c r="R1418" s="178"/>
      <c r="S1418" s="178"/>
      <c r="T1418" s="179"/>
      <c r="U1418" s="179"/>
      <c r="V1418" s="179"/>
      <c r="W1418" s="176"/>
      <c r="X1418" s="180"/>
      <c r="Y1418" s="170"/>
      <c r="Z1418" s="170"/>
    </row>
    <row r="1419" spans="1:26">
      <c r="A1419" s="170"/>
      <c r="B1419" s="171"/>
      <c r="C1419" s="170"/>
      <c r="D1419" s="172"/>
      <c r="E1419" s="172"/>
      <c r="F1419" s="173"/>
      <c r="G1419" s="172"/>
      <c r="H1419" s="172"/>
      <c r="I1419" s="174"/>
      <c r="J1419" s="174"/>
      <c r="K1419" s="175"/>
      <c r="L1419" s="175"/>
      <c r="M1419" s="170"/>
      <c r="N1419" s="170"/>
      <c r="O1419" s="176"/>
      <c r="P1419" s="173"/>
      <c r="Q1419" s="177"/>
      <c r="R1419" s="178"/>
      <c r="S1419" s="178"/>
      <c r="T1419" s="179"/>
      <c r="U1419" s="179"/>
      <c r="V1419" s="179"/>
      <c r="W1419" s="176"/>
      <c r="X1419" s="180"/>
      <c r="Y1419" s="170"/>
      <c r="Z1419" s="170"/>
    </row>
    <row r="1420" spans="1:26">
      <c r="A1420" s="170"/>
      <c r="B1420" s="171"/>
      <c r="C1420" s="170"/>
      <c r="D1420" s="172"/>
      <c r="E1420" s="172"/>
      <c r="F1420" s="173"/>
      <c r="G1420" s="172"/>
      <c r="H1420" s="172"/>
      <c r="I1420" s="174"/>
      <c r="J1420" s="174"/>
      <c r="K1420" s="175"/>
      <c r="L1420" s="175"/>
      <c r="M1420" s="170"/>
      <c r="N1420" s="170"/>
      <c r="O1420" s="176"/>
      <c r="P1420" s="173"/>
      <c r="Q1420" s="177"/>
      <c r="R1420" s="178"/>
      <c r="S1420" s="178"/>
      <c r="T1420" s="179"/>
      <c r="U1420" s="179"/>
      <c r="V1420" s="179"/>
      <c r="W1420" s="176"/>
      <c r="X1420" s="180"/>
      <c r="Y1420" s="170"/>
      <c r="Z1420" s="170"/>
    </row>
    <row r="1421" spans="1:26">
      <c r="A1421" s="170"/>
      <c r="B1421" s="171"/>
      <c r="C1421" s="170"/>
      <c r="D1421" s="172"/>
      <c r="E1421" s="172"/>
      <c r="F1421" s="173"/>
      <c r="G1421" s="172"/>
      <c r="H1421" s="172"/>
      <c r="I1421" s="174"/>
      <c r="J1421" s="174"/>
      <c r="K1421" s="175"/>
      <c r="L1421" s="175"/>
      <c r="M1421" s="170"/>
      <c r="N1421" s="170"/>
      <c r="O1421" s="176"/>
      <c r="P1421" s="173"/>
      <c r="Q1421" s="177"/>
      <c r="R1421" s="178"/>
      <c r="S1421" s="178"/>
      <c r="T1421" s="179"/>
      <c r="U1421" s="179"/>
      <c r="V1421" s="179"/>
      <c r="W1421" s="176"/>
      <c r="X1421" s="180"/>
      <c r="Y1421" s="170"/>
      <c r="Z1421" s="170"/>
    </row>
    <row r="1422" spans="1:26">
      <c r="A1422" s="170"/>
      <c r="B1422" s="171"/>
      <c r="C1422" s="170"/>
      <c r="D1422" s="172"/>
      <c r="E1422" s="172"/>
      <c r="F1422" s="173"/>
      <c r="G1422" s="172"/>
      <c r="H1422" s="172"/>
      <c r="I1422" s="174"/>
      <c r="J1422" s="174"/>
      <c r="K1422" s="175"/>
      <c r="L1422" s="175"/>
      <c r="M1422" s="170"/>
      <c r="N1422" s="170"/>
      <c r="O1422" s="176"/>
      <c r="P1422" s="173"/>
      <c r="Q1422" s="177"/>
      <c r="R1422" s="178"/>
      <c r="S1422" s="178"/>
      <c r="T1422" s="179"/>
      <c r="U1422" s="179"/>
      <c r="V1422" s="179"/>
      <c r="W1422" s="176"/>
      <c r="X1422" s="180"/>
      <c r="Y1422" s="170"/>
      <c r="Z1422" s="170"/>
    </row>
    <row r="1423" spans="1:26">
      <c r="A1423" s="170"/>
      <c r="B1423" s="171"/>
      <c r="C1423" s="170"/>
      <c r="D1423" s="172"/>
      <c r="E1423" s="172"/>
      <c r="F1423" s="173"/>
      <c r="G1423" s="172"/>
      <c r="H1423" s="172"/>
      <c r="I1423" s="174"/>
      <c r="J1423" s="174"/>
      <c r="K1423" s="175"/>
      <c r="L1423" s="175"/>
      <c r="M1423" s="170"/>
      <c r="N1423" s="170"/>
      <c r="O1423" s="176"/>
      <c r="P1423" s="173"/>
      <c r="Q1423" s="177"/>
      <c r="R1423" s="178"/>
      <c r="S1423" s="178"/>
      <c r="T1423" s="179"/>
      <c r="U1423" s="179"/>
      <c r="V1423" s="179"/>
      <c r="W1423" s="176"/>
      <c r="X1423" s="180"/>
      <c r="Y1423" s="170"/>
      <c r="Z1423" s="170"/>
    </row>
    <row r="1424" spans="1:26">
      <c r="A1424" s="170"/>
      <c r="B1424" s="171"/>
      <c r="C1424" s="170"/>
      <c r="D1424" s="172"/>
      <c r="E1424" s="172"/>
      <c r="F1424" s="173"/>
      <c r="G1424" s="172"/>
      <c r="H1424" s="172"/>
      <c r="I1424" s="174"/>
      <c r="J1424" s="174"/>
      <c r="K1424" s="175"/>
      <c r="L1424" s="175"/>
      <c r="M1424" s="170"/>
      <c r="N1424" s="170"/>
      <c r="O1424" s="176"/>
      <c r="P1424" s="173"/>
      <c r="Q1424" s="177"/>
      <c r="R1424" s="178"/>
      <c r="S1424" s="178"/>
      <c r="T1424" s="179"/>
      <c r="U1424" s="179"/>
      <c r="V1424" s="179"/>
      <c r="W1424" s="176"/>
      <c r="X1424" s="180"/>
      <c r="Y1424" s="170"/>
      <c r="Z1424" s="170"/>
    </row>
    <row r="1425" spans="1:26">
      <c r="A1425" s="170"/>
      <c r="B1425" s="171"/>
      <c r="C1425" s="170"/>
      <c r="D1425" s="172"/>
      <c r="E1425" s="172"/>
      <c r="F1425" s="173"/>
      <c r="G1425" s="172"/>
      <c r="H1425" s="172"/>
      <c r="I1425" s="174"/>
      <c r="J1425" s="174"/>
      <c r="K1425" s="175"/>
      <c r="L1425" s="175"/>
      <c r="M1425" s="170"/>
      <c r="N1425" s="170"/>
      <c r="O1425" s="176"/>
      <c r="P1425" s="173"/>
      <c r="Q1425" s="177"/>
      <c r="R1425" s="178"/>
      <c r="S1425" s="178"/>
      <c r="T1425" s="179"/>
      <c r="U1425" s="179"/>
      <c r="V1425" s="179"/>
      <c r="W1425" s="176"/>
      <c r="X1425" s="180"/>
      <c r="Y1425" s="170"/>
      <c r="Z1425" s="170"/>
    </row>
    <row r="1426" spans="1:26">
      <c r="A1426" s="170"/>
      <c r="B1426" s="171"/>
      <c r="C1426" s="170"/>
      <c r="D1426" s="172"/>
      <c r="E1426" s="172"/>
      <c r="F1426" s="173"/>
      <c r="G1426" s="172"/>
      <c r="H1426" s="172"/>
      <c r="I1426" s="174"/>
      <c r="J1426" s="174"/>
      <c r="K1426" s="175"/>
      <c r="L1426" s="175"/>
      <c r="M1426" s="170"/>
      <c r="N1426" s="170"/>
      <c r="O1426" s="176"/>
      <c r="P1426" s="173"/>
      <c r="Q1426" s="177"/>
      <c r="R1426" s="178"/>
      <c r="S1426" s="178"/>
      <c r="T1426" s="179"/>
      <c r="U1426" s="179"/>
      <c r="V1426" s="179"/>
      <c r="W1426" s="176"/>
      <c r="X1426" s="180"/>
      <c r="Y1426" s="170"/>
      <c r="Z1426" s="170"/>
    </row>
    <row r="1427" spans="1:26">
      <c r="A1427" s="170"/>
      <c r="B1427" s="171"/>
      <c r="C1427" s="170"/>
      <c r="D1427" s="172"/>
      <c r="E1427" s="172"/>
      <c r="F1427" s="173"/>
      <c r="G1427" s="172"/>
      <c r="H1427" s="172"/>
      <c r="I1427" s="174"/>
      <c r="J1427" s="174"/>
      <c r="K1427" s="175"/>
      <c r="L1427" s="175"/>
      <c r="M1427" s="170"/>
      <c r="N1427" s="170"/>
      <c r="O1427" s="176"/>
      <c r="P1427" s="173"/>
      <c r="Q1427" s="177"/>
      <c r="R1427" s="178"/>
      <c r="S1427" s="178"/>
      <c r="T1427" s="179"/>
      <c r="U1427" s="179"/>
      <c r="V1427" s="179"/>
      <c r="W1427" s="176"/>
      <c r="X1427" s="180"/>
      <c r="Y1427" s="170"/>
      <c r="Z1427" s="170"/>
    </row>
    <row r="1428" spans="1:26">
      <c r="A1428" s="170"/>
      <c r="B1428" s="171"/>
      <c r="C1428" s="170"/>
      <c r="D1428" s="172"/>
      <c r="E1428" s="172"/>
      <c r="F1428" s="173"/>
      <c r="G1428" s="172"/>
      <c r="H1428" s="172"/>
      <c r="I1428" s="174"/>
      <c r="J1428" s="174"/>
      <c r="K1428" s="175"/>
      <c r="L1428" s="175"/>
      <c r="M1428" s="170"/>
      <c r="N1428" s="170"/>
      <c r="O1428" s="176"/>
      <c r="P1428" s="173"/>
      <c r="Q1428" s="177"/>
      <c r="R1428" s="178"/>
      <c r="S1428" s="178"/>
      <c r="T1428" s="179"/>
      <c r="U1428" s="179"/>
      <c r="V1428" s="179"/>
      <c r="W1428" s="176"/>
      <c r="X1428" s="180"/>
      <c r="Y1428" s="170"/>
      <c r="Z1428" s="170"/>
    </row>
    <row r="1429" spans="1:26">
      <c r="A1429" s="170"/>
      <c r="B1429" s="171"/>
      <c r="C1429" s="170"/>
      <c r="D1429" s="172"/>
      <c r="E1429" s="172"/>
      <c r="F1429" s="173"/>
      <c r="G1429" s="172"/>
      <c r="H1429" s="172"/>
      <c r="I1429" s="174"/>
      <c r="J1429" s="174"/>
      <c r="K1429" s="175"/>
      <c r="L1429" s="175"/>
      <c r="M1429" s="170"/>
      <c r="N1429" s="170"/>
      <c r="O1429" s="176"/>
      <c r="P1429" s="173"/>
      <c r="Q1429" s="177"/>
      <c r="R1429" s="178"/>
      <c r="S1429" s="178"/>
      <c r="T1429" s="179"/>
      <c r="U1429" s="179"/>
      <c r="V1429" s="179"/>
      <c r="W1429" s="176"/>
      <c r="X1429" s="180"/>
      <c r="Y1429" s="170"/>
      <c r="Z1429" s="170"/>
    </row>
    <row r="1430" spans="1:26">
      <c r="A1430" s="170"/>
      <c r="B1430" s="171"/>
      <c r="C1430" s="170"/>
      <c r="D1430" s="172"/>
      <c r="E1430" s="172"/>
      <c r="F1430" s="173"/>
      <c r="G1430" s="172"/>
      <c r="H1430" s="172"/>
      <c r="I1430" s="174"/>
      <c r="J1430" s="174"/>
      <c r="K1430" s="175"/>
      <c r="L1430" s="175"/>
      <c r="M1430" s="170"/>
      <c r="N1430" s="170"/>
      <c r="O1430" s="176"/>
      <c r="P1430" s="173"/>
      <c r="Q1430" s="177"/>
      <c r="R1430" s="178"/>
      <c r="S1430" s="178"/>
      <c r="T1430" s="179"/>
      <c r="U1430" s="179"/>
      <c r="V1430" s="179"/>
      <c r="W1430" s="176"/>
      <c r="X1430" s="180"/>
      <c r="Y1430" s="170"/>
      <c r="Z1430" s="170"/>
    </row>
    <row r="1431" spans="1:26">
      <c r="A1431" s="170"/>
      <c r="B1431" s="171"/>
      <c r="C1431" s="170"/>
      <c r="D1431" s="172"/>
      <c r="E1431" s="172"/>
      <c r="F1431" s="173"/>
      <c r="G1431" s="172"/>
      <c r="H1431" s="172"/>
      <c r="I1431" s="174"/>
      <c r="J1431" s="174"/>
      <c r="K1431" s="175"/>
      <c r="L1431" s="175"/>
      <c r="M1431" s="170"/>
      <c r="N1431" s="170"/>
      <c r="O1431" s="176"/>
      <c r="P1431" s="173"/>
      <c r="Q1431" s="177"/>
      <c r="R1431" s="178"/>
      <c r="S1431" s="178"/>
      <c r="T1431" s="179"/>
      <c r="U1431" s="179"/>
      <c r="V1431" s="179"/>
      <c r="W1431" s="176"/>
      <c r="X1431" s="180"/>
      <c r="Y1431" s="170"/>
      <c r="Z1431" s="170"/>
    </row>
    <row r="1432" spans="1:26">
      <c r="A1432" s="170"/>
      <c r="B1432" s="171"/>
      <c r="C1432" s="170"/>
      <c r="D1432" s="172"/>
      <c r="E1432" s="172"/>
      <c r="F1432" s="173"/>
      <c r="G1432" s="172"/>
      <c r="H1432" s="172"/>
      <c r="I1432" s="174"/>
      <c r="J1432" s="174"/>
      <c r="K1432" s="175"/>
      <c r="L1432" s="175"/>
      <c r="M1432" s="170"/>
      <c r="N1432" s="170"/>
      <c r="O1432" s="176"/>
      <c r="P1432" s="173"/>
      <c r="Q1432" s="177"/>
      <c r="R1432" s="178"/>
      <c r="S1432" s="178"/>
      <c r="T1432" s="179"/>
      <c r="U1432" s="179"/>
      <c r="V1432" s="179"/>
      <c r="W1432" s="176"/>
      <c r="X1432" s="180"/>
      <c r="Y1432" s="170"/>
      <c r="Z1432" s="170"/>
    </row>
    <row r="1433" spans="1:26">
      <c r="A1433" s="170"/>
      <c r="B1433" s="171"/>
      <c r="C1433" s="170"/>
      <c r="D1433" s="172"/>
      <c r="E1433" s="172"/>
      <c r="F1433" s="173"/>
      <c r="G1433" s="172"/>
      <c r="H1433" s="172"/>
      <c r="I1433" s="174"/>
      <c r="J1433" s="174"/>
      <c r="K1433" s="175"/>
      <c r="L1433" s="175"/>
      <c r="M1433" s="170"/>
      <c r="N1433" s="170"/>
      <c r="O1433" s="176"/>
      <c r="P1433" s="173"/>
      <c r="Q1433" s="177"/>
      <c r="R1433" s="178"/>
      <c r="S1433" s="178"/>
      <c r="T1433" s="179"/>
      <c r="U1433" s="179"/>
      <c r="V1433" s="179"/>
      <c r="W1433" s="176"/>
      <c r="X1433" s="180"/>
      <c r="Y1433" s="170"/>
      <c r="Z1433" s="170"/>
    </row>
    <row r="1434" spans="1:26">
      <c r="A1434" s="170"/>
      <c r="B1434" s="171"/>
      <c r="C1434" s="170"/>
      <c r="D1434" s="172"/>
      <c r="E1434" s="172"/>
      <c r="F1434" s="173"/>
      <c r="G1434" s="172"/>
      <c r="H1434" s="172"/>
      <c r="I1434" s="174"/>
      <c r="J1434" s="174"/>
      <c r="K1434" s="175"/>
      <c r="L1434" s="175"/>
      <c r="M1434" s="170"/>
      <c r="N1434" s="170"/>
      <c r="O1434" s="176"/>
      <c r="P1434" s="173"/>
      <c r="Q1434" s="177"/>
      <c r="R1434" s="178"/>
      <c r="S1434" s="178"/>
      <c r="T1434" s="179"/>
      <c r="U1434" s="179"/>
      <c r="V1434" s="179"/>
      <c r="W1434" s="176"/>
      <c r="X1434" s="180"/>
      <c r="Y1434" s="170"/>
      <c r="Z1434" s="170"/>
    </row>
    <row r="1435" spans="1:26">
      <c r="A1435" s="170"/>
      <c r="B1435" s="171"/>
      <c r="C1435" s="170"/>
      <c r="D1435" s="172"/>
      <c r="E1435" s="172"/>
      <c r="F1435" s="173"/>
      <c r="G1435" s="172"/>
      <c r="H1435" s="172"/>
      <c r="I1435" s="174"/>
      <c r="J1435" s="174"/>
      <c r="K1435" s="175"/>
      <c r="L1435" s="175"/>
      <c r="M1435" s="170"/>
      <c r="N1435" s="170"/>
      <c r="O1435" s="176"/>
      <c r="P1435" s="173"/>
      <c r="Q1435" s="177"/>
      <c r="R1435" s="178"/>
      <c r="S1435" s="178"/>
      <c r="T1435" s="179"/>
      <c r="U1435" s="179"/>
      <c r="V1435" s="179"/>
      <c r="W1435" s="176"/>
      <c r="X1435" s="180"/>
      <c r="Y1435" s="170"/>
      <c r="Z1435" s="170"/>
    </row>
    <row r="1436" spans="1:26">
      <c r="A1436" s="170"/>
      <c r="B1436" s="171"/>
      <c r="C1436" s="170"/>
      <c r="D1436" s="172"/>
      <c r="E1436" s="172"/>
      <c r="F1436" s="173"/>
      <c r="G1436" s="172"/>
      <c r="H1436" s="172"/>
      <c r="I1436" s="174"/>
      <c r="J1436" s="174"/>
      <c r="K1436" s="175"/>
      <c r="L1436" s="175"/>
      <c r="M1436" s="170"/>
      <c r="N1436" s="170"/>
      <c r="O1436" s="176"/>
      <c r="P1436" s="173"/>
      <c r="Q1436" s="177"/>
      <c r="R1436" s="178"/>
      <c r="S1436" s="178"/>
      <c r="T1436" s="179"/>
      <c r="U1436" s="179"/>
      <c r="V1436" s="179"/>
      <c r="W1436" s="176"/>
      <c r="X1436" s="180"/>
      <c r="Y1436" s="170"/>
      <c r="Z1436" s="170"/>
    </row>
    <row r="1437" spans="1:26">
      <c r="A1437" s="170"/>
      <c r="B1437" s="171"/>
      <c r="C1437" s="170"/>
      <c r="D1437" s="172"/>
      <c r="E1437" s="172"/>
      <c r="F1437" s="173"/>
      <c r="G1437" s="172"/>
      <c r="H1437" s="172"/>
      <c r="I1437" s="174"/>
      <c r="J1437" s="174"/>
      <c r="K1437" s="175"/>
      <c r="L1437" s="175"/>
      <c r="M1437" s="170"/>
      <c r="N1437" s="170"/>
      <c r="O1437" s="176"/>
      <c r="P1437" s="173"/>
      <c r="Q1437" s="177"/>
      <c r="R1437" s="178"/>
      <c r="S1437" s="178"/>
      <c r="T1437" s="179"/>
      <c r="U1437" s="179"/>
      <c r="V1437" s="179"/>
      <c r="W1437" s="176"/>
      <c r="X1437" s="180"/>
      <c r="Y1437" s="170"/>
      <c r="Z1437" s="170"/>
    </row>
    <row r="1438" spans="1:26">
      <c r="A1438" s="170"/>
      <c r="B1438" s="171"/>
      <c r="C1438" s="170"/>
      <c r="D1438" s="172"/>
      <c r="E1438" s="172"/>
      <c r="F1438" s="173"/>
      <c r="G1438" s="172"/>
      <c r="H1438" s="172"/>
      <c r="I1438" s="174"/>
      <c r="J1438" s="174"/>
      <c r="K1438" s="175"/>
      <c r="L1438" s="175"/>
      <c r="M1438" s="170"/>
      <c r="N1438" s="170"/>
      <c r="O1438" s="176"/>
      <c r="P1438" s="173"/>
      <c r="Q1438" s="177"/>
      <c r="R1438" s="178"/>
      <c r="S1438" s="178"/>
      <c r="T1438" s="179"/>
      <c r="U1438" s="179"/>
      <c r="V1438" s="179"/>
      <c r="W1438" s="176"/>
      <c r="X1438" s="180"/>
      <c r="Y1438" s="170"/>
      <c r="Z1438" s="170"/>
    </row>
    <row r="1439" spans="1:26">
      <c r="A1439" s="170"/>
      <c r="B1439" s="171"/>
      <c r="C1439" s="170"/>
      <c r="D1439" s="172"/>
      <c r="E1439" s="172"/>
      <c r="F1439" s="173"/>
      <c r="G1439" s="172"/>
      <c r="H1439" s="172"/>
      <c r="I1439" s="174"/>
      <c r="J1439" s="174"/>
      <c r="K1439" s="175"/>
      <c r="L1439" s="175"/>
      <c r="M1439" s="170"/>
      <c r="N1439" s="170"/>
      <c r="O1439" s="176"/>
      <c r="P1439" s="173"/>
      <c r="Q1439" s="177"/>
      <c r="R1439" s="178"/>
      <c r="S1439" s="178"/>
      <c r="T1439" s="179"/>
      <c r="U1439" s="179"/>
      <c r="V1439" s="179"/>
      <c r="W1439" s="176"/>
      <c r="X1439" s="180"/>
      <c r="Y1439" s="170"/>
      <c r="Z1439" s="170"/>
    </row>
    <row r="1440" spans="1:26">
      <c r="A1440" s="170"/>
      <c r="B1440" s="171"/>
      <c r="C1440" s="170"/>
      <c r="D1440" s="172"/>
      <c r="E1440" s="172"/>
      <c r="F1440" s="173"/>
      <c r="G1440" s="172"/>
      <c r="H1440" s="172"/>
      <c r="I1440" s="174"/>
      <c r="J1440" s="174"/>
      <c r="K1440" s="175"/>
      <c r="L1440" s="175"/>
      <c r="M1440" s="170"/>
      <c r="N1440" s="170"/>
      <c r="O1440" s="176"/>
      <c r="P1440" s="173"/>
      <c r="Q1440" s="177"/>
      <c r="R1440" s="178"/>
      <c r="S1440" s="178"/>
      <c r="T1440" s="179"/>
      <c r="U1440" s="179"/>
      <c r="V1440" s="179"/>
      <c r="W1440" s="176"/>
      <c r="X1440" s="180"/>
      <c r="Y1440" s="170"/>
      <c r="Z1440" s="170"/>
    </row>
    <row r="1441" spans="1:26">
      <c r="A1441" s="170"/>
      <c r="B1441" s="171"/>
      <c r="C1441" s="170"/>
      <c r="D1441" s="172"/>
      <c r="E1441" s="172"/>
      <c r="F1441" s="173"/>
      <c r="G1441" s="172"/>
      <c r="H1441" s="172"/>
      <c r="I1441" s="174"/>
      <c r="J1441" s="174"/>
      <c r="K1441" s="175"/>
      <c r="L1441" s="175"/>
      <c r="M1441" s="170"/>
      <c r="N1441" s="170"/>
      <c r="O1441" s="176"/>
      <c r="P1441" s="173"/>
      <c r="Q1441" s="177"/>
      <c r="R1441" s="178"/>
      <c r="S1441" s="178"/>
      <c r="T1441" s="179"/>
      <c r="U1441" s="179"/>
      <c r="V1441" s="179"/>
      <c r="W1441" s="176"/>
      <c r="X1441" s="180"/>
      <c r="Y1441" s="170"/>
      <c r="Z1441" s="170"/>
    </row>
    <row r="1442" spans="1:26">
      <c r="A1442" s="170"/>
      <c r="B1442" s="171"/>
      <c r="C1442" s="170"/>
      <c r="D1442" s="172"/>
      <c r="E1442" s="172"/>
      <c r="F1442" s="173"/>
      <c r="G1442" s="172"/>
      <c r="H1442" s="172"/>
      <c r="I1442" s="174"/>
      <c r="J1442" s="174"/>
      <c r="K1442" s="175"/>
      <c r="L1442" s="175"/>
      <c r="M1442" s="170"/>
      <c r="N1442" s="170"/>
      <c r="O1442" s="176"/>
      <c r="P1442" s="173"/>
      <c r="Q1442" s="177"/>
      <c r="R1442" s="178"/>
      <c r="S1442" s="178"/>
      <c r="T1442" s="179"/>
      <c r="U1442" s="179"/>
      <c r="V1442" s="179"/>
      <c r="W1442" s="176"/>
      <c r="X1442" s="180"/>
      <c r="Y1442" s="170"/>
      <c r="Z1442" s="170"/>
    </row>
    <row r="1443" spans="1:26">
      <c r="A1443" s="170"/>
      <c r="B1443" s="171"/>
      <c r="C1443" s="170"/>
      <c r="D1443" s="172"/>
      <c r="E1443" s="172"/>
      <c r="F1443" s="173"/>
      <c r="G1443" s="172"/>
      <c r="H1443" s="172"/>
      <c r="I1443" s="174"/>
      <c r="J1443" s="174"/>
      <c r="K1443" s="175"/>
      <c r="L1443" s="175"/>
      <c r="M1443" s="170"/>
      <c r="N1443" s="170"/>
      <c r="O1443" s="176"/>
      <c r="P1443" s="173"/>
      <c r="Q1443" s="177"/>
      <c r="R1443" s="178"/>
      <c r="S1443" s="178"/>
      <c r="T1443" s="179"/>
      <c r="U1443" s="179"/>
      <c r="V1443" s="179"/>
      <c r="W1443" s="176"/>
      <c r="X1443" s="180"/>
      <c r="Y1443" s="170"/>
      <c r="Z1443" s="170"/>
    </row>
    <row r="1444" spans="1:26">
      <c r="A1444" s="170"/>
      <c r="B1444" s="171"/>
      <c r="C1444" s="170"/>
      <c r="D1444" s="172"/>
      <c r="E1444" s="172"/>
      <c r="F1444" s="173"/>
      <c r="G1444" s="172"/>
      <c r="H1444" s="172"/>
      <c r="I1444" s="174"/>
      <c r="J1444" s="174"/>
      <c r="K1444" s="175"/>
      <c r="L1444" s="175"/>
      <c r="M1444" s="170"/>
      <c r="N1444" s="170"/>
      <c r="O1444" s="176"/>
      <c r="P1444" s="173"/>
      <c r="Q1444" s="177"/>
      <c r="R1444" s="178"/>
      <c r="S1444" s="178"/>
      <c r="T1444" s="179"/>
      <c r="U1444" s="179"/>
      <c r="V1444" s="179"/>
      <c r="W1444" s="176"/>
      <c r="X1444" s="180"/>
      <c r="Y1444" s="170"/>
      <c r="Z1444" s="170"/>
    </row>
    <row r="1445" spans="1:26">
      <c r="A1445" s="170"/>
      <c r="B1445" s="171"/>
      <c r="C1445" s="170"/>
      <c r="D1445" s="172"/>
      <c r="E1445" s="172"/>
      <c r="F1445" s="173"/>
      <c r="G1445" s="172"/>
      <c r="H1445" s="172"/>
      <c r="I1445" s="174"/>
      <c r="J1445" s="174"/>
      <c r="K1445" s="175"/>
      <c r="L1445" s="175"/>
      <c r="M1445" s="170"/>
      <c r="N1445" s="170"/>
      <c r="O1445" s="176"/>
      <c r="P1445" s="173"/>
      <c r="Q1445" s="177"/>
      <c r="R1445" s="178"/>
      <c r="S1445" s="178"/>
      <c r="T1445" s="179"/>
      <c r="U1445" s="179"/>
      <c r="V1445" s="179"/>
      <c r="W1445" s="176"/>
      <c r="X1445" s="180"/>
      <c r="Y1445" s="170"/>
      <c r="Z1445" s="170"/>
    </row>
    <row r="1446" spans="1:26">
      <c r="A1446" s="170"/>
      <c r="B1446" s="171"/>
      <c r="C1446" s="170"/>
      <c r="D1446" s="172"/>
      <c r="E1446" s="172"/>
      <c r="F1446" s="173"/>
      <c r="G1446" s="172"/>
      <c r="H1446" s="172"/>
      <c r="I1446" s="174"/>
      <c r="J1446" s="174"/>
      <c r="K1446" s="175"/>
      <c r="L1446" s="175"/>
      <c r="M1446" s="170"/>
      <c r="N1446" s="170"/>
      <c r="O1446" s="176"/>
      <c r="P1446" s="173"/>
      <c r="Q1446" s="177"/>
      <c r="R1446" s="178"/>
      <c r="S1446" s="178"/>
      <c r="T1446" s="179"/>
      <c r="U1446" s="179"/>
      <c r="V1446" s="179"/>
      <c r="W1446" s="176"/>
      <c r="X1446" s="180"/>
      <c r="Y1446" s="170"/>
      <c r="Z1446" s="170"/>
    </row>
    <row r="1447" spans="1:26">
      <c r="A1447" s="170"/>
      <c r="B1447" s="171"/>
      <c r="C1447" s="170"/>
      <c r="D1447" s="172"/>
      <c r="E1447" s="172"/>
      <c r="F1447" s="173"/>
      <c r="G1447" s="172"/>
      <c r="H1447" s="172"/>
      <c r="I1447" s="174"/>
      <c r="J1447" s="174"/>
      <c r="K1447" s="175"/>
      <c r="L1447" s="175"/>
      <c r="M1447" s="170"/>
      <c r="N1447" s="170"/>
      <c r="O1447" s="176"/>
      <c r="P1447" s="173"/>
      <c r="Q1447" s="177"/>
      <c r="R1447" s="178"/>
      <c r="S1447" s="178"/>
      <c r="T1447" s="179"/>
      <c r="U1447" s="179"/>
      <c r="V1447" s="179"/>
      <c r="W1447" s="176"/>
      <c r="X1447" s="180"/>
      <c r="Y1447" s="170"/>
      <c r="Z1447" s="170"/>
    </row>
    <row r="1448" spans="1:26">
      <c r="A1448" s="170"/>
      <c r="B1448" s="171"/>
      <c r="C1448" s="170"/>
      <c r="D1448" s="172"/>
      <c r="E1448" s="172"/>
      <c r="F1448" s="173"/>
      <c r="G1448" s="172"/>
      <c r="H1448" s="172"/>
      <c r="I1448" s="174"/>
      <c r="J1448" s="174"/>
      <c r="K1448" s="175"/>
      <c r="L1448" s="175"/>
      <c r="M1448" s="170"/>
      <c r="N1448" s="170"/>
      <c r="O1448" s="176"/>
      <c r="P1448" s="173"/>
      <c r="Q1448" s="177"/>
      <c r="R1448" s="178"/>
      <c r="S1448" s="178"/>
      <c r="T1448" s="179"/>
      <c r="U1448" s="179"/>
      <c r="V1448" s="179"/>
      <c r="W1448" s="176"/>
      <c r="X1448" s="180"/>
      <c r="Y1448" s="170"/>
      <c r="Z1448" s="170"/>
    </row>
    <row r="1449" spans="1:26">
      <c r="A1449" s="170"/>
      <c r="B1449" s="171"/>
      <c r="C1449" s="170"/>
      <c r="D1449" s="172"/>
      <c r="E1449" s="172"/>
      <c r="F1449" s="173"/>
      <c r="G1449" s="172"/>
      <c r="H1449" s="172"/>
      <c r="I1449" s="174"/>
      <c r="J1449" s="174"/>
      <c r="K1449" s="175"/>
      <c r="L1449" s="175"/>
      <c r="M1449" s="170"/>
      <c r="N1449" s="170"/>
      <c r="O1449" s="176"/>
      <c r="P1449" s="173"/>
      <c r="Q1449" s="177"/>
      <c r="R1449" s="178"/>
      <c r="S1449" s="178"/>
      <c r="T1449" s="179"/>
      <c r="U1449" s="179"/>
      <c r="V1449" s="179"/>
      <c r="W1449" s="176"/>
      <c r="X1449" s="180"/>
      <c r="Y1449" s="170"/>
      <c r="Z1449" s="170"/>
    </row>
    <row r="1450" spans="1:26">
      <c r="A1450" s="170"/>
      <c r="B1450" s="171"/>
      <c r="C1450" s="170"/>
      <c r="D1450" s="172"/>
      <c r="E1450" s="172"/>
      <c r="F1450" s="173"/>
      <c r="G1450" s="172"/>
      <c r="H1450" s="172"/>
      <c r="I1450" s="174"/>
      <c r="J1450" s="174"/>
      <c r="K1450" s="175"/>
      <c r="L1450" s="175"/>
      <c r="M1450" s="170"/>
      <c r="N1450" s="170"/>
      <c r="O1450" s="176"/>
      <c r="P1450" s="173"/>
      <c r="Q1450" s="177"/>
      <c r="R1450" s="178"/>
      <c r="S1450" s="178"/>
      <c r="T1450" s="179"/>
      <c r="U1450" s="179"/>
      <c r="V1450" s="179"/>
      <c r="W1450" s="176"/>
      <c r="X1450" s="180"/>
      <c r="Y1450" s="170"/>
      <c r="Z1450" s="170"/>
    </row>
    <row r="1451" spans="1:26">
      <c r="A1451" s="170"/>
      <c r="B1451" s="171"/>
      <c r="C1451" s="170"/>
      <c r="D1451" s="172"/>
      <c r="E1451" s="172"/>
      <c r="F1451" s="173"/>
      <c r="G1451" s="172"/>
      <c r="H1451" s="172"/>
      <c r="I1451" s="174"/>
      <c r="J1451" s="174"/>
      <c r="K1451" s="175"/>
      <c r="L1451" s="175"/>
      <c r="M1451" s="170"/>
      <c r="N1451" s="170"/>
      <c r="O1451" s="176"/>
      <c r="P1451" s="173"/>
      <c r="Q1451" s="177"/>
      <c r="R1451" s="178"/>
      <c r="S1451" s="178"/>
      <c r="T1451" s="179"/>
      <c r="U1451" s="179"/>
      <c r="V1451" s="179"/>
      <c r="W1451" s="176"/>
      <c r="X1451" s="180"/>
      <c r="Y1451" s="170"/>
      <c r="Z1451" s="170"/>
    </row>
    <row r="1452" spans="1:26">
      <c r="A1452" s="170"/>
      <c r="B1452" s="171"/>
      <c r="C1452" s="170"/>
      <c r="D1452" s="172"/>
      <c r="E1452" s="172"/>
      <c r="F1452" s="173"/>
      <c r="G1452" s="172"/>
      <c r="H1452" s="172"/>
      <c r="I1452" s="174"/>
      <c r="J1452" s="174"/>
      <c r="K1452" s="175"/>
      <c r="L1452" s="175"/>
      <c r="M1452" s="170"/>
      <c r="N1452" s="170"/>
      <c r="O1452" s="176"/>
      <c r="P1452" s="173"/>
      <c r="Q1452" s="177"/>
      <c r="R1452" s="178"/>
      <c r="S1452" s="178"/>
      <c r="T1452" s="179"/>
      <c r="U1452" s="179"/>
      <c r="V1452" s="179"/>
      <c r="W1452" s="176"/>
      <c r="X1452" s="180"/>
      <c r="Y1452" s="170"/>
      <c r="Z1452" s="170"/>
    </row>
    <row r="1453" spans="1:26">
      <c r="A1453" s="170"/>
      <c r="B1453" s="171"/>
      <c r="C1453" s="170"/>
      <c r="D1453" s="172"/>
      <c r="E1453" s="172"/>
      <c r="F1453" s="173"/>
      <c r="G1453" s="172"/>
      <c r="H1453" s="172"/>
      <c r="I1453" s="174"/>
      <c r="J1453" s="174"/>
      <c r="K1453" s="175"/>
      <c r="L1453" s="175"/>
      <c r="M1453" s="170"/>
      <c r="N1453" s="170"/>
      <c r="O1453" s="176"/>
      <c r="P1453" s="173"/>
      <c r="Q1453" s="177"/>
      <c r="R1453" s="178"/>
      <c r="S1453" s="178"/>
      <c r="T1453" s="179"/>
      <c r="U1453" s="179"/>
      <c r="V1453" s="179"/>
      <c r="W1453" s="176"/>
      <c r="X1453" s="180"/>
      <c r="Y1453" s="170"/>
      <c r="Z1453" s="170"/>
    </row>
    <row r="1454" spans="1:26">
      <c r="A1454" s="170"/>
      <c r="B1454" s="171"/>
      <c r="C1454" s="170"/>
      <c r="D1454" s="172"/>
      <c r="E1454" s="172"/>
      <c r="F1454" s="173"/>
      <c r="G1454" s="172"/>
      <c r="H1454" s="172"/>
      <c r="I1454" s="174"/>
      <c r="J1454" s="174"/>
      <c r="K1454" s="175"/>
      <c r="L1454" s="175"/>
      <c r="M1454" s="170"/>
      <c r="N1454" s="170"/>
      <c r="O1454" s="176"/>
      <c r="P1454" s="173"/>
      <c r="Q1454" s="177"/>
      <c r="R1454" s="178"/>
      <c r="S1454" s="178"/>
      <c r="T1454" s="179"/>
      <c r="U1454" s="179"/>
      <c r="V1454" s="179"/>
      <c r="W1454" s="176"/>
      <c r="X1454" s="180"/>
      <c r="Y1454" s="170"/>
      <c r="Z1454" s="170"/>
    </row>
    <row r="1455" spans="1:26">
      <c r="A1455" s="170"/>
      <c r="B1455" s="171"/>
      <c r="C1455" s="170"/>
      <c r="D1455" s="172"/>
      <c r="E1455" s="172"/>
      <c r="F1455" s="173"/>
      <c r="G1455" s="172"/>
      <c r="H1455" s="172"/>
      <c r="I1455" s="174"/>
      <c r="J1455" s="174"/>
      <c r="K1455" s="175"/>
      <c r="L1455" s="175"/>
      <c r="M1455" s="170"/>
      <c r="N1455" s="170"/>
      <c r="O1455" s="176"/>
      <c r="P1455" s="173"/>
      <c r="Q1455" s="177"/>
      <c r="R1455" s="178"/>
      <c r="S1455" s="178"/>
      <c r="T1455" s="179"/>
      <c r="U1455" s="179"/>
      <c r="V1455" s="179"/>
      <c r="W1455" s="176"/>
      <c r="X1455" s="180"/>
      <c r="Y1455" s="170"/>
      <c r="Z1455" s="170"/>
    </row>
    <row r="1456" spans="1:26">
      <c r="A1456" s="170"/>
      <c r="B1456" s="171"/>
      <c r="C1456" s="170"/>
      <c r="D1456" s="172"/>
      <c r="E1456" s="172"/>
      <c r="F1456" s="173"/>
      <c r="G1456" s="172"/>
      <c r="H1456" s="172"/>
      <c r="I1456" s="174"/>
      <c r="J1456" s="174"/>
      <c r="K1456" s="175"/>
      <c r="L1456" s="175"/>
      <c r="M1456" s="170"/>
      <c r="N1456" s="170"/>
      <c r="O1456" s="176"/>
      <c r="P1456" s="173"/>
      <c r="Q1456" s="177"/>
      <c r="R1456" s="178"/>
      <c r="S1456" s="178"/>
      <c r="T1456" s="179"/>
      <c r="U1456" s="179"/>
      <c r="V1456" s="179"/>
      <c r="W1456" s="176"/>
      <c r="X1456" s="180"/>
      <c r="Y1456" s="170"/>
      <c r="Z1456" s="170"/>
    </row>
    <row r="1457" spans="1:26">
      <c r="A1457" s="170"/>
      <c r="B1457" s="171"/>
      <c r="C1457" s="170"/>
      <c r="D1457" s="172"/>
      <c r="E1457" s="172"/>
      <c r="F1457" s="173"/>
      <c r="G1457" s="172"/>
      <c r="H1457" s="172"/>
      <c r="I1457" s="174"/>
      <c r="J1457" s="174"/>
      <c r="K1457" s="175"/>
      <c r="L1457" s="175"/>
      <c r="M1457" s="170"/>
      <c r="N1457" s="170"/>
      <c r="O1457" s="176"/>
      <c r="P1457" s="173"/>
      <c r="Q1457" s="177"/>
      <c r="R1457" s="178"/>
      <c r="S1457" s="178"/>
      <c r="T1457" s="179"/>
      <c r="U1457" s="179"/>
      <c r="V1457" s="179"/>
      <c r="W1457" s="176"/>
      <c r="X1457" s="180"/>
      <c r="Y1457" s="170"/>
      <c r="Z1457" s="170"/>
    </row>
    <row r="1458" spans="1:26">
      <c r="A1458" s="170"/>
      <c r="B1458" s="171"/>
      <c r="C1458" s="170"/>
      <c r="D1458" s="172"/>
      <c r="E1458" s="172"/>
      <c r="F1458" s="173"/>
      <c r="G1458" s="172"/>
      <c r="H1458" s="172"/>
      <c r="I1458" s="174"/>
      <c r="J1458" s="174"/>
      <c r="K1458" s="175"/>
      <c r="L1458" s="175"/>
      <c r="M1458" s="170"/>
      <c r="N1458" s="170"/>
      <c r="O1458" s="176"/>
      <c r="P1458" s="173"/>
      <c r="Q1458" s="177"/>
      <c r="R1458" s="178"/>
      <c r="S1458" s="178"/>
      <c r="T1458" s="179"/>
      <c r="U1458" s="179"/>
      <c r="V1458" s="179"/>
      <c r="W1458" s="176"/>
      <c r="X1458" s="180"/>
      <c r="Y1458" s="170"/>
      <c r="Z1458" s="170"/>
    </row>
    <row r="1459" spans="1:26">
      <c r="A1459" s="170"/>
      <c r="B1459" s="171"/>
      <c r="C1459" s="170"/>
      <c r="D1459" s="172"/>
      <c r="E1459" s="172"/>
      <c r="F1459" s="173"/>
      <c r="G1459" s="172"/>
      <c r="H1459" s="172"/>
      <c r="I1459" s="174"/>
      <c r="J1459" s="174"/>
      <c r="K1459" s="175"/>
      <c r="L1459" s="175"/>
      <c r="M1459" s="170"/>
      <c r="N1459" s="170"/>
      <c r="O1459" s="176"/>
      <c r="P1459" s="173"/>
      <c r="Q1459" s="177"/>
      <c r="R1459" s="178"/>
      <c r="S1459" s="178"/>
      <c r="T1459" s="179"/>
      <c r="U1459" s="179"/>
      <c r="V1459" s="179"/>
      <c r="W1459" s="176"/>
      <c r="X1459" s="180"/>
      <c r="Y1459" s="170"/>
      <c r="Z1459" s="170"/>
    </row>
    <row r="1460" spans="1:26">
      <c r="A1460" s="170"/>
      <c r="B1460" s="171"/>
      <c r="C1460" s="170"/>
      <c r="D1460" s="172"/>
      <c r="E1460" s="172"/>
      <c r="F1460" s="173"/>
      <c r="G1460" s="172"/>
      <c r="H1460" s="172"/>
      <c r="I1460" s="174"/>
      <c r="J1460" s="174"/>
      <c r="K1460" s="175"/>
      <c r="L1460" s="175"/>
      <c r="M1460" s="170"/>
      <c r="N1460" s="170"/>
      <c r="O1460" s="176"/>
      <c r="P1460" s="173"/>
      <c r="Q1460" s="177"/>
      <c r="R1460" s="178"/>
      <c r="S1460" s="178"/>
      <c r="T1460" s="179"/>
      <c r="U1460" s="179"/>
      <c r="V1460" s="179"/>
      <c r="W1460" s="176"/>
      <c r="X1460" s="180"/>
      <c r="Y1460" s="170"/>
      <c r="Z1460" s="170"/>
    </row>
    <row r="1461" spans="1:26">
      <c r="A1461" s="170"/>
      <c r="B1461" s="171"/>
      <c r="C1461" s="170"/>
      <c r="D1461" s="172"/>
      <c r="E1461" s="172"/>
      <c r="F1461" s="173"/>
      <c r="G1461" s="172"/>
      <c r="H1461" s="172"/>
      <c r="I1461" s="174"/>
      <c r="J1461" s="174"/>
      <c r="K1461" s="175"/>
      <c r="L1461" s="175"/>
      <c r="M1461" s="170"/>
      <c r="N1461" s="170"/>
      <c r="O1461" s="176"/>
      <c r="P1461" s="173"/>
      <c r="Q1461" s="177"/>
      <c r="R1461" s="178"/>
      <c r="S1461" s="178"/>
      <c r="T1461" s="179"/>
      <c r="U1461" s="179"/>
      <c r="V1461" s="179"/>
      <c r="W1461" s="176"/>
      <c r="X1461" s="180"/>
      <c r="Y1461" s="170"/>
      <c r="Z1461" s="170"/>
    </row>
    <row r="1462" spans="1:26">
      <c r="A1462" s="170"/>
      <c r="B1462" s="171"/>
      <c r="C1462" s="170"/>
      <c r="D1462" s="172"/>
      <c r="E1462" s="172"/>
      <c r="F1462" s="173"/>
      <c r="G1462" s="172"/>
      <c r="H1462" s="172"/>
      <c r="I1462" s="174"/>
      <c r="J1462" s="174"/>
      <c r="K1462" s="175"/>
      <c r="L1462" s="175"/>
      <c r="M1462" s="170"/>
      <c r="N1462" s="170"/>
      <c r="O1462" s="176"/>
      <c r="P1462" s="173"/>
      <c r="Q1462" s="177"/>
      <c r="R1462" s="178"/>
      <c r="S1462" s="178"/>
      <c r="T1462" s="179"/>
      <c r="U1462" s="179"/>
      <c r="V1462" s="179"/>
      <c r="W1462" s="176"/>
      <c r="X1462" s="180"/>
      <c r="Y1462" s="170"/>
      <c r="Z1462" s="170"/>
    </row>
    <row r="1463" spans="1:26">
      <c r="A1463" s="170"/>
      <c r="B1463" s="171"/>
      <c r="C1463" s="170"/>
      <c r="D1463" s="172"/>
      <c r="E1463" s="172"/>
      <c r="F1463" s="173"/>
      <c r="G1463" s="172"/>
      <c r="H1463" s="172"/>
      <c r="I1463" s="174"/>
      <c r="J1463" s="174"/>
      <c r="K1463" s="175"/>
      <c r="L1463" s="175"/>
      <c r="M1463" s="170"/>
      <c r="N1463" s="170"/>
      <c r="O1463" s="176"/>
      <c r="P1463" s="173"/>
      <c r="Q1463" s="177"/>
      <c r="R1463" s="178"/>
      <c r="S1463" s="178"/>
      <c r="T1463" s="179"/>
      <c r="U1463" s="179"/>
      <c r="V1463" s="179"/>
      <c r="W1463" s="176"/>
      <c r="X1463" s="180"/>
      <c r="Y1463" s="170"/>
      <c r="Z1463" s="170"/>
    </row>
    <row r="1464" spans="1:26">
      <c r="A1464" s="170"/>
      <c r="B1464" s="171"/>
      <c r="C1464" s="170"/>
      <c r="D1464" s="172"/>
      <c r="E1464" s="172"/>
      <c r="F1464" s="173"/>
      <c r="G1464" s="172"/>
      <c r="H1464" s="172"/>
      <c r="I1464" s="174"/>
      <c r="J1464" s="174"/>
      <c r="K1464" s="175"/>
      <c r="L1464" s="175"/>
      <c r="M1464" s="170"/>
      <c r="N1464" s="170"/>
      <c r="O1464" s="176"/>
      <c r="P1464" s="173"/>
      <c r="Q1464" s="177"/>
      <c r="R1464" s="178"/>
      <c r="S1464" s="178"/>
      <c r="T1464" s="179"/>
      <c r="U1464" s="179"/>
      <c r="V1464" s="179"/>
      <c r="W1464" s="176"/>
      <c r="X1464" s="180"/>
      <c r="Y1464" s="170"/>
      <c r="Z1464" s="170"/>
    </row>
    <row r="1465" spans="1:26">
      <c r="A1465" s="170"/>
      <c r="B1465" s="171"/>
      <c r="C1465" s="170"/>
      <c r="D1465" s="172"/>
      <c r="E1465" s="172"/>
      <c r="F1465" s="173"/>
      <c r="G1465" s="172"/>
      <c r="H1465" s="172"/>
      <c r="I1465" s="174"/>
      <c r="J1465" s="174"/>
      <c r="K1465" s="175"/>
      <c r="L1465" s="175"/>
      <c r="M1465" s="170"/>
      <c r="N1465" s="170"/>
      <c r="O1465" s="176"/>
      <c r="P1465" s="173"/>
      <c r="Q1465" s="177"/>
      <c r="R1465" s="178"/>
      <c r="S1465" s="178"/>
      <c r="T1465" s="179"/>
      <c r="U1465" s="179"/>
      <c r="V1465" s="179"/>
      <c r="W1465" s="176"/>
      <c r="X1465" s="180"/>
      <c r="Y1465" s="170"/>
      <c r="Z1465" s="170"/>
    </row>
    <row r="1466" spans="1:26">
      <c r="A1466" s="170"/>
      <c r="B1466" s="171"/>
      <c r="C1466" s="170"/>
      <c r="D1466" s="172"/>
      <c r="E1466" s="172"/>
      <c r="F1466" s="173"/>
      <c r="G1466" s="172"/>
      <c r="H1466" s="172"/>
      <c r="I1466" s="174"/>
      <c r="J1466" s="174"/>
      <c r="K1466" s="175"/>
      <c r="L1466" s="175"/>
      <c r="M1466" s="170"/>
      <c r="N1466" s="170"/>
      <c r="O1466" s="176"/>
      <c r="P1466" s="173"/>
      <c r="Q1466" s="177"/>
      <c r="R1466" s="178"/>
      <c r="S1466" s="178"/>
      <c r="T1466" s="179"/>
      <c r="U1466" s="179"/>
      <c r="V1466" s="179"/>
      <c r="W1466" s="176"/>
      <c r="X1466" s="180"/>
      <c r="Y1466" s="170"/>
      <c r="Z1466" s="170"/>
    </row>
    <row r="1467" spans="1:26">
      <c r="A1467" s="170"/>
      <c r="B1467" s="171"/>
      <c r="C1467" s="170"/>
      <c r="D1467" s="172"/>
      <c r="E1467" s="172"/>
      <c r="F1467" s="173"/>
      <c r="G1467" s="172"/>
      <c r="H1467" s="172"/>
      <c r="I1467" s="174"/>
      <c r="J1467" s="174"/>
      <c r="K1467" s="175"/>
      <c r="L1467" s="175"/>
      <c r="M1467" s="170"/>
      <c r="N1467" s="170"/>
      <c r="O1467" s="176"/>
      <c r="P1467" s="173"/>
      <c r="Q1467" s="177"/>
      <c r="R1467" s="178"/>
      <c r="S1467" s="178"/>
      <c r="T1467" s="179"/>
      <c r="U1467" s="179"/>
      <c r="V1467" s="179"/>
      <c r="W1467" s="176"/>
      <c r="X1467" s="180"/>
      <c r="Y1467" s="170"/>
      <c r="Z1467" s="170"/>
    </row>
    <row r="1468" spans="1:26">
      <c r="A1468" s="170"/>
      <c r="B1468" s="171"/>
      <c r="C1468" s="170"/>
      <c r="D1468" s="172"/>
      <c r="E1468" s="172"/>
      <c r="F1468" s="173"/>
      <c r="G1468" s="172"/>
      <c r="H1468" s="172"/>
      <c r="I1468" s="174"/>
      <c r="J1468" s="174"/>
      <c r="K1468" s="175"/>
      <c r="L1468" s="175"/>
      <c r="M1468" s="170"/>
      <c r="N1468" s="170"/>
      <c r="O1468" s="176"/>
      <c r="P1468" s="173"/>
      <c r="Q1468" s="177"/>
      <c r="R1468" s="178"/>
      <c r="S1468" s="178"/>
      <c r="T1468" s="179"/>
      <c r="U1468" s="179"/>
      <c r="V1468" s="179"/>
      <c r="W1468" s="176"/>
      <c r="X1468" s="180"/>
      <c r="Y1468" s="170"/>
      <c r="Z1468" s="170"/>
    </row>
    <row r="1469" spans="1:26">
      <c r="A1469" s="170"/>
      <c r="B1469" s="171"/>
      <c r="C1469" s="170"/>
      <c r="D1469" s="172"/>
      <c r="E1469" s="172"/>
      <c r="F1469" s="173"/>
      <c r="G1469" s="172"/>
      <c r="H1469" s="172"/>
      <c r="I1469" s="174"/>
      <c r="J1469" s="174"/>
      <c r="K1469" s="175"/>
      <c r="L1469" s="175"/>
      <c r="M1469" s="170"/>
      <c r="N1469" s="170"/>
      <c r="O1469" s="176"/>
      <c r="P1469" s="173"/>
      <c r="Q1469" s="177"/>
      <c r="R1469" s="178"/>
      <c r="S1469" s="178"/>
      <c r="T1469" s="179"/>
      <c r="U1469" s="179"/>
      <c r="V1469" s="179"/>
      <c r="W1469" s="176"/>
      <c r="X1469" s="180"/>
      <c r="Y1469" s="170"/>
      <c r="Z1469" s="170"/>
    </row>
    <row r="1470" spans="1:26">
      <c r="A1470" s="170"/>
      <c r="B1470" s="171"/>
      <c r="C1470" s="170"/>
      <c r="D1470" s="172"/>
      <c r="E1470" s="172"/>
      <c r="F1470" s="173"/>
      <c r="G1470" s="172"/>
      <c r="H1470" s="172"/>
      <c r="I1470" s="174"/>
      <c r="J1470" s="174"/>
      <c r="K1470" s="175"/>
      <c r="L1470" s="175"/>
      <c r="M1470" s="170"/>
      <c r="N1470" s="170"/>
      <c r="O1470" s="176"/>
      <c r="P1470" s="173"/>
      <c r="Q1470" s="177"/>
      <c r="R1470" s="178"/>
      <c r="S1470" s="178"/>
      <c r="T1470" s="179"/>
      <c r="U1470" s="179"/>
      <c r="V1470" s="179"/>
      <c r="W1470" s="176"/>
      <c r="X1470" s="180"/>
      <c r="Y1470" s="170"/>
      <c r="Z1470" s="170"/>
    </row>
    <row r="1471" spans="1:26">
      <c r="A1471" s="170"/>
      <c r="B1471" s="171"/>
      <c r="C1471" s="170"/>
      <c r="D1471" s="172"/>
      <c r="E1471" s="172"/>
      <c r="F1471" s="173"/>
      <c r="G1471" s="172"/>
      <c r="H1471" s="172"/>
      <c r="I1471" s="174"/>
      <c r="J1471" s="174"/>
      <c r="K1471" s="175"/>
      <c r="L1471" s="175"/>
      <c r="M1471" s="170"/>
      <c r="N1471" s="170"/>
      <c r="O1471" s="176"/>
      <c r="P1471" s="173"/>
      <c r="Q1471" s="177"/>
      <c r="R1471" s="178"/>
      <c r="S1471" s="178"/>
      <c r="T1471" s="179"/>
      <c r="U1471" s="179"/>
      <c r="V1471" s="179"/>
      <c r="W1471" s="176"/>
      <c r="X1471" s="180"/>
      <c r="Y1471" s="170"/>
      <c r="Z1471" s="170"/>
    </row>
    <row r="1472" spans="1:26">
      <c r="A1472" s="170"/>
      <c r="B1472" s="171"/>
      <c r="C1472" s="170"/>
      <c r="D1472" s="172"/>
      <c r="E1472" s="172"/>
      <c r="F1472" s="173"/>
      <c r="G1472" s="172"/>
      <c r="H1472" s="172"/>
      <c r="I1472" s="174"/>
      <c r="J1472" s="174"/>
      <c r="K1472" s="175"/>
      <c r="L1472" s="175"/>
      <c r="M1472" s="170"/>
      <c r="N1472" s="170"/>
      <c r="O1472" s="176"/>
      <c r="P1472" s="173"/>
      <c r="Q1472" s="177"/>
      <c r="R1472" s="178"/>
      <c r="S1472" s="178"/>
      <c r="T1472" s="179"/>
      <c r="U1472" s="179"/>
      <c r="V1472" s="179"/>
      <c r="W1472" s="176"/>
      <c r="X1472" s="180"/>
      <c r="Y1472" s="170"/>
      <c r="Z1472" s="170"/>
    </row>
    <row r="1473" spans="1:26">
      <c r="A1473" s="170"/>
      <c r="B1473" s="171"/>
      <c r="C1473" s="170"/>
      <c r="D1473" s="172"/>
      <c r="E1473" s="172"/>
      <c r="F1473" s="173"/>
      <c r="G1473" s="172"/>
      <c r="H1473" s="172"/>
      <c r="I1473" s="174"/>
      <c r="J1473" s="174"/>
      <c r="K1473" s="175"/>
      <c r="L1473" s="175"/>
      <c r="M1473" s="170"/>
      <c r="N1473" s="170"/>
      <c r="O1473" s="176"/>
      <c r="P1473" s="173"/>
      <c r="Q1473" s="177"/>
      <c r="R1473" s="178"/>
      <c r="S1473" s="178"/>
      <c r="T1473" s="179"/>
      <c r="U1473" s="179"/>
      <c r="V1473" s="179"/>
      <c r="W1473" s="176"/>
      <c r="X1473" s="180"/>
      <c r="Y1473" s="170"/>
      <c r="Z1473" s="170"/>
    </row>
    <row r="1474" spans="1:26">
      <c r="A1474" s="170"/>
      <c r="B1474" s="171"/>
      <c r="C1474" s="170"/>
      <c r="D1474" s="172"/>
      <c r="E1474" s="172"/>
      <c r="F1474" s="173"/>
      <c r="G1474" s="172"/>
      <c r="H1474" s="172"/>
      <c r="I1474" s="174"/>
      <c r="J1474" s="174"/>
      <c r="K1474" s="175"/>
      <c r="L1474" s="175"/>
      <c r="M1474" s="170"/>
      <c r="N1474" s="170"/>
      <c r="O1474" s="176"/>
      <c r="P1474" s="173"/>
      <c r="Q1474" s="177"/>
      <c r="R1474" s="178"/>
      <c r="S1474" s="178"/>
      <c r="T1474" s="179"/>
      <c r="U1474" s="179"/>
      <c r="V1474" s="179"/>
      <c r="W1474" s="176"/>
      <c r="X1474" s="180"/>
      <c r="Y1474" s="170"/>
      <c r="Z1474" s="170"/>
    </row>
    <row r="1475" spans="1:26">
      <c r="A1475" s="170"/>
      <c r="B1475" s="171"/>
      <c r="C1475" s="170"/>
      <c r="D1475" s="172"/>
      <c r="E1475" s="172"/>
      <c r="F1475" s="173"/>
      <c r="G1475" s="172"/>
      <c r="H1475" s="172"/>
      <c r="I1475" s="174"/>
      <c r="J1475" s="174"/>
      <c r="K1475" s="175"/>
      <c r="L1475" s="175"/>
      <c r="M1475" s="170"/>
      <c r="N1475" s="170"/>
      <c r="O1475" s="176"/>
      <c r="P1475" s="173"/>
      <c r="Q1475" s="177"/>
      <c r="R1475" s="178"/>
      <c r="S1475" s="178"/>
      <c r="T1475" s="179"/>
      <c r="U1475" s="179"/>
      <c r="V1475" s="179"/>
      <c r="W1475" s="176"/>
      <c r="X1475" s="180"/>
      <c r="Y1475" s="170"/>
      <c r="Z1475" s="170"/>
    </row>
    <row r="1476" spans="1:26">
      <c r="A1476" s="170"/>
      <c r="B1476" s="171"/>
      <c r="C1476" s="170"/>
      <c r="D1476" s="172"/>
      <c r="E1476" s="172"/>
      <c r="F1476" s="173"/>
      <c r="G1476" s="172"/>
      <c r="H1476" s="172"/>
      <c r="I1476" s="174"/>
      <c r="J1476" s="174"/>
      <c r="K1476" s="175"/>
      <c r="L1476" s="175"/>
      <c r="M1476" s="170"/>
      <c r="N1476" s="170"/>
      <c r="O1476" s="176"/>
      <c r="P1476" s="173"/>
      <c r="Q1476" s="177"/>
      <c r="R1476" s="178"/>
      <c r="S1476" s="178"/>
      <c r="T1476" s="179"/>
      <c r="U1476" s="179"/>
      <c r="V1476" s="179"/>
      <c r="W1476" s="176"/>
      <c r="X1476" s="180"/>
      <c r="Y1476" s="170"/>
      <c r="Z1476" s="170"/>
    </row>
    <row r="1477" spans="1:26">
      <c r="A1477" s="170"/>
      <c r="B1477" s="171"/>
      <c r="C1477" s="170"/>
      <c r="D1477" s="172"/>
      <c r="E1477" s="172"/>
      <c r="F1477" s="173"/>
      <c r="G1477" s="172"/>
      <c r="H1477" s="172"/>
      <c r="I1477" s="174"/>
      <c r="J1477" s="174"/>
      <c r="K1477" s="175"/>
      <c r="L1477" s="175"/>
      <c r="M1477" s="170"/>
      <c r="N1477" s="170"/>
      <c r="O1477" s="176"/>
      <c r="P1477" s="173"/>
      <c r="Q1477" s="177"/>
      <c r="R1477" s="178"/>
      <c r="S1477" s="178"/>
      <c r="T1477" s="179"/>
      <c r="U1477" s="179"/>
      <c r="V1477" s="179"/>
      <c r="W1477" s="176"/>
      <c r="X1477" s="180"/>
      <c r="Y1477" s="170"/>
      <c r="Z1477" s="170"/>
    </row>
    <row r="1478" spans="1:26">
      <c r="A1478" s="170"/>
      <c r="B1478" s="171"/>
      <c r="C1478" s="170"/>
      <c r="D1478" s="172"/>
      <c r="E1478" s="172"/>
      <c r="F1478" s="173"/>
      <c r="G1478" s="172"/>
      <c r="H1478" s="172"/>
      <c r="I1478" s="174"/>
      <c r="J1478" s="174"/>
      <c r="K1478" s="175"/>
      <c r="L1478" s="175"/>
      <c r="M1478" s="170"/>
      <c r="N1478" s="170"/>
      <c r="O1478" s="176"/>
      <c r="P1478" s="173"/>
      <c r="Q1478" s="177"/>
      <c r="R1478" s="178"/>
      <c r="S1478" s="178"/>
      <c r="T1478" s="179"/>
      <c r="U1478" s="179"/>
      <c r="V1478" s="179"/>
      <c r="W1478" s="176"/>
      <c r="X1478" s="180"/>
      <c r="Y1478" s="170"/>
      <c r="Z1478" s="170"/>
    </row>
    <row r="1479" spans="1:26">
      <c r="A1479" s="170"/>
      <c r="B1479" s="171"/>
      <c r="C1479" s="170"/>
      <c r="D1479" s="172"/>
      <c r="E1479" s="172"/>
      <c r="F1479" s="173"/>
      <c r="G1479" s="172"/>
      <c r="H1479" s="172"/>
      <c r="I1479" s="174"/>
      <c r="J1479" s="174"/>
      <c r="K1479" s="175"/>
      <c r="L1479" s="175"/>
      <c r="M1479" s="170"/>
      <c r="N1479" s="170"/>
      <c r="O1479" s="176"/>
      <c r="P1479" s="173"/>
      <c r="Q1479" s="177"/>
      <c r="R1479" s="178"/>
      <c r="S1479" s="178"/>
      <c r="T1479" s="179"/>
      <c r="U1479" s="179"/>
      <c r="V1479" s="179"/>
      <c r="W1479" s="176"/>
      <c r="X1479" s="180"/>
      <c r="Y1479" s="170"/>
      <c r="Z1479" s="170"/>
    </row>
    <row r="1480" spans="1:26">
      <c r="A1480" s="170"/>
      <c r="B1480" s="171"/>
      <c r="C1480" s="170"/>
      <c r="D1480" s="172"/>
      <c r="E1480" s="172"/>
      <c r="F1480" s="173"/>
      <c r="G1480" s="172"/>
      <c r="H1480" s="172"/>
      <c r="I1480" s="174"/>
      <c r="J1480" s="174"/>
      <c r="K1480" s="175"/>
      <c r="L1480" s="175"/>
      <c r="M1480" s="170"/>
      <c r="N1480" s="170"/>
      <c r="O1480" s="176"/>
      <c r="P1480" s="173"/>
      <c r="Q1480" s="177"/>
      <c r="R1480" s="178"/>
      <c r="S1480" s="178"/>
      <c r="T1480" s="179"/>
      <c r="U1480" s="179"/>
      <c r="V1480" s="179"/>
      <c r="W1480" s="176"/>
      <c r="X1480" s="180"/>
      <c r="Y1480" s="170"/>
      <c r="Z1480" s="170"/>
    </row>
    <row r="1481" spans="1:26">
      <c r="A1481" s="170"/>
      <c r="B1481" s="171"/>
      <c r="C1481" s="170"/>
      <c r="D1481" s="172"/>
      <c r="E1481" s="172"/>
      <c r="F1481" s="173"/>
      <c r="G1481" s="172"/>
      <c r="H1481" s="172"/>
      <c r="I1481" s="174"/>
      <c r="J1481" s="174"/>
      <c r="K1481" s="175"/>
      <c r="L1481" s="175"/>
      <c r="M1481" s="170"/>
      <c r="N1481" s="170"/>
      <c r="O1481" s="176"/>
      <c r="P1481" s="173"/>
      <c r="Q1481" s="177"/>
      <c r="R1481" s="178"/>
      <c r="S1481" s="178"/>
      <c r="T1481" s="179"/>
      <c r="U1481" s="179"/>
      <c r="V1481" s="179"/>
      <c r="W1481" s="176"/>
      <c r="X1481" s="180"/>
      <c r="Y1481" s="170"/>
      <c r="Z1481" s="170"/>
    </row>
    <row r="1482" spans="1:26">
      <c r="A1482" s="170"/>
      <c r="B1482" s="171"/>
      <c r="C1482" s="170"/>
      <c r="D1482" s="172"/>
      <c r="E1482" s="172"/>
      <c r="F1482" s="173"/>
      <c r="G1482" s="172"/>
      <c r="H1482" s="172"/>
      <c r="I1482" s="174"/>
      <c r="J1482" s="174"/>
      <c r="K1482" s="175"/>
      <c r="L1482" s="175"/>
      <c r="M1482" s="170"/>
      <c r="N1482" s="170"/>
      <c r="O1482" s="176"/>
      <c r="P1482" s="173"/>
      <c r="Q1482" s="177"/>
      <c r="R1482" s="178"/>
      <c r="S1482" s="178"/>
      <c r="T1482" s="179"/>
      <c r="U1482" s="179"/>
      <c r="V1482" s="179"/>
      <c r="W1482" s="176"/>
      <c r="X1482" s="180"/>
      <c r="Y1482" s="170"/>
      <c r="Z1482" s="170"/>
    </row>
    <row r="1483" spans="1:26">
      <c r="A1483" s="170"/>
      <c r="B1483" s="171"/>
      <c r="C1483" s="170"/>
      <c r="D1483" s="172"/>
      <c r="E1483" s="172"/>
      <c r="F1483" s="173"/>
      <c r="G1483" s="172"/>
      <c r="H1483" s="172"/>
      <c r="I1483" s="174"/>
      <c r="J1483" s="174"/>
      <c r="K1483" s="175"/>
      <c r="L1483" s="175"/>
      <c r="M1483" s="170"/>
      <c r="N1483" s="170"/>
      <c r="O1483" s="176"/>
      <c r="P1483" s="173"/>
      <c r="Q1483" s="177"/>
      <c r="R1483" s="178"/>
      <c r="S1483" s="178"/>
      <c r="T1483" s="179"/>
      <c r="U1483" s="179"/>
      <c r="V1483" s="179"/>
      <c r="W1483" s="176"/>
      <c r="X1483" s="180"/>
      <c r="Y1483" s="170"/>
      <c r="Z1483" s="170"/>
    </row>
    <row r="1484" spans="1:26">
      <c r="A1484" s="170"/>
      <c r="B1484" s="171"/>
      <c r="C1484" s="170"/>
      <c r="D1484" s="172"/>
      <c r="E1484" s="172"/>
      <c r="F1484" s="173"/>
      <c r="G1484" s="172"/>
      <c r="H1484" s="172"/>
      <c r="I1484" s="174"/>
      <c r="J1484" s="174"/>
      <c r="K1484" s="175"/>
      <c r="L1484" s="175"/>
      <c r="M1484" s="170"/>
      <c r="N1484" s="170"/>
      <c r="O1484" s="176"/>
      <c r="P1484" s="173"/>
      <c r="Q1484" s="177"/>
      <c r="R1484" s="178"/>
      <c r="S1484" s="178"/>
      <c r="T1484" s="179"/>
      <c r="U1484" s="179"/>
      <c r="V1484" s="179"/>
      <c r="W1484" s="176"/>
      <c r="X1484" s="180"/>
      <c r="Y1484" s="170"/>
      <c r="Z1484" s="170"/>
    </row>
    <row r="1485" spans="1:26">
      <c r="A1485" s="170"/>
      <c r="B1485" s="171"/>
      <c r="C1485" s="170"/>
      <c r="D1485" s="172"/>
      <c r="E1485" s="172"/>
      <c r="F1485" s="173"/>
      <c r="G1485" s="172"/>
      <c r="H1485" s="172"/>
      <c r="I1485" s="174"/>
      <c r="J1485" s="174"/>
      <c r="K1485" s="175"/>
      <c r="L1485" s="175"/>
      <c r="M1485" s="170"/>
      <c r="N1485" s="170"/>
      <c r="O1485" s="176"/>
      <c r="P1485" s="173"/>
      <c r="Q1485" s="177"/>
      <c r="R1485" s="178"/>
      <c r="S1485" s="178"/>
      <c r="T1485" s="179"/>
      <c r="U1485" s="179"/>
      <c r="V1485" s="179"/>
      <c r="W1485" s="176"/>
      <c r="X1485" s="180"/>
      <c r="Y1485" s="170"/>
      <c r="Z1485" s="170"/>
    </row>
    <row r="1486" spans="1:26">
      <c r="A1486" s="170"/>
      <c r="B1486" s="171"/>
      <c r="C1486" s="170"/>
      <c r="D1486" s="172"/>
      <c r="E1486" s="172"/>
      <c r="F1486" s="173"/>
      <c r="G1486" s="172"/>
      <c r="H1486" s="172"/>
      <c r="I1486" s="174"/>
      <c r="J1486" s="174"/>
      <c r="K1486" s="175"/>
      <c r="L1486" s="175"/>
      <c r="M1486" s="170"/>
      <c r="N1486" s="170"/>
      <c r="O1486" s="176"/>
      <c r="P1486" s="173"/>
      <c r="Q1486" s="177"/>
      <c r="R1486" s="178"/>
      <c r="S1486" s="178"/>
      <c r="T1486" s="179"/>
      <c r="U1486" s="179"/>
      <c r="V1486" s="179"/>
      <c r="W1486" s="176"/>
      <c r="X1486" s="180"/>
      <c r="Y1486" s="170"/>
      <c r="Z1486" s="170"/>
    </row>
    <row r="1487" spans="1:26">
      <c r="A1487" s="170"/>
      <c r="B1487" s="171"/>
      <c r="C1487" s="170"/>
      <c r="D1487" s="172"/>
      <c r="E1487" s="172"/>
      <c r="F1487" s="173"/>
      <c r="G1487" s="172"/>
      <c r="H1487" s="172"/>
      <c r="I1487" s="174"/>
      <c r="J1487" s="174"/>
      <c r="K1487" s="175"/>
      <c r="L1487" s="175"/>
      <c r="M1487" s="170"/>
      <c r="N1487" s="170"/>
      <c r="O1487" s="176"/>
      <c r="P1487" s="173"/>
      <c r="Q1487" s="177"/>
      <c r="R1487" s="178"/>
      <c r="S1487" s="178"/>
      <c r="T1487" s="179"/>
      <c r="U1487" s="179"/>
      <c r="V1487" s="179"/>
      <c r="W1487" s="176"/>
      <c r="X1487" s="180"/>
      <c r="Y1487" s="170"/>
      <c r="Z1487" s="170"/>
    </row>
    <row r="1488" spans="1:26">
      <c r="A1488" s="170"/>
      <c r="B1488" s="171"/>
      <c r="C1488" s="170"/>
      <c r="D1488" s="172"/>
      <c r="E1488" s="172"/>
      <c r="F1488" s="173"/>
      <c r="G1488" s="172"/>
      <c r="H1488" s="172"/>
      <c r="I1488" s="174"/>
      <c r="J1488" s="174"/>
      <c r="K1488" s="175"/>
      <c r="L1488" s="175"/>
      <c r="M1488" s="170"/>
      <c r="N1488" s="170"/>
      <c r="O1488" s="176"/>
      <c r="P1488" s="173"/>
      <c r="Q1488" s="177"/>
      <c r="R1488" s="178"/>
      <c r="S1488" s="178"/>
      <c r="T1488" s="179"/>
      <c r="U1488" s="179"/>
      <c r="V1488" s="179"/>
      <c r="W1488" s="176"/>
      <c r="X1488" s="180"/>
      <c r="Y1488" s="170"/>
      <c r="Z1488" s="170"/>
    </row>
    <row r="1489" spans="1:26">
      <c r="A1489" s="170"/>
      <c r="B1489" s="171"/>
      <c r="C1489" s="170"/>
      <c r="D1489" s="172"/>
      <c r="E1489" s="172"/>
      <c r="F1489" s="173"/>
      <c r="G1489" s="172"/>
      <c r="H1489" s="172"/>
      <c r="I1489" s="174"/>
      <c r="J1489" s="174"/>
      <c r="K1489" s="175"/>
      <c r="L1489" s="175"/>
      <c r="M1489" s="170"/>
      <c r="N1489" s="170"/>
      <c r="O1489" s="176"/>
      <c r="P1489" s="173"/>
      <c r="Q1489" s="177"/>
      <c r="R1489" s="178"/>
      <c r="S1489" s="178"/>
      <c r="T1489" s="179"/>
      <c r="U1489" s="179"/>
      <c r="V1489" s="179"/>
      <c r="W1489" s="176"/>
      <c r="X1489" s="180"/>
      <c r="Y1489" s="170"/>
      <c r="Z1489" s="170"/>
    </row>
    <row r="1490" spans="1:26">
      <c r="A1490" s="170"/>
      <c r="B1490" s="171"/>
      <c r="C1490" s="170"/>
      <c r="D1490" s="172"/>
      <c r="E1490" s="172"/>
      <c r="F1490" s="173"/>
      <c r="G1490" s="172"/>
      <c r="H1490" s="172"/>
      <c r="I1490" s="174"/>
      <c r="J1490" s="174"/>
      <c r="K1490" s="175"/>
      <c r="L1490" s="175"/>
      <c r="M1490" s="170"/>
      <c r="N1490" s="170"/>
      <c r="O1490" s="176"/>
      <c r="P1490" s="173"/>
      <c r="Q1490" s="177"/>
      <c r="R1490" s="178"/>
      <c r="S1490" s="178"/>
      <c r="T1490" s="179"/>
      <c r="U1490" s="179"/>
      <c r="V1490" s="179"/>
      <c r="W1490" s="176"/>
      <c r="X1490" s="180"/>
      <c r="Y1490" s="170"/>
      <c r="Z1490" s="170"/>
    </row>
    <row r="1491" spans="1:26">
      <c r="A1491" s="170"/>
      <c r="B1491" s="171"/>
      <c r="C1491" s="170"/>
      <c r="D1491" s="172"/>
      <c r="E1491" s="172"/>
      <c r="F1491" s="173"/>
      <c r="G1491" s="172"/>
      <c r="H1491" s="172"/>
      <c r="I1491" s="174"/>
      <c r="J1491" s="174"/>
      <c r="K1491" s="175"/>
      <c r="L1491" s="175"/>
      <c r="M1491" s="170"/>
      <c r="N1491" s="170"/>
      <c r="O1491" s="176"/>
      <c r="P1491" s="173"/>
      <c r="Q1491" s="177"/>
      <c r="R1491" s="178"/>
      <c r="S1491" s="178"/>
      <c r="T1491" s="179"/>
      <c r="U1491" s="179"/>
      <c r="V1491" s="179"/>
      <c r="W1491" s="176"/>
      <c r="X1491" s="180"/>
      <c r="Y1491" s="170"/>
      <c r="Z1491" s="170"/>
    </row>
    <row r="1492" spans="1:26">
      <c r="A1492" s="170"/>
      <c r="B1492" s="171"/>
      <c r="C1492" s="170"/>
      <c r="D1492" s="172"/>
      <c r="E1492" s="172"/>
      <c r="F1492" s="173"/>
      <c r="G1492" s="172"/>
      <c r="H1492" s="172"/>
      <c r="I1492" s="174"/>
      <c r="J1492" s="174"/>
      <c r="K1492" s="175"/>
      <c r="L1492" s="175"/>
      <c r="M1492" s="170"/>
      <c r="N1492" s="170"/>
      <c r="O1492" s="176"/>
      <c r="P1492" s="173"/>
      <c r="Q1492" s="177"/>
      <c r="R1492" s="178"/>
      <c r="S1492" s="178"/>
      <c r="T1492" s="179"/>
      <c r="U1492" s="179"/>
      <c r="V1492" s="179"/>
      <c r="W1492" s="176"/>
      <c r="X1492" s="180"/>
      <c r="Y1492" s="170"/>
      <c r="Z1492" s="170"/>
    </row>
    <row r="1493" spans="1:26">
      <c r="A1493" s="170"/>
      <c r="B1493" s="171"/>
      <c r="C1493" s="170"/>
      <c r="D1493" s="172"/>
      <c r="E1493" s="172"/>
      <c r="F1493" s="173"/>
      <c r="G1493" s="172"/>
      <c r="H1493" s="172"/>
      <c r="I1493" s="174"/>
      <c r="J1493" s="174"/>
      <c r="K1493" s="175"/>
      <c r="L1493" s="175"/>
      <c r="M1493" s="170"/>
      <c r="N1493" s="170"/>
      <c r="O1493" s="176"/>
      <c r="P1493" s="173"/>
      <c r="Q1493" s="177"/>
      <c r="R1493" s="178"/>
      <c r="S1493" s="178"/>
      <c r="T1493" s="179"/>
      <c r="U1493" s="179"/>
      <c r="V1493" s="179"/>
      <c r="W1493" s="176"/>
      <c r="X1493" s="180"/>
      <c r="Y1493" s="170"/>
      <c r="Z1493" s="170"/>
    </row>
    <row r="1494" spans="1:26">
      <c r="A1494" s="170"/>
      <c r="B1494" s="171"/>
      <c r="C1494" s="170"/>
      <c r="D1494" s="172"/>
      <c r="E1494" s="172"/>
      <c r="F1494" s="173"/>
      <c r="G1494" s="172"/>
      <c r="H1494" s="172"/>
      <c r="I1494" s="174"/>
      <c r="J1494" s="174"/>
      <c r="K1494" s="175"/>
      <c r="L1494" s="175"/>
      <c r="M1494" s="170"/>
      <c r="N1494" s="170"/>
      <c r="O1494" s="176"/>
      <c r="P1494" s="173"/>
      <c r="Q1494" s="177"/>
      <c r="R1494" s="178"/>
      <c r="S1494" s="178"/>
      <c r="T1494" s="179"/>
      <c r="U1494" s="179"/>
      <c r="V1494" s="179"/>
      <c r="W1494" s="176"/>
      <c r="X1494" s="180"/>
      <c r="Y1494" s="170"/>
      <c r="Z1494" s="170"/>
    </row>
    <row r="1495" spans="1:26">
      <c r="A1495" s="170"/>
      <c r="B1495" s="171"/>
      <c r="C1495" s="170"/>
      <c r="D1495" s="172"/>
      <c r="E1495" s="172"/>
      <c r="F1495" s="173"/>
      <c r="G1495" s="172"/>
      <c r="H1495" s="172"/>
      <c r="I1495" s="174"/>
      <c r="J1495" s="174"/>
      <c r="K1495" s="175"/>
      <c r="L1495" s="175"/>
      <c r="M1495" s="170"/>
      <c r="N1495" s="170"/>
      <c r="O1495" s="176"/>
      <c r="P1495" s="173"/>
      <c r="Q1495" s="177"/>
      <c r="R1495" s="178"/>
      <c r="S1495" s="178"/>
      <c r="T1495" s="179"/>
      <c r="U1495" s="179"/>
      <c r="V1495" s="179"/>
      <c r="W1495" s="176"/>
      <c r="X1495" s="180"/>
      <c r="Y1495" s="170"/>
      <c r="Z1495" s="170"/>
    </row>
    <row r="1496" spans="1:26">
      <c r="A1496" s="170"/>
      <c r="B1496" s="171"/>
      <c r="C1496" s="170"/>
      <c r="D1496" s="172"/>
      <c r="E1496" s="172"/>
      <c r="F1496" s="173"/>
      <c r="G1496" s="172"/>
      <c r="H1496" s="172"/>
      <c r="I1496" s="174"/>
      <c r="J1496" s="174"/>
      <c r="K1496" s="175"/>
      <c r="L1496" s="175"/>
      <c r="M1496" s="170"/>
      <c r="N1496" s="170"/>
      <c r="O1496" s="176"/>
      <c r="P1496" s="173"/>
      <c r="Q1496" s="177"/>
      <c r="R1496" s="178"/>
      <c r="S1496" s="178"/>
      <c r="T1496" s="179"/>
      <c r="U1496" s="179"/>
      <c r="V1496" s="179"/>
      <c r="W1496" s="176"/>
      <c r="X1496" s="180"/>
      <c r="Y1496" s="170"/>
      <c r="Z1496" s="170"/>
    </row>
    <row r="1497" spans="1:26">
      <c r="A1497" s="170"/>
      <c r="B1497" s="171"/>
      <c r="C1497" s="170"/>
      <c r="D1497" s="172"/>
      <c r="E1497" s="172"/>
      <c r="F1497" s="173"/>
      <c r="G1497" s="172"/>
      <c r="H1497" s="172"/>
      <c r="I1497" s="174"/>
      <c r="J1497" s="174"/>
      <c r="K1497" s="175"/>
      <c r="L1497" s="175"/>
      <c r="M1497" s="170"/>
      <c r="N1497" s="170"/>
      <c r="O1497" s="176"/>
      <c r="P1497" s="173"/>
      <c r="Q1497" s="177"/>
      <c r="R1497" s="178"/>
      <c r="S1497" s="178"/>
      <c r="T1497" s="179"/>
      <c r="U1497" s="179"/>
      <c r="V1497" s="179"/>
      <c r="W1497" s="176"/>
      <c r="X1497" s="180"/>
      <c r="Y1497" s="170"/>
      <c r="Z1497" s="170"/>
    </row>
    <row r="1498" spans="1:26">
      <c r="A1498" s="170"/>
      <c r="B1498" s="171"/>
      <c r="C1498" s="170"/>
      <c r="D1498" s="172"/>
      <c r="E1498" s="172"/>
      <c r="F1498" s="173"/>
      <c r="G1498" s="172"/>
      <c r="H1498" s="172"/>
      <c r="I1498" s="174"/>
      <c r="J1498" s="174"/>
      <c r="K1498" s="175"/>
      <c r="L1498" s="175"/>
      <c r="M1498" s="170"/>
      <c r="N1498" s="170"/>
      <c r="O1498" s="176"/>
      <c r="P1498" s="173"/>
      <c r="Q1498" s="177"/>
      <c r="R1498" s="178"/>
      <c r="S1498" s="178"/>
      <c r="T1498" s="179"/>
      <c r="U1498" s="179"/>
      <c r="V1498" s="179"/>
      <c r="W1498" s="176"/>
      <c r="X1498" s="180"/>
      <c r="Y1498" s="170"/>
      <c r="Z1498" s="170"/>
    </row>
    <row r="1499" spans="1:26">
      <c r="A1499" s="170"/>
      <c r="B1499" s="171"/>
      <c r="C1499" s="170"/>
      <c r="D1499" s="172"/>
      <c r="E1499" s="172"/>
      <c r="F1499" s="173"/>
      <c r="G1499" s="172"/>
      <c r="H1499" s="172"/>
      <c r="I1499" s="174"/>
      <c r="J1499" s="174"/>
      <c r="K1499" s="175"/>
      <c r="L1499" s="175"/>
      <c r="M1499" s="170"/>
      <c r="N1499" s="170"/>
      <c r="O1499" s="176"/>
      <c r="P1499" s="173"/>
      <c r="Q1499" s="177"/>
      <c r="R1499" s="178"/>
      <c r="S1499" s="178"/>
      <c r="T1499" s="179"/>
      <c r="U1499" s="179"/>
      <c r="V1499" s="179"/>
      <c r="W1499" s="176"/>
      <c r="X1499" s="180"/>
      <c r="Y1499" s="170"/>
      <c r="Z1499" s="170"/>
    </row>
    <row r="1500" spans="1:26">
      <c r="A1500" s="170"/>
      <c r="B1500" s="171"/>
      <c r="C1500" s="170"/>
      <c r="D1500" s="172"/>
      <c r="E1500" s="172"/>
      <c r="F1500" s="173"/>
      <c r="G1500" s="172"/>
      <c r="H1500" s="172"/>
      <c r="I1500" s="174"/>
      <c r="J1500" s="174"/>
      <c r="K1500" s="175"/>
      <c r="L1500" s="175"/>
      <c r="M1500" s="170"/>
      <c r="N1500" s="170"/>
      <c r="O1500" s="176"/>
      <c r="P1500" s="173"/>
      <c r="Q1500" s="177"/>
      <c r="R1500" s="178"/>
      <c r="S1500" s="178"/>
      <c r="T1500" s="179"/>
      <c r="U1500" s="179"/>
      <c r="V1500" s="179"/>
      <c r="W1500" s="176"/>
      <c r="X1500" s="180"/>
      <c r="Y1500" s="170"/>
      <c r="Z1500" s="170"/>
    </row>
    <row r="1501" spans="1:26">
      <c r="A1501" s="170"/>
      <c r="B1501" s="171"/>
      <c r="C1501" s="170"/>
      <c r="D1501" s="172"/>
      <c r="E1501" s="172"/>
      <c r="F1501" s="173"/>
      <c r="G1501" s="172"/>
      <c r="H1501" s="172"/>
      <c r="I1501" s="174"/>
      <c r="J1501" s="174"/>
      <c r="K1501" s="175"/>
      <c r="L1501" s="175"/>
      <c r="M1501" s="170"/>
      <c r="N1501" s="170"/>
      <c r="O1501" s="176"/>
      <c r="P1501" s="173"/>
      <c r="Q1501" s="177"/>
      <c r="R1501" s="178"/>
      <c r="S1501" s="178"/>
      <c r="T1501" s="179"/>
      <c r="U1501" s="179"/>
      <c r="V1501" s="179"/>
      <c r="W1501" s="176"/>
      <c r="X1501" s="180"/>
      <c r="Y1501" s="170"/>
      <c r="Z1501" s="170"/>
    </row>
    <row r="1502" spans="1:26">
      <c r="A1502" s="170"/>
      <c r="B1502" s="171"/>
      <c r="C1502" s="170"/>
      <c r="D1502" s="172"/>
      <c r="E1502" s="172"/>
      <c r="F1502" s="173"/>
      <c r="G1502" s="172"/>
      <c r="H1502" s="172"/>
      <c r="I1502" s="174"/>
      <c r="J1502" s="174"/>
      <c r="K1502" s="175"/>
      <c r="L1502" s="175"/>
      <c r="M1502" s="170"/>
      <c r="N1502" s="170"/>
      <c r="O1502" s="176"/>
      <c r="P1502" s="173"/>
      <c r="Q1502" s="177"/>
      <c r="R1502" s="178"/>
      <c r="S1502" s="178"/>
      <c r="T1502" s="179"/>
      <c r="U1502" s="179"/>
      <c r="V1502" s="179"/>
      <c r="W1502" s="176"/>
      <c r="X1502" s="180"/>
      <c r="Y1502" s="170"/>
      <c r="Z1502" s="170"/>
    </row>
    <row r="1503" spans="1:26">
      <c r="A1503" s="170"/>
      <c r="B1503" s="171"/>
      <c r="C1503" s="170"/>
      <c r="D1503" s="172"/>
      <c r="E1503" s="172"/>
      <c r="F1503" s="173"/>
      <c r="G1503" s="172"/>
      <c r="H1503" s="172"/>
      <c r="I1503" s="174"/>
      <c r="J1503" s="174"/>
      <c r="K1503" s="175"/>
      <c r="L1503" s="175"/>
      <c r="M1503" s="170"/>
      <c r="N1503" s="170"/>
      <c r="O1503" s="176"/>
      <c r="P1503" s="173"/>
      <c r="Q1503" s="177"/>
      <c r="R1503" s="178"/>
      <c r="S1503" s="178"/>
      <c r="T1503" s="179"/>
      <c r="U1503" s="179"/>
      <c r="V1503" s="179"/>
      <c r="W1503" s="176"/>
      <c r="X1503" s="180"/>
      <c r="Y1503" s="170"/>
      <c r="Z1503" s="170"/>
    </row>
    <row r="1504" spans="1:26">
      <c r="A1504" s="170"/>
      <c r="B1504" s="171"/>
      <c r="C1504" s="170"/>
      <c r="D1504" s="172"/>
      <c r="E1504" s="172"/>
      <c r="F1504" s="173"/>
      <c r="G1504" s="172"/>
      <c r="H1504" s="172"/>
      <c r="I1504" s="174"/>
      <c r="J1504" s="174"/>
      <c r="K1504" s="175"/>
      <c r="L1504" s="175"/>
      <c r="M1504" s="170"/>
      <c r="N1504" s="170"/>
      <c r="O1504" s="176"/>
      <c r="P1504" s="173"/>
      <c r="Q1504" s="177"/>
      <c r="R1504" s="178"/>
      <c r="S1504" s="178"/>
      <c r="T1504" s="179"/>
      <c r="U1504" s="179"/>
      <c r="V1504" s="179"/>
      <c r="W1504" s="176"/>
      <c r="X1504" s="180"/>
      <c r="Y1504" s="170"/>
      <c r="Z1504" s="170"/>
    </row>
    <row r="1505" spans="1:26">
      <c r="A1505" s="170"/>
      <c r="B1505" s="171"/>
      <c r="C1505" s="170"/>
      <c r="D1505" s="172"/>
      <c r="E1505" s="172"/>
      <c r="F1505" s="173"/>
      <c r="G1505" s="172"/>
      <c r="H1505" s="172"/>
      <c r="I1505" s="174"/>
      <c r="J1505" s="174"/>
      <c r="K1505" s="175"/>
      <c r="L1505" s="175"/>
      <c r="M1505" s="170"/>
      <c r="N1505" s="170"/>
      <c r="O1505" s="176"/>
      <c r="P1505" s="173"/>
      <c r="Q1505" s="177"/>
      <c r="R1505" s="178"/>
      <c r="S1505" s="178"/>
      <c r="T1505" s="179"/>
      <c r="U1505" s="179"/>
      <c r="V1505" s="179"/>
      <c r="W1505" s="176"/>
      <c r="X1505" s="180"/>
      <c r="Y1505" s="170"/>
      <c r="Z1505" s="170"/>
    </row>
    <row r="1506" spans="1:26">
      <c r="A1506" s="170"/>
      <c r="B1506" s="171"/>
      <c r="C1506" s="170"/>
      <c r="D1506" s="172"/>
      <c r="E1506" s="172"/>
      <c r="F1506" s="173"/>
      <c r="G1506" s="172"/>
      <c r="H1506" s="172"/>
      <c r="I1506" s="174"/>
      <c r="J1506" s="174"/>
      <c r="K1506" s="175"/>
      <c r="L1506" s="175"/>
      <c r="M1506" s="170"/>
      <c r="N1506" s="170"/>
      <c r="O1506" s="176"/>
      <c r="P1506" s="173"/>
      <c r="Q1506" s="177"/>
      <c r="R1506" s="178"/>
      <c r="S1506" s="178"/>
      <c r="T1506" s="179"/>
      <c r="U1506" s="179"/>
      <c r="V1506" s="179"/>
      <c r="W1506" s="176"/>
      <c r="X1506" s="180"/>
      <c r="Y1506" s="170"/>
      <c r="Z1506" s="170"/>
    </row>
    <row r="1507" spans="1:26">
      <c r="A1507" s="170"/>
      <c r="B1507" s="171"/>
      <c r="C1507" s="170"/>
      <c r="D1507" s="172"/>
      <c r="E1507" s="172"/>
      <c r="F1507" s="173"/>
      <c r="G1507" s="172"/>
      <c r="H1507" s="172"/>
      <c r="I1507" s="174"/>
      <c r="J1507" s="174"/>
      <c r="K1507" s="175"/>
      <c r="L1507" s="175"/>
      <c r="M1507" s="170"/>
      <c r="N1507" s="170"/>
      <c r="O1507" s="176"/>
      <c r="P1507" s="173"/>
      <c r="Q1507" s="177"/>
      <c r="R1507" s="178"/>
      <c r="S1507" s="178"/>
      <c r="T1507" s="179"/>
      <c r="U1507" s="179"/>
      <c r="V1507" s="179"/>
      <c r="W1507" s="176"/>
      <c r="X1507" s="180"/>
      <c r="Y1507" s="170"/>
      <c r="Z1507" s="170"/>
    </row>
    <row r="1508" spans="1:26">
      <c r="A1508" s="170"/>
      <c r="B1508" s="171"/>
      <c r="C1508" s="170"/>
      <c r="D1508" s="172"/>
      <c r="E1508" s="172"/>
      <c r="F1508" s="173"/>
      <c r="G1508" s="172"/>
      <c r="H1508" s="172"/>
      <c r="I1508" s="174"/>
      <c r="J1508" s="174"/>
      <c r="K1508" s="175"/>
      <c r="L1508" s="175"/>
      <c r="M1508" s="170"/>
      <c r="N1508" s="170"/>
      <c r="O1508" s="176"/>
      <c r="P1508" s="173"/>
      <c r="Q1508" s="177"/>
      <c r="R1508" s="178"/>
      <c r="S1508" s="178"/>
      <c r="T1508" s="179"/>
      <c r="U1508" s="179"/>
      <c r="V1508" s="179"/>
      <c r="W1508" s="176"/>
      <c r="X1508" s="180"/>
      <c r="Y1508" s="170"/>
      <c r="Z1508" s="170"/>
    </row>
    <row r="1509" spans="1:26">
      <c r="A1509" s="170"/>
      <c r="B1509" s="171"/>
      <c r="C1509" s="170"/>
      <c r="D1509" s="172"/>
      <c r="E1509" s="172"/>
      <c r="F1509" s="173"/>
      <c r="G1509" s="172"/>
      <c r="H1509" s="172"/>
      <c r="I1509" s="174"/>
      <c r="J1509" s="174"/>
      <c r="K1509" s="175"/>
      <c r="L1509" s="175"/>
      <c r="M1509" s="170"/>
      <c r="N1509" s="170"/>
      <c r="O1509" s="176"/>
      <c r="P1509" s="173"/>
      <c r="Q1509" s="177"/>
      <c r="R1509" s="178"/>
      <c r="S1509" s="178"/>
      <c r="T1509" s="179"/>
      <c r="U1509" s="179"/>
      <c r="V1509" s="179"/>
      <c r="W1509" s="176"/>
      <c r="X1509" s="180"/>
      <c r="Y1509" s="170"/>
      <c r="Z1509" s="170"/>
    </row>
    <row r="1510" spans="1:26">
      <c r="A1510" s="170"/>
      <c r="B1510" s="171"/>
      <c r="C1510" s="170"/>
      <c r="D1510" s="172"/>
      <c r="E1510" s="172"/>
      <c r="F1510" s="173"/>
      <c r="G1510" s="172"/>
      <c r="H1510" s="172"/>
      <c r="I1510" s="174"/>
      <c r="J1510" s="174"/>
      <c r="K1510" s="175"/>
      <c r="L1510" s="175"/>
      <c r="M1510" s="170"/>
      <c r="N1510" s="170"/>
      <c r="O1510" s="176"/>
      <c r="P1510" s="173"/>
      <c r="Q1510" s="177"/>
      <c r="R1510" s="178"/>
      <c r="S1510" s="178"/>
      <c r="T1510" s="179"/>
      <c r="U1510" s="179"/>
      <c r="V1510" s="179"/>
      <c r="W1510" s="176"/>
      <c r="X1510" s="180"/>
      <c r="Y1510" s="170"/>
      <c r="Z1510" s="170"/>
    </row>
    <row r="1511" spans="1:26">
      <c r="A1511" s="170"/>
      <c r="B1511" s="171"/>
      <c r="C1511" s="170"/>
      <c r="D1511" s="172"/>
      <c r="E1511" s="172"/>
      <c r="F1511" s="173"/>
      <c r="G1511" s="172"/>
      <c r="H1511" s="172"/>
      <c r="I1511" s="174"/>
      <c r="J1511" s="174"/>
      <c r="K1511" s="175"/>
      <c r="L1511" s="175"/>
      <c r="M1511" s="170"/>
      <c r="N1511" s="170"/>
      <c r="O1511" s="176"/>
      <c r="P1511" s="173"/>
      <c r="Q1511" s="177"/>
      <c r="R1511" s="178"/>
      <c r="S1511" s="178"/>
      <c r="T1511" s="179"/>
      <c r="U1511" s="179"/>
      <c r="V1511" s="179"/>
      <c r="W1511" s="176"/>
      <c r="X1511" s="180"/>
      <c r="Y1511" s="170"/>
      <c r="Z1511" s="170"/>
    </row>
    <row r="1512" spans="1:26">
      <c r="A1512" s="170"/>
      <c r="B1512" s="171"/>
      <c r="C1512" s="170"/>
      <c r="D1512" s="172"/>
      <c r="E1512" s="172"/>
      <c r="F1512" s="173"/>
      <c r="G1512" s="172"/>
      <c r="H1512" s="172"/>
      <c r="I1512" s="174"/>
      <c r="J1512" s="174"/>
      <c r="K1512" s="175"/>
      <c r="L1512" s="175"/>
      <c r="M1512" s="170"/>
      <c r="N1512" s="170"/>
      <c r="O1512" s="176"/>
      <c r="P1512" s="173"/>
      <c r="Q1512" s="177"/>
      <c r="R1512" s="178"/>
      <c r="S1512" s="178"/>
      <c r="T1512" s="179"/>
      <c r="U1512" s="179"/>
      <c r="V1512" s="179"/>
      <c r="W1512" s="176"/>
      <c r="X1512" s="180"/>
      <c r="Y1512" s="170"/>
      <c r="Z1512" s="170"/>
    </row>
    <row r="1513" spans="1:26">
      <c r="A1513" s="170"/>
      <c r="B1513" s="171"/>
      <c r="C1513" s="170"/>
      <c r="D1513" s="172"/>
      <c r="E1513" s="172"/>
      <c r="F1513" s="173"/>
      <c r="G1513" s="172"/>
      <c r="H1513" s="172"/>
      <c r="I1513" s="174"/>
      <c r="J1513" s="174"/>
      <c r="K1513" s="175"/>
      <c r="L1513" s="175"/>
      <c r="M1513" s="170"/>
      <c r="N1513" s="170"/>
      <c r="O1513" s="176"/>
      <c r="P1513" s="173"/>
      <c r="Q1513" s="177"/>
      <c r="R1513" s="178"/>
      <c r="S1513" s="178"/>
      <c r="T1513" s="179"/>
      <c r="U1513" s="179"/>
      <c r="V1513" s="179"/>
      <c r="W1513" s="176"/>
      <c r="X1513" s="180"/>
      <c r="Y1513" s="170"/>
      <c r="Z1513" s="170"/>
    </row>
    <row r="1514" spans="1:26">
      <c r="A1514" s="170"/>
      <c r="B1514" s="171"/>
      <c r="C1514" s="170"/>
      <c r="D1514" s="172"/>
      <c r="E1514" s="172"/>
      <c r="F1514" s="173"/>
      <c r="G1514" s="172"/>
      <c r="H1514" s="172"/>
      <c r="I1514" s="174"/>
      <c r="J1514" s="174"/>
      <c r="K1514" s="175"/>
      <c r="L1514" s="175"/>
      <c r="M1514" s="170"/>
      <c r="N1514" s="170"/>
      <c r="O1514" s="176"/>
      <c r="P1514" s="173"/>
      <c r="Q1514" s="177"/>
      <c r="R1514" s="178"/>
      <c r="S1514" s="178"/>
      <c r="T1514" s="179"/>
      <c r="U1514" s="179"/>
      <c r="V1514" s="179"/>
      <c r="W1514" s="176"/>
      <c r="X1514" s="180"/>
      <c r="Y1514" s="170"/>
      <c r="Z1514" s="170"/>
    </row>
    <row r="1515" spans="1:26">
      <c r="A1515" s="170"/>
      <c r="B1515" s="171"/>
      <c r="C1515" s="170"/>
      <c r="D1515" s="172"/>
      <c r="E1515" s="172"/>
      <c r="F1515" s="173"/>
      <c r="G1515" s="172"/>
      <c r="H1515" s="172"/>
      <c r="I1515" s="174"/>
      <c r="J1515" s="174"/>
      <c r="K1515" s="175"/>
      <c r="L1515" s="175"/>
      <c r="M1515" s="170"/>
      <c r="N1515" s="170"/>
      <c r="O1515" s="176"/>
      <c r="P1515" s="173"/>
      <c r="Q1515" s="177"/>
      <c r="R1515" s="178"/>
      <c r="S1515" s="178"/>
      <c r="T1515" s="179"/>
      <c r="U1515" s="179"/>
      <c r="V1515" s="179"/>
      <c r="W1515" s="176"/>
      <c r="X1515" s="180"/>
      <c r="Y1515" s="170"/>
      <c r="Z1515" s="170"/>
    </row>
    <row r="1516" spans="1:26">
      <c r="A1516" s="170"/>
      <c r="B1516" s="171"/>
      <c r="C1516" s="170"/>
      <c r="D1516" s="172"/>
      <c r="E1516" s="172"/>
      <c r="F1516" s="173"/>
      <c r="G1516" s="172"/>
      <c r="H1516" s="172"/>
      <c r="I1516" s="174"/>
      <c r="J1516" s="174"/>
      <c r="K1516" s="175"/>
      <c r="L1516" s="175"/>
      <c r="M1516" s="170"/>
      <c r="N1516" s="170"/>
      <c r="O1516" s="176"/>
      <c r="P1516" s="173"/>
      <c r="Q1516" s="177"/>
      <c r="R1516" s="178"/>
      <c r="S1516" s="178"/>
      <c r="T1516" s="179"/>
      <c r="U1516" s="179"/>
      <c r="V1516" s="179"/>
      <c r="W1516" s="176"/>
      <c r="X1516" s="180"/>
      <c r="Y1516" s="170"/>
      <c r="Z1516" s="170"/>
    </row>
    <row r="1517" spans="1:26">
      <c r="A1517" s="170"/>
      <c r="B1517" s="171"/>
      <c r="C1517" s="170"/>
      <c r="D1517" s="172"/>
      <c r="E1517" s="172"/>
      <c r="F1517" s="173"/>
      <c r="G1517" s="172"/>
      <c r="H1517" s="172"/>
      <c r="I1517" s="174"/>
      <c r="J1517" s="174"/>
      <c r="K1517" s="175"/>
      <c r="L1517" s="175"/>
      <c r="M1517" s="170"/>
      <c r="N1517" s="170"/>
      <c r="O1517" s="176"/>
      <c r="P1517" s="173"/>
      <c r="Q1517" s="177"/>
      <c r="R1517" s="178"/>
      <c r="S1517" s="178"/>
      <c r="T1517" s="179"/>
      <c r="U1517" s="179"/>
      <c r="V1517" s="179"/>
      <c r="W1517" s="176"/>
      <c r="X1517" s="180"/>
      <c r="Y1517" s="170"/>
      <c r="Z1517" s="170"/>
    </row>
    <row r="1518" spans="1:26">
      <c r="A1518" s="170"/>
      <c r="B1518" s="171"/>
      <c r="C1518" s="170"/>
      <c r="D1518" s="172"/>
      <c r="E1518" s="172"/>
      <c r="F1518" s="173"/>
      <c r="G1518" s="172"/>
      <c r="H1518" s="172"/>
      <c r="I1518" s="174"/>
      <c r="J1518" s="174"/>
      <c r="K1518" s="175"/>
      <c r="L1518" s="175"/>
      <c r="M1518" s="170"/>
      <c r="N1518" s="170"/>
      <c r="O1518" s="176"/>
      <c r="P1518" s="173"/>
      <c r="Q1518" s="177"/>
      <c r="R1518" s="178"/>
      <c r="S1518" s="178"/>
      <c r="T1518" s="179"/>
      <c r="U1518" s="179"/>
      <c r="V1518" s="179"/>
      <c r="W1518" s="176"/>
      <c r="X1518" s="180"/>
      <c r="Y1518" s="170"/>
      <c r="Z1518" s="170"/>
    </row>
    <row r="1519" spans="1:26">
      <c r="A1519" s="170"/>
      <c r="B1519" s="171"/>
      <c r="C1519" s="170"/>
      <c r="D1519" s="172"/>
      <c r="E1519" s="172"/>
      <c r="F1519" s="173"/>
      <c r="G1519" s="172"/>
      <c r="H1519" s="172"/>
      <c r="I1519" s="174"/>
      <c r="J1519" s="174"/>
      <c r="K1519" s="175"/>
      <c r="L1519" s="175"/>
      <c r="M1519" s="170"/>
      <c r="N1519" s="170"/>
      <c r="O1519" s="176"/>
      <c r="P1519" s="173"/>
      <c r="Q1519" s="177"/>
      <c r="R1519" s="178"/>
      <c r="S1519" s="178"/>
      <c r="T1519" s="179"/>
      <c r="U1519" s="179"/>
      <c r="V1519" s="179"/>
      <c r="W1519" s="176"/>
      <c r="X1519" s="180"/>
      <c r="Y1519" s="170"/>
      <c r="Z1519" s="170"/>
    </row>
    <row r="1520" spans="1:26">
      <c r="A1520" s="170"/>
      <c r="B1520" s="171"/>
      <c r="C1520" s="170"/>
      <c r="D1520" s="172"/>
      <c r="E1520" s="172"/>
      <c r="F1520" s="173"/>
      <c r="G1520" s="172"/>
      <c r="H1520" s="172"/>
      <c r="I1520" s="174"/>
      <c r="J1520" s="174"/>
      <c r="K1520" s="175"/>
      <c r="L1520" s="175"/>
      <c r="M1520" s="170"/>
      <c r="N1520" s="170"/>
      <c r="O1520" s="176"/>
      <c r="P1520" s="173"/>
      <c r="Q1520" s="177"/>
      <c r="R1520" s="178"/>
      <c r="S1520" s="178"/>
      <c r="T1520" s="179"/>
      <c r="U1520" s="179"/>
      <c r="V1520" s="179"/>
      <c r="W1520" s="176"/>
      <c r="X1520" s="180"/>
      <c r="Y1520" s="170"/>
      <c r="Z1520" s="170"/>
    </row>
    <row r="1521" spans="1:26">
      <c r="A1521" s="170"/>
      <c r="B1521" s="171"/>
      <c r="C1521" s="170"/>
      <c r="D1521" s="172"/>
      <c r="E1521" s="172"/>
      <c r="F1521" s="173"/>
      <c r="G1521" s="172"/>
      <c r="H1521" s="172"/>
      <c r="I1521" s="174"/>
      <c r="J1521" s="174"/>
      <c r="K1521" s="175"/>
      <c r="L1521" s="175"/>
      <c r="M1521" s="170"/>
      <c r="N1521" s="170"/>
      <c r="O1521" s="176"/>
      <c r="P1521" s="173"/>
      <c r="Q1521" s="177"/>
      <c r="R1521" s="178"/>
      <c r="S1521" s="178"/>
      <c r="T1521" s="179"/>
      <c r="U1521" s="179"/>
      <c r="V1521" s="179"/>
      <c r="W1521" s="176"/>
      <c r="X1521" s="180"/>
      <c r="Y1521" s="170"/>
      <c r="Z1521" s="170"/>
    </row>
    <row r="1522" spans="1:26">
      <c r="A1522" s="170"/>
      <c r="B1522" s="171"/>
      <c r="C1522" s="170"/>
      <c r="D1522" s="172"/>
      <c r="E1522" s="172"/>
      <c r="F1522" s="173"/>
      <c r="G1522" s="172"/>
      <c r="H1522" s="172"/>
      <c r="I1522" s="174"/>
      <c r="J1522" s="174"/>
      <c r="K1522" s="175"/>
      <c r="L1522" s="175"/>
      <c r="M1522" s="170"/>
      <c r="N1522" s="170"/>
      <c r="O1522" s="176"/>
      <c r="P1522" s="173"/>
      <c r="Q1522" s="177"/>
      <c r="R1522" s="178"/>
      <c r="S1522" s="178"/>
      <c r="T1522" s="179"/>
      <c r="U1522" s="179"/>
      <c r="V1522" s="179"/>
      <c r="W1522" s="176"/>
      <c r="X1522" s="180"/>
      <c r="Y1522" s="170"/>
      <c r="Z1522" s="170"/>
    </row>
    <row r="1523" spans="1:26">
      <c r="A1523" s="170"/>
      <c r="B1523" s="171"/>
      <c r="C1523" s="170"/>
      <c r="D1523" s="172"/>
      <c r="E1523" s="172"/>
      <c r="F1523" s="173"/>
      <c r="G1523" s="172"/>
      <c r="H1523" s="172"/>
      <c r="I1523" s="174"/>
      <c r="J1523" s="174"/>
      <c r="K1523" s="175"/>
      <c r="L1523" s="175"/>
      <c r="M1523" s="170"/>
      <c r="N1523" s="170"/>
      <c r="O1523" s="176"/>
      <c r="P1523" s="173"/>
      <c r="Q1523" s="177"/>
      <c r="R1523" s="178"/>
      <c r="S1523" s="178"/>
      <c r="T1523" s="179"/>
      <c r="U1523" s="179"/>
      <c r="V1523" s="179"/>
      <c r="W1523" s="176"/>
      <c r="X1523" s="180"/>
      <c r="Y1523" s="170"/>
      <c r="Z1523" s="170"/>
    </row>
    <row r="1524" spans="1:26">
      <c r="A1524" s="170"/>
      <c r="B1524" s="171"/>
      <c r="C1524" s="170"/>
      <c r="D1524" s="172"/>
      <c r="E1524" s="172"/>
      <c r="F1524" s="173"/>
      <c r="G1524" s="172"/>
      <c r="H1524" s="172"/>
      <c r="I1524" s="174"/>
      <c r="J1524" s="174"/>
      <c r="K1524" s="175"/>
      <c r="L1524" s="175"/>
      <c r="M1524" s="170"/>
      <c r="N1524" s="170"/>
      <c r="O1524" s="176"/>
      <c r="P1524" s="173"/>
      <c r="Q1524" s="177"/>
      <c r="R1524" s="178"/>
      <c r="S1524" s="178"/>
      <c r="T1524" s="179"/>
      <c r="U1524" s="179"/>
      <c r="V1524" s="179"/>
      <c r="W1524" s="176"/>
      <c r="X1524" s="180"/>
      <c r="Y1524" s="170"/>
      <c r="Z1524" s="170"/>
    </row>
    <row r="1525" spans="1:26">
      <c r="A1525" s="170"/>
      <c r="B1525" s="171"/>
      <c r="C1525" s="170"/>
      <c r="D1525" s="172"/>
      <c r="E1525" s="172"/>
      <c r="F1525" s="173"/>
      <c r="G1525" s="172"/>
      <c r="H1525" s="172"/>
      <c r="I1525" s="174"/>
      <c r="J1525" s="174"/>
      <c r="K1525" s="175"/>
      <c r="L1525" s="175"/>
      <c r="M1525" s="170"/>
      <c r="N1525" s="170"/>
      <c r="O1525" s="176"/>
      <c r="P1525" s="173"/>
      <c r="Q1525" s="177"/>
      <c r="R1525" s="178"/>
      <c r="S1525" s="178"/>
      <c r="T1525" s="179"/>
      <c r="U1525" s="179"/>
      <c r="V1525" s="179"/>
      <c r="W1525" s="176"/>
      <c r="X1525" s="180"/>
      <c r="Y1525" s="170"/>
      <c r="Z1525" s="170"/>
    </row>
    <row r="1526" spans="1:26">
      <c r="A1526" s="170"/>
      <c r="B1526" s="171"/>
      <c r="C1526" s="170"/>
      <c r="D1526" s="172"/>
      <c r="E1526" s="172"/>
      <c r="F1526" s="173"/>
      <c r="G1526" s="172"/>
      <c r="H1526" s="172"/>
      <c r="I1526" s="174"/>
      <c r="J1526" s="174"/>
      <c r="K1526" s="175"/>
      <c r="L1526" s="175"/>
      <c r="M1526" s="170"/>
      <c r="N1526" s="170"/>
      <c r="O1526" s="176"/>
      <c r="P1526" s="173"/>
      <c r="Q1526" s="177"/>
      <c r="R1526" s="178"/>
      <c r="S1526" s="178"/>
      <c r="T1526" s="179"/>
      <c r="U1526" s="179"/>
      <c r="V1526" s="179"/>
      <c r="W1526" s="176"/>
      <c r="X1526" s="180"/>
      <c r="Y1526" s="170"/>
      <c r="Z1526" s="170"/>
    </row>
    <row r="1527" spans="1:26">
      <c r="A1527" s="170"/>
      <c r="B1527" s="171"/>
      <c r="C1527" s="170"/>
      <c r="D1527" s="172"/>
      <c r="E1527" s="172"/>
      <c r="F1527" s="173"/>
      <c r="G1527" s="172"/>
      <c r="H1527" s="172"/>
      <c r="I1527" s="174"/>
      <c r="J1527" s="174"/>
      <c r="K1527" s="175"/>
      <c r="L1527" s="175"/>
      <c r="M1527" s="170"/>
      <c r="N1527" s="170"/>
      <c r="O1527" s="176"/>
      <c r="P1527" s="173"/>
      <c r="Q1527" s="177"/>
      <c r="R1527" s="178"/>
      <c r="S1527" s="178"/>
      <c r="T1527" s="179"/>
      <c r="U1527" s="179"/>
      <c r="V1527" s="179"/>
      <c r="W1527" s="176"/>
      <c r="X1527" s="180"/>
      <c r="Y1527" s="170"/>
      <c r="Z1527" s="170"/>
    </row>
    <row r="1528" spans="1:26">
      <c r="A1528" s="170"/>
      <c r="B1528" s="171"/>
      <c r="C1528" s="170"/>
      <c r="D1528" s="172"/>
      <c r="E1528" s="172"/>
      <c r="F1528" s="173"/>
      <c r="G1528" s="172"/>
      <c r="H1528" s="172"/>
      <c r="I1528" s="174"/>
      <c r="J1528" s="174"/>
      <c r="K1528" s="175"/>
      <c r="L1528" s="175"/>
      <c r="M1528" s="170"/>
      <c r="N1528" s="170"/>
      <c r="O1528" s="176"/>
      <c r="P1528" s="173"/>
      <c r="Q1528" s="177"/>
      <c r="R1528" s="178"/>
      <c r="S1528" s="178"/>
      <c r="T1528" s="179"/>
      <c r="U1528" s="179"/>
      <c r="V1528" s="179"/>
      <c r="W1528" s="176"/>
      <c r="X1528" s="180"/>
      <c r="Y1528" s="170"/>
      <c r="Z1528" s="170"/>
    </row>
    <row r="1529" spans="1:26">
      <c r="A1529" s="170"/>
      <c r="B1529" s="171"/>
      <c r="C1529" s="170"/>
      <c r="D1529" s="172"/>
      <c r="E1529" s="172"/>
      <c r="F1529" s="173"/>
      <c r="G1529" s="172"/>
      <c r="H1529" s="172"/>
      <c r="I1529" s="174"/>
      <c r="J1529" s="174"/>
      <c r="K1529" s="175"/>
      <c r="L1529" s="175"/>
      <c r="M1529" s="170"/>
      <c r="N1529" s="170"/>
      <c r="O1529" s="176"/>
      <c r="P1529" s="173"/>
      <c r="Q1529" s="177"/>
      <c r="R1529" s="178"/>
      <c r="S1529" s="178"/>
      <c r="T1529" s="179"/>
      <c r="U1529" s="179"/>
      <c r="V1529" s="179"/>
      <c r="W1529" s="176"/>
      <c r="X1529" s="180"/>
      <c r="Y1529" s="170"/>
      <c r="Z1529" s="170"/>
    </row>
    <row r="1530" spans="1:26">
      <c r="A1530" s="170"/>
      <c r="B1530" s="171"/>
      <c r="C1530" s="170"/>
      <c r="D1530" s="172"/>
      <c r="E1530" s="172"/>
      <c r="F1530" s="173"/>
      <c r="G1530" s="172"/>
      <c r="H1530" s="172"/>
      <c r="I1530" s="174"/>
      <c r="J1530" s="174"/>
      <c r="K1530" s="175"/>
      <c r="L1530" s="175"/>
      <c r="M1530" s="170"/>
      <c r="N1530" s="170"/>
      <c r="O1530" s="176"/>
      <c r="P1530" s="173"/>
      <c r="Q1530" s="177"/>
      <c r="R1530" s="178"/>
      <c r="S1530" s="178"/>
      <c r="T1530" s="179"/>
      <c r="U1530" s="179"/>
      <c r="V1530" s="179"/>
      <c r="W1530" s="176"/>
      <c r="X1530" s="180"/>
      <c r="Y1530" s="170"/>
      <c r="Z1530" s="170"/>
    </row>
    <row r="1531" spans="1:26">
      <c r="A1531" s="170"/>
      <c r="B1531" s="171"/>
      <c r="C1531" s="170"/>
      <c r="D1531" s="172"/>
      <c r="E1531" s="172"/>
      <c r="F1531" s="173"/>
      <c r="G1531" s="172"/>
      <c r="H1531" s="172"/>
      <c r="I1531" s="174"/>
      <c r="J1531" s="174"/>
      <c r="K1531" s="175"/>
      <c r="L1531" s="175"/>
      <c r="M1531" s="170"/>
      <c r="N1531" s="170"/>
      <c r="O1531" s="176"/>
      <c r="P1531" s="173"/>
      <c r="Q1531" s="177"/>
      <c r="R1531" s="178"/>
      <c r="S1531" s="178"/>
      <c r="T1531" s="179"/>
      <c r="U1531" s="179"/>
      <c r="V1531" s="179"/>
      <c r="W1531" s="176"/>
      <c r="X1531" s="180"/>
      <c r="Y1531" s="170"/>
      <c r="Z1531" s="170"/>
    </row>
    <row r="1532" spans="1:26">
      <c r="A1532" s="170"/>
      <c r="B1532" s="171"/>
      <c r="C1532" s="170"/>
      <c r="D1532" s="172"/>
      <c r="E1532" s="172"/>
      <c r="F1532" s="173"/>
      <c r="G1532" s="172"/>
      <c r="H1532" s="172"/>
      <c r="I1532" s="174"/>
      <c r="J1532" s="174"/>
      <c r="K1532" s="175"/>
      <c r="L1532" s="175"/>
      <c r="M1532" s="170"/>
      <c r="N1532" s="170"/>
      <c r="O1532" s="176"/>
      <c r="P1532" s="173"/>
      <c r="Q1532" s="177"/>
      <c r="R1532" s="178"/>
      <c r="S1532" s="178"/>
      <c r="T1532" s="179"/>
      <c r="U1532" s="179"/>
      <c r="V1532" s="179"/>
      <c r="W1532" s="176"/>
      <c r="X1532" s="180"/>
      <c r="Y1532" s="170"/>
      <c r="Z1532" s="170"/>
    </row>
    <row r="1533" spans="1:26">
      <c r="A1533" s="170"/>
      <c r="B1533" s="171"/>
      <c r="C1533" s="170"/>
      <c r="D1533" s="172"/>
      <c r="E1533" s="172"/>
      <c r="F1533" s="173"/>
      <c r="G1533" s="172"/>
      <c r="H1533" s="172"/>
      <c r="I1533" s="174"/>
      <c r="J1533" s="174"/>
      <c r="K1533" s="175"/>
      <c r="L1533" s="175"/>
      <c r="M1533" s="170"/>
      <c r="N1533" s="170"/>
      <c r="O1533" s="176"/>
      <c r="P1533" s="173"/>
      <c r="Q1533" s="177"/>
      <c r="R1533" s="178"/>
      <c r="S1533" s="178"/>
      <c r="T1533" s="179"/>
      <c r="U1533" s="179"/>
      <c r="V1533" s="179"/>
      <c r="W1533" s="176"/>
      <c r="X1533" s="180"/>
      <c r="Y1533" s="170"/>
      <c r="Z1533" s="170"/>
    </row>
    <row r="1534" spans="1:26">
      <c r="A1534" s="170"/>
      <c r="B1534" s="171"/>
      <c r="C1534" s="170"/>
      <c r="D1534" s="172"/>
      <c r="E1534" s="172"/>
      <c r="F1534" s="173"/>
      <c r="G1534" s="172"/>
      <c r="H1534" s="172"/>
      <c r="I1534" s="174"/>
      <c r="J1534" s="174"/>
      <c r="K1534" s="175"/>
      <c r="L1534" s="175"/>
      <c r="M1534" s="170"/>
      <c r="N1534" s="170"/>
      <c r="O1534" s="176"/>
      <c r="P1534" s="173"/>
      <c r="Q1534" s="177"/>
      <c r="R1534" s="178"/>
      <c r="S1534" s="178"/>
      <c r="T1534" s="179"/>
      <c r="U1534" s="179"/>
      <c r="V1534" s="179"/>
      <c r="W1534" s="176"/>
      <c r="X1534" s="180"/>
      <c r="Y1534" s="170"/>
      <c r="Z1534" s="170"/>
    </row>
    <row r="1535" spans="1:26">
      <c r="A1535" s="170"/>
      <c r="B1535" s="171"/>
      <c r="C1535" s="170"/>
      <c r="D1535" s="172"/>
      <c r="E1535" s="172"/>
      <c r="F1535" s="173"/>
      <c r="G1535" s="172"/>
      <c r="H1535" s="172"/>
      <c r="I1535" s="174"/>
      <c r="J1535" s="174"/>
      <c r="K1535" s="175"/>
      <c r="L1535" s="175"/>
      <c r="M1535" s="170"/>
      <c r="N1535" s="170"/>
      <c r="O1535" s="176"/>
      <c r="P1535" s="173"/>
      <c r="Q1535" s="177"/>
      <c r="R1535" s="178"/>
      <c r="S1535" s="178"/>
      <c r="T1535" s="179"/>
      <c r="U1535" s="179"/>
      <c r="V1535" s="179"/>
      <c r="W1535" s="176"/>
      <c r="X1535" s="180"/>
      <c r="Y1535" s="170"/>
      <c r="Z1535" s="170"/>
    </row>
    <row r="1536" spans="1:26">
      <c r="A1536" s="170"/>
      <c r="B1536" s="171"/>
      <c r="C1536" s="170"/>
      <c r="D1536" s="172"/>
      <c r="E1536" s="172"/>
      <c r="F1536" s="173"/>
      <c r="G1536" s="172"/>
      <c r="H1536" s="172"/>
      <c r="I1536" s="174"/>
      <c r="J1536" s="174"/>
      <c r="K1536" s="175"/>
      <c r="L1536" s="175"/>
      <c r="M1536" s="170"/>
      <c r="N1536" s="170"/>
      <c r="O1536" s="176"/>
      <c r="P1536" s="173"/>
      <c r="Q1536" s="177"/>
      <c r="R1536" s="178"/>
      <c r="S1536" s="178"/>
      <c r="T1536" s="179"/>
      <c r="U1536" s="179"/>
      <c r="V1536" s="179"/>
      <c r="W1536" s="176"/>
      <c r="X1536" s="180"/>
      <c r="Y1536" s="170"/>
      <c r="Z1536" s="170"/>
    </row>
    <row r="1537" spans="1:26">
      <c r="A1537" s="170"/>
      <c r="B1537" s="171"/>
      <c r="C1537" s="170"/>
      <c r="D1537" s="172"/>
      <c r="E1537" s="172"/>
      <c r="F1537" s="173"/>
      <c r="G1537" s="172"/>
      <c r="H1537" s="172"/>
      <c r="I1537" s="174"/>
      <c r="J1537" s="174"/>
      <c r="K1537" s="175"/>
      <c r="L1537" s="175"/>
      <c r="M1537" s="170"/>
      <c r="N1537" s="170"/>
      <c r="O1537" s="176"/>
      <c r="P1537" s="173"/>
      <c r="Q1537" s="177"/>
      <c r="R1537" s="178"/>
      <c r="S1537" s="178"/>
      <c r="T1537" s="179"/>
      <c r="U1537" s="179"/>
      <c r="V1537" s="179"/>
      <c r="W1537" s="176"/>
      <c r="X1537" s="180"/>
      <c r="Y1537" s="170"/>
      <c r="Z1537" s="170"/>
    </row>
    <row r="1538" spans="1:26">
      <c r="A1538" s="170"/>
      <c r="B1538" s="171"/>
      <c r="C1538" s="170"/>
      <c r="D1538" s="172"/>
      <c r="E1538" s="172"/>
      <c r="F1538" s="173"/>
      <c r="G1538" s="172"/>
      <c r="H1538" s="172"/>
      <c r="I1538" s="174"/>
      <c r="J1538" s="174"/>
      <c r="K1538" s="175"/>
      <c r="L1538" s="175"/>
      <c r="M1538" s="170"/>
      <c r="N1538" s="170"/>
      <c r="O1538" s="176"/>
      <c r="P1538" s="173"/>
      <c r="Q1538" s="177"/>
      <c r="R1538" s="178"/>
      <c r="S1538" s="178"/>
      <c r="T1538" s="179"/>
      <c r="U1538" s="179"/>
      <c r="V1538" s="179"/>
      <c r="W1538" s="176"/>
      <c r="X1538" s="180"/>
      <c r="Y1538" s="170"/>
      <c r="Z1538" s="170"/>
    </row>
    <row r="1539" spans="1:26">
      <c r="A1539" s="170"/>
      <c r="B1539" s="171"/>
      <c r="C1539" s="170"/>
      <c r="D1539" s="172"/>
      <c r="E1539" s="172"/>
      <c r="F1539" s="173"/>
      <c r="G1539" s="172"/>
      <c r="H1539" s="172"/>
      <c r="I1539" s="174"/>
      <c r="J1539" s="174"/>
      <c r="K1539" s="175"/>
      <c r="L1539" s="175"/>
      <c r="M1539" s="170"/>
      <c r="N1539" s="170"/>
      <c r="O1539" s="176"/>
      <c r="P1539" s="173"/>
      <c r="Q1539" s="177"/>
      <c r="R1539" s="178"/>
      <c r="S1539" s="178"/>
      <c r="T1539" s="179"/>
      <c r="U1539" s="179"/>
      <c r="V1539" s="179"/>
      <c r="W1539" s="176"/>
      <c r="X1539" s="180"/>
      <c r="Y1539" s="170"/>
      <c r="Z1539" s="170"/>
    </row>
    <row r="1540" spans="1:26">
      <c r="A1540" s="170"/>
      <c r="B1540" s="171"/>
      <c r="C1540" s="170"/>
      <c r="D1540" s="172"/>
      <c r="E1540" s="172"/>
      <c r="F1540" s="173"/>
      <c r="G1540" s="172"/>
      <c r="H1540" s="172"/>
      <c r="I1540" s="174"/>
      <c r="J1540" s="174"/>
      <c r="K1540" s="175"/>
      <c r="L1540" s="175"/>
      <c r="M1540" s="170"/>
      <c r="N1540" s="170"/>
      <c r="O1540" s="176"/>
      <c r="P1540" s="173"/>
      <c r="Q1540" s="177"/>
      <c r="R1540" s="178"/>
      <c r="S1540" s="178"/>
      <c r="T1540" s="179"/>
      <c r="U1540" s="179"/>
      <c r="V1540" s="179"/>
      <c r="W1540" s="176"/>
      <c r="X1540" s="180"/>
      <c r="Y1540" s="170"/>
      <c r="Z1540" s="170"/>
    </row>
    <row r="1541" spans="1:26">
      <c r="A1541" s="170"/>
      <c r="B1541" s="171"/>
      <c r="C1541" s="170"/>
      <c r="D1541" s="172"/>
      <c r="E1541" s="172"/>
      <c r="F1541" s="173"/>
      <c r="G1541" s="172"/>
      <c r="H1541" s="172"/>
      <c r="I1541" s="174"/>
      <c r="J1541" s="174"/>
      <c r="K1541" s="175"/>
      <c r="L1541" s="175"/>
      <c r="M1541" s="170"/>
      <c r="N1541" s="170"/>
      <c r="O1541" s="176"/>
      <c r="P1541" s="173"/>
      <c r="Q1541" s="177"/>
      <c r="R1541" s="178"/>
      <c r="S1541" s="178"/>
      <c r="T1541" s="179"/>
      <c r="U1541" s="179"/>
      <c r="V1541" s="179"/>
      <c r="W1541" s="176"/>
      <c r="X1541" s="180"/>
      <c r="Y1541" s="170"/>
      <c r="Z1541" s="170"/>
    </row>
    <row r="1542" spans="1:26">
      <c r="A1542" s="170"/>
      <c r="B1542" s="171"/>
      <c r="C1542" s="170"/>
      <c r="D1542" s="172"/>
      <c r="E1542" s="172"/>
      <c r="F1542" s="173"/>
      <c r="G1542" s="172"/>
      <c r="H1542" s="172"/>
      <c r="I1542" s="174"/>
      <c r="J1542" s="174"/>
      <c r="K1542" s="175"/>
      <c r="L1542" s="175"/>
      <c r="M1542" s="170"/>
      <c r="N1542" s="170"/>
      <c r="O1542" s="176"/>
      <c r="P1542" s="173"/>
      <c r="Q1542" s="177"/>
      <c r="R1542" s="178"/>
      <c r="S1542" s="178"/>
      <c r="T1542" s="179"/>
      <c r="U1542" s="179"/>
      <c r="V1542" s="179"/>
      <c r="W1542" s="176"/>
      <c r="X1542" s="180"/>
      <c r="Y1542" s="170"/>
      <c r="Z1542" s="170"/>
    </row>
    <row r="1543" spans="1:26">
      <c r="A1543" s="170"/>
      <c r="B1543" s="171"/>
      <c r="C1543" s="170"/>
      <c r="D1543" s="172"/>
      <c r="E1543" s="172"/>
      <c r="F1543" s="173"/>
      <c r="G1543" s="172"/>
      <c r="H1543" s="172"/>
      <c r="I1543" s="174"/>
      <c r="J1543" s="174"/>
      <c r="K1543" s="175"/>
      <c r="L1543" s="175"/>
      <c r="M1543" s="170"/>
      <c r="N1543" s="170"/>
      <c r="O1543" s="176"/>
      <c r="P1543" s="173"/>
      <c r="Q1543" s="177"/>
      <c r="R1543" s="178"/>
      <c r="S1543" s="178"/>
      <c r="T1543" s="179"/>
      <c r="U1543" s="179"/>
      <c r="V1543" s="179"/>
      <c r="W1543" s="176"/>
      <c r="X1543" s="180"/>
      <c r="Y1543" s="170"/>
      <c r="Z1543" s="170"/>
    </row>
    <row r="1544" spans="1:26">
      <c r="A1544" s="170"/>
      <c r="B1544" s="171"/>
      <c r="C1544" s="170"/>
      <c r="D1544" s="172"/>
      <c r="E1544" s="172"/>
      <c r="F1544" s="173"/>
      <c r="G1544" s="172"/>
      <c r="H1544" s="172"/>
      <c r="I1544" s="174"/>
      <c r="J1544" s="174"/>
      <c r="K1544" s="175"/>
      <c r="L1544" s="175"/>
      <c r="M1544" s="170"/>
      <c r="N1544" s="170"/>
      <c r="O1544" s="176"/>
      <c r="P1544" s="173"/>
      <c r="Q1544" s="177"/>
      <c r="R1544" s="178"/>
      <c r="S1544" s="178"/>
      <c r="T1544" s="179"/>
      <c r="U1544" s="179"/>
      <c r="V1544" s="179"/>
      <c r="W1544" s="176"/>
      <c r="X1544" s="180"/>
      <c r="Y1544" s="170"/>
      <c r="Z1544" s="170"/>
    </row>
    <row r="1545" spans="1:26">
      <c r="A1545" s="170"/>
      <c r="B1545" s="171"/>
      <c r="C1545" s="170"/>
      <c r="D1545" s="172"/>
      <c r="E1545" s="172"/>
      <c r="F1545" s="173"/>
      <c r="G1545" s="172"/>
      <c r="H1545" s="172"/>
      <c r="I1545" s="174"/>
      <c r="J1545" s="174"/>
      <c r="K1545" s="175"/>
      <c r="L1545" s="175"/>
      <c r="M1545" s="170"/>
      <c r="N1545" s="170"/>
      <c r="O1545" s="176"/>
      <c r="P1545" s="173"/>
      <c r="Q1545" s="177"/>
      <c r="R1545" s="178"/>
      <c r="S1545" s="178"/>
      <c r="T1545" s="179"/>
      <c r="U1545" s="179"/>
      <c r="V1545" s="179"/>
      <c r="W1545" s="176"/>
      <c r="X1545" s="180"/>
      <c r="Y1545" s="170"/>
      <c r="Z1545" s="170"/>
    </row>
    <row r="1546" spans="1:26">
      <c r="A1546" s="170"/>
      <c r="B1546" s="171"/>
      <c r="C1546" s="170"/>
      <c r="D1546" s="172"/>
      <c r="E1546" s="172"/>
      <c r="F1546" s="173"/>
      <c r="G1546" s="172"/>
      <c r="H1546" s="172"/>
      <c r="I1546" s="174"/>
      <c r="J1546" s="174"/>
      <c r="K1546" s="175"/>
      <c r="L1546" s="175"/>
      <c r="M1546" s="170"/>
      <c r="N1546" s="170"/>
      <c r="O1546" s="176"/>
      <c r="P1546" s="173"/>
      <c r="Q1546" s="177"/>
      <c r="R1546" s="178"/>
      <c r="S1546" s="178"/>
      <c r="T1546" s="179"/>
      <c r="U1546" s="179"/>
      <c r="V1546" s="179"/>
      <c r="W1546" s="176"/>
      <c r="X1546" s="180"/>
      <c r="Y1546" s="170"/>
      <c r="Z1546" s="170"/>
    </row>
    <row r="1547" spans="1:26">
      <c r="A1547" s="170"/>
      <c r="B1547" s="171"/>
      <c r="C1547" s="170"/>
      <c r="D1547" s="172"/>
      <c r="E1547" s="172"/>
      <c r="F1547" s="173"/>
      <c r="G1547" s="172"/>
      <c r="H1547" s="172"/>
      <c r="I1547" s="174"/>
      <c r="J1547" s="174"/>
      <c r="K1547" s="175"/>
      <c r="L1547" s="175"/>
      <c r="M1547" s="170"/>
      <c r="N1547" s="170"/>
      <c r="O1547" s="176"/>
      <c r="P1547" s="173"/>
      <c r="Q1547" s="177"/>
      <c r="R1547" s="178"/>
      <c r="S1547" s="178"/>
      <c r="T1547" s="179"/>
      <c r="U1547" s="179"/>
      <c r="V1547" s="179"/>
      <c r="W1547" s="176"/>
      <c r="X1547" s="180"/>
      <c r="Y1547" s="170"/>
      <c r="Z1547" s="170"/>
    </row>
    <row r="1548" spans="1:26">
      <c r="A1548" s="170"/>
      <c r="B1548" s="171"/>
      <c r="C1548" s="170"/>
      <c r="D1548" s="172"/>
      <c r="E1548" s="172"/>
      <c r="F1548" s="173"/>
      <c r="G1548" s="172"/>
      <c r="H1548" s="172"/>
      <c r="I1548" s="174"/>
      <c r="J1548" s="174"/>
      <c r="K1548" s="175"/>
      <c r="L1548" s="175"/>
      <c r="M1548" s="170"/>
      <c r="N1548" s="170"/>
      <c r="O1548" s="176"/>
      <c r="P1548" s="173"/>
      <c r="Q1548" s="177"/>
      <c r="R1548" s="178"/>
      <c r="S1548" s="178"/>
      <c r="T1548" s="179"/>
      <c r="U1548" s="179"/>
      <c r="V1548" s="179"/>
      <c r="W1548" s="176"/>
      <c r="X1548" s="180"/>
      <c r="Y1548" s="170"/>
      <c r="Z1548" s="170"/>
    </row>
    <row r="1549" spans="1:26">
      <c r="A1549" s="170"/>
      <c r="B1549" s="171"/>
      <c r="C1549" s="170"/>
      <c r="D1549" s="172"/>
      <c r="E1549" s="172"/>
      <c r="F1549" s="173"/>
      <c r="G1549" s="172"/>
      <c r="H1549" s="172"/>
      <c r="I1549" s="174"/>
      <c r="J1549" s="174"/>
      <c r="K1549" s="175"/>
      <c r="L1549" s="175"/>
      <c r="M1549" s="170"/>
      <c r="N1549" s="170"/>
      <c r="O1549" s="176"/>
      <c r="P1549" s="173"/>
      <c r="Q1549" s="177"/>
      <c r="R1549" s="178"/>
      <c r="S1549" s="178"/>
      <c r="T1549" s="179"/>
      <c r="U1549" s="179"/>
      <c r="V1549" s="179"/>
      <c r="W1549" s="176"/>
      <c r="X1549" s="180"/>
      <c r="Y1549" s="170"/>
      <c r="Z1549" s="170"/>
    </row>
    <row r="1550" spans="1:26">
      <c r="A1550" s="170"/>
      <c r="B1550" s="171"/>
      <c r="C1550" s="170"/>
      <c r="D1550" s="172"/>
      <c r="E1550" s="172"/>
      <c r="F1550" s="173"/>
      <c r="G1550" s="172"/>
      <c r="H1550" s="172"/>
      <c r="I1550" s="174"/>
      <c r="J1550" s="174"/>
      <c r="K1550" s="175"/>
      <c r="L1550" s="175"/>
      <c r="M1550" s="170"/>
      <c r="N1550" s="170"/>
      <c r="O1550" s="176"/>
      <c r="P1550" s="173"/>
      <c r="Q1550" s="177"/>
      <c r="R1550" s="178"/>
      <c r="S1550" s="178"/>
      <c r="T1550" s="179"/>
      <c r="U1550" s="179"/>
      <c r="V1550" s="179"/>
      <c r="W1550" s="176"/>
      <c r="X1550" s="180"/>
      <c r="Y1550" s="170"/>
      <c r="Z1550" s="170"/>
    </row>
    <row r="1551" spans="1:26">
      <c r="A1551" s="170"/>
      <c r="B1551" s="171"/>
      <c r="C1551" s="170"/>
      <c r="D1551" s="172"/>
      <c r="E1551" s="172"/>
      <c r="F1551" s="173"/>
      <c r="G1551" s="172"/>
      <c r="H1551" s="172"/>
      <c r="I1551" s="174"/>
      <c r="J1551" s="174"/>
      <c r="K1551" s="175"/>
      <c r="L1551" s="175"/>
      <c r="M1551" s="170"/>
      <c r="N1551" s="170"/>
      <c r="O1551" s="176"/>
      <c r="P1551" s="173"/>
      <c r="Q1551" s="177"/>
      <c r="R1551" s="178"/>
      <c r="S1551" s="178"/>
      <c r="T1551" s="179"/>
      <c r="U1551" s="179"/>
      <c r="V1551" s="179"/>
      <c r="W1551" s="176"/>
      <c r="X1551" s="180"/>
      <c r="Y1551" s="170"/>
      <c r="Z1551" s="170"/>
    </row>
    <row r="1552" spans="1:26">
      <c r="A1552" s="170"/>
      <c r="B1552" s="171"/>
      <c r="C1552" s="170"/>
      <c r="D1552" s="172"/>
      <c r="E1552" s="172"/>
      <c r="F1552" s="173"/>
      <c r="G1552" s="172"/>
      <c r="H1552" s="172"/>
      <c r="I1552" s="174"/>
      <c r="J1552" s="174"/>
      <c r="K1552" s="175"/>
      <c r="L1552" s="175"/>
      <c r="M1552" s="170"/>
      <c r="N1552" s="170"/>
      <c r="O1552" s="176"/>
      <c r="P1552" s="173"/>
      <c r="Q1552" s="177"/>
      <c r="R1552" s="178"/>
      <c r="S1552" s="178"/>
      <c r="T1552" s="179"/>
      <c r="U1552" s="179"/>
      <c r="V1552" s="179"/>
      <c r="W1552" s="176"/>
      <c r="X1552" s="180"/>
      <c r="Y1552" s="170"/>
      <c r="Z1552" s="170"/>
    </row>
    <row r="1553" spans="1:26">
      <c r="A1553" s="170"/>
      <c r="B1553" s="171"/>
      <c r="C1553" s="170"/>
      <c r="D1553" s="172"/>
      <c r="E1553" s="172"/>
      <c r="F1553" s="173"/>
      <c r="G1553" s="172"/>
      <c r="H1553" s="172"/>
      <c r="I1553" s="174"/>
      <c r="J1553" s="174"/>
      <c r="K1553" s="175"/>
      <c r="L1553" s="175"/>
      <c r="M1553" s="170"/>
      <c r="N1553" s="170"/>
      <c r="O1553" s="176"/>
      <c r="P1553" s="173"/>
      <c r="Q1553" s="177"/>
      <c r="R1553" s="178"/>
      <c r="S1553" s="178"/>
      <c r="T1553" s="179"/>
      <c r="U1553" s="179"/>
      <c r="V1553" s="179"/>
      <c r="W1553" s="176"/>
      <c r="X1553" s="180"/>
      <c r="Y1553" s="170"/>
      <c r="Z1553" s="170"/>
    </row>
    <row r="1554" spans="1:26">
      <c r="A1554" s="170"/>
      <c r="B1554" s="171"/>
      <c r="C1554" s="170"/>
      <c r="D1554" s="172"/>
      <c r="E1554" s="172"/>
      <c r="F1554" s="173"/>
      <c r="G1554" s="172"/>
      <c r="H1554" s="172"/>
      <c r="I1554" s="174"/>
      <c r="J1554" s="174"/>
      <c r="K1554" s="175"/>
      <c r="L1554" s="175"/>
      <c r="M1554" s="170"/>
      <c r="N1554" s="170"/>
      <c r="O1554" s="176"/>
      <c r="P1554" s="173"/>
      <c r="Q1554" s="177"/>
      <c r="R1554" s="178"/>
      <c r="S1554" s="178"/>
      <c r="T1554" s="179"/>
      <c r="U1554" s="179"/>
      <c r="V1554" s="179"/>
      <c r="W1554" s="176"/>
      <c r="X1554" s="180"/>
      <c r="Y1554" s="170"/>
      <c r="Z1554" s="170"/>
    </row>
    <row r="1555" spans="1:26">
      <c r="A1555" s="170"/>
      <c r="B1555" s="171"/>
      <c r="C1555" s="170"/>
      <c r="D1555" s="172"/>
      <c r="E1555" s="172"/>
      <c r="F1555" s="173"/>
      <c r="G1555" s="172"/>
      <c r="H1555" s="172"/>
      <c r="I1555" s="174"/>
      <c r="J1555" s="174"/>
      <c r="K1555" s="175"/>
      <c r="L1555" s="175"/>
      <c r="M1555" s="170"/>
      <c r="N1555" s="170"/>
      <c r="O1555" s="176"/>
      <c r="P1555" s="173"/>
      <c r="Q1555" s="177"/>
      <c r="R1555" s="178"/>
      <c r="S1555" s="178"/>
      <c r="T1555" s="179"/>
      <c r="U1555" s="179"/>
      <c r="V1555" s="179"/>
      <c r="W1555" s="176"/>
      <c r="X1555" s="180"/>
      <c r="Y1555" s="170"/>
      <c r="Z1555" s="170"/>
    </row>
    <row r="1556" spans="1:26">
      <c r="A1556" s="170"/>
      <c r="B1556" s="171"/>
      <c r="C1556" s="170"/>
      <c r="D1556" s="172"/>
      <c r="E1556" s="172"/>
      <c r="F1556" s="173"/>
      <c r="G1556" s="172"/>
      <c r="H1556" s="172"/>
      <c r="I1556" s="174"/>
      <c r="J1556" s="174"/>
      <c r="K1556" s="175"/>
      <c r="L1556" s="175"/>
      <c r="M1556" s="170"/>
      <c r="N1556" s="170"/>
      <c r="O1556" s="176"/>
      <c r="P1556" s="173"/>
      <c r="Q1556" s="177"/>
      <c r="R1556" s="178"/>
      <c r="S1556" s="178"/>
      <c r="T1556" s="179"/>
      <c r="U1556" s="179"/>
      <c r="V1556" s="179"/>
      <c r="W1556" s="176"/>
      <c r="X1556" s="180"/>
      <c r="Y1556" s="170"/>
      <c r="Z1556" s="170"/>
    </row>
    <row r="1557" spans="1:26">
      <c r="A1557" s="170"/>
      <c r="B1557" s="171"/>
      <c r="C1557" s="170"/>
      <c r="D1557" s="172"/>
      <c r="E1557" s="172"/>
      <c r="F1557" s="173"/>
      <c r="G1557" s="172"/>
      <c r="H1557" s="172"/>
      <c r="I1557" s="174"/>
      <c r="J1557" s="174"/>
      <c r="K1557" s="175"/>
      <c r="L1557" s="175"/>
      <c r="M1557" s="170"/>
      <c r="N1557" s="170"/>
      <c r="O1557" s="176"/>
      <c r="P1557" s="173"/>
      <c r="Q1557" s="177"/>
      <c r="R1557" s="178"/>
      <c r="S1557" s="178"/>
      <c r="T1557" s="179"/>
      <c r="U1557" s="179"/>
      <c r="V1557" s="179"/>
      <c r="W1557" s="176"/>
      <c r="X1557" s="180"/>
      <c r="Y1557" s="170"/>
      <c r="Z1557" s="170"/>
    </row>
    <row r="1558" spans="1:26">
      <c r="A1558" s="170"/>
      <c r="B1558" s="171"/>
      <c r="C1558" s="170"/>
      <c r="D1558" s="172"/>
      <c r="E1558" s="172"/>
      <c r="F1558" s="173"/>
      <c r="G1558" s="172"/>
      <c r="H1558" s="172"/>
      <c r="I1558" s="174"/>
      <c r="J1558" s="174"/>
      <c r="K1558" s="175"/>
      <c r="L1558" s="175"/>
      <c r="M1558" s="170"/>
      <c r="N1558" s="170"/>
      <c r="O1558" s="176"/>
      <c r="P1558" s="173"/>
      <c r="Q1558" s="177"/>
      <c r="R1558" s="178"/>
      <c r="S1558" s="178"/>
      <c r="T1558" s="179"/>
      <c r="U1558" s="179"/>
      <c r="V1558" s="179"/>
      <c r="W1558" s="176"/>
      <c r="X1558" s="180"/>
      <c r="Y1558" s="170"/>
      <c r="Z1558" s="170"/>
    </row>
    <row r="1559" spans="1:26">
      <c r="A1559" s="170"/>
      <c r="B1559" s="171"/>
      <c r="C1559" s="170"/>
      <c r="D1559" s="172"/>
      <c r="E1559" s="172"/>
      <c r="F1559" s="173"/>
      <c r="G1559" s="172"/>
      <c r="H1559" s="172"/>
      <c r="I1559" s="174"/>
      <c r="J1559" s="174"/>
      <c r="K1559" s="175"/>
      <c r="L1559" s="175"/>
      <c r="M1559" s="170"/>
      <c r="N1559" s="170"/>
      <c r="O1559" s="176"/>
      <c r="P1559" s="173"/>
      <c r="Q1559" s="177"/>
      <c r="R1559" s="178"/>
      <c r="S1559" s="178"/>
      <c r="T1559" s="179"/>
      <c r="U1559" s="179"/>
      <c r="V1559" s="179"/>
      <c r="W1559" s="176"/>
      <c r="X1559" s="180"/>
      <c r="Y1559" s="170"/>
      <c r="Z1559" s="170"/>
    </row>
    <row r="1560" spans="1:26">
      <c r="A1560" s="170"/>
      <c r="B1560" s="171"/>
      <c r="C1560" s="170"/>
      <c r="D1560" s="172"/>
      <c r="E1560" s="172"/>
      <c r="F1560" s="173"/>
      <c r="G1560" s="172"/>
      <c r="H1560" s="172"/>
      <c r="I1560" s="174"/>
      <c r="J1560" s="174"/>
      <c r="K1560" s="175"/>
      <c r="L1560" s="175"/>
      <c r="M1560" s="170"/>
      <c r="N1560" s="170"/>
      <c r="O1560" s="176"/>
      <c r="P1560" s="173"/>
      <c r="Q1560" s="177"/>
      <c r="R1560" s="178"/>
      <c r="S1560" s="178"/>
      <c r="T1560" s="179"/>
      <c r="U1560" s="179"/>
      <c r="V1560" s="179"/>
      <c r="W1560" s="176"/>
      <c r="X1560" s="180"/>
      <c r="Y1560" s="170"/>
      <c r="Z1560" s="170"/>
    </row>
    <row r="1561" spans="1:26">
      <c r="A1561" s="170"/>
      <c r="B1561" s="171"/>
      <c r="C1561" s="170"/>
      <c r="D1561" s="172"/>
      <c r="E1561" s="172"/>
      <c r="F1561" s="173"/>
      <c r="G1561" s="172"/>
      <c r="H1561" s="172"/>
      <c r="I1561" s="174"/>
      <c r="J1561" s="174"/>
      <c r="K1561" s="175"/>
      <c r="L1561" s="175"/>
      <c r="M1561" s="170"/>
      <c r="N1561" s="170"/>
      <c r="O1561" s="176"/>
      <c r="P1561" s="173"/>
      <c r="Q1561" s="177"/>
      <c r="R1561" s="178"/>
      <c r="S1561" s="178"/>
      <c r="T1561" s="179"/>
      <c r="U1561" s="179"/>
      <c r="V1561" s="179"/>
      <c r="W1561" s="176"/>
      <c r="X1561" s="180"/>
      <c r="Y1561" s="170"/>
      <c r="Z1561" s="170"/>
    </row>
    <row r="1562" spans="1:26">
      <c r="A1562" s="170"/>
      <c r="B1562" s="171"/>
      <c r="C1562" s="170"/>
      <c r="D1562" s="172"/>
      <c r="E1562" s="172"/>
      <c r="F1562" s="173"/>
      <c r="G1562" s="172"/>
      <c r="H1562" s="172"/>
      <c r="I1562" s="174"/>
      <c r="J1562" s="174"/>
      <c r="K1562" s="175"/>
      <c r="L1562" s="175"/>
      <c r="M1562" s="170"/>
      <c r="N1562" s="170"/>
      <c r="O1562" s="176"/>
      <c r="P1562" s="173"/>
      <c r="Q1562" s="177"/>
      <c r="R1562" s="178"/>
      <c r="S1562" s="178"/>
      <c r="T1562" s="179"/>
      <c r="U1562" s="179"/>
      <c r="V1562" s="179"/>
      <c r="W1562" s="176"/>
      <c r="X1562" s="180"/>
      <c r="Y1562" s="170"/>
      <c r="Z1562" s="170"/>
    </row>
    <row r="1563" spans="1:26">
      <c r="A1563" s="170"/>
      <c r="B1563" s="171"/>
      <c r="C1563" s="170"/>
      <c r="D1563" s="172"/>
      <c r="E1563" s="172"/>
      <c r="F1563" s="173"/>
      <c r="G1563" s="172"/>
      <c r="H1563" s="172"/>
      <c r="I1563" s="174"/>
      <c r="J1563" s="174"/>
      <c r="K1563" s="175"/>
      <c r="L1563" s="175"/>
      <c r="M1563" s="170"/>
      <c r="N1563" s="170"/>
      <c r="O1563" s="176"/>
      <c r="P1563" s="173"/>
      <c r="Q1563" s="177"/>
      <c r="R1563" s="178"/>
      <c r="S1563" s="178"/>
      <c r="T1563" s="179"/>
      <c r="U1563" s="179"/>
      <c r="V1563" s="179"/>
      <c r="W1563" s="176"/>
      <c r="X1563" s="180"/>
      <c r="Y1563" s="170"/>
      <c r="Z1563" s="170"/>
    </row>
    <row r="1564" spans="1:26">
      <c r="A1564" s="170"/>
      <c r="B1564" s="171"/>
      <c r="C1564" s="170"/>
      <c r="D1564" s="172"/>
      <c r="E1564" s="172"/>
      <c r="F1564" s="173"/>
      <c r="G1564" s="172"/>
      <c r="H1564" s="172"/>
      <c r="I1564" s="174"/>
      <c r="J1564" s="174"/>
      <c r="K1564" s="175"/>
      <c r="L1564" s="175"/>
      <c r="M1564" s="170"/>
      <c r="N1564" s="170"/>
      <c r="O1564" s="176"/>
      <c r="P1564" s="173"/>
      <c r="Q1564" s="177"/>
      <c r="R1564" s="178"/>
      <c r="S1564" s="178"/>
      <c r="T1564" s="179"/>
      <c r="U1564" s="179"/>
      <c r="V1564" s="179"/>
      <c r="W1564" s="176"/>
      <c r="X1564" s="180"/>
      <c r="Y1564" s="170"/>
      <c r="Z1564" s="170"/>
    </row>
    <row r="1565" spans="1:26">
      <c r="A1565" s="170"/>
      <c r="B1565" s="171"/>
      <c r="C1565" s="170"/>
      <c r="D1565" s="172"/>
      <c r="E1565" s="172"/>
      <c r="F1565" s="173"/>
      <c r="G1565" s="172"/>
      <c r="H1565" s="172"/>
      <c r="I1565" s="174"/>
      <c r="J1565" s="174"/>
      <c r="K1565" s="175"/>
      <c r="L1565" s="175"/>
      <c r="M1565" s="170"/>
      <c r="N1565" s="170"/>
      <c r="O1565" s="176"/>
      <c r="P1565" s="173"/>
      <c r="Q1565" s="177"/>
      <c r="R1565" s="178"/>
      <c r="S1565" s="178"/>
      <c r="T1565" s="179"/>
      <c r="U1565" s="179"/>
      <c r="V1565" s="179"/>
      <c r="W1565" s="176"/>
      <c r="X1565" s="180"/>
      <c r="Y1565" s="170"/>
      <c r="Z1565" s="170"/>
    </row>
    <row r="1566" spans="1:26">
      <c r="A1566" s="170"/>
      <c r="B1566" s="171"/>
      <c r="C1566" s="170"/>
      <c r="D1566" s="172"/>
      <c r="E1566" s="172"/>
      <c r="F1566" s="173"/>
      <c r="G1566" s="172"/>
      <c r="H1566" s="172"/>
      <c r="I1566" s="174"/>
      <c r="J1566" s="174"/>
      <c r="K1566" s="175"/>
      <c r="L1566" s="175"/>
      <c r="M1566" s="170"/>
      <c r="N1566" s="170"/>
      <c r="O1566" s="176"/>
      <c r="P1566" s="173"/>
      <c r="Q1566" s="177"/>
      <c r="R1566" s="178"/>
      <c r="S1566" s="178"/>
      <c r="T1566" s="179"/>
      <c r="U1566" s="179"/>
      <c r="V1566" s="179"/>
      <c r="W1566" s="176"/>
      <c r="X1566" s="180"/>
      <c r="Y1566" s="170"/>
      <c r="Z1566" s="170"/>
    </row>
    <row r="1567" spans="1:26">
      <c r="A1567" s="170"/>
      <c r="B1567" s="171"/>
      <c r="C1567" s="170"/>
      <c r="D1567" s="172"/>
      <c r="E1567" s="172"/>
      <c r="F1567" s="173"/>
      <c r="G1567" s="172"/>
      <c r="H1567" s="172"/>
      <c r="I1567" s="174"/>
      <c r="J1567" s="174"/>
      <c r="K1567" s="175"/>
      <c r="L1567" s="175"/>
      <c r="M1567" s="170"/>
      <c r="N1567" s="170"/>
      <c r="O1567" s="176"/>
      <c r="P1567" s="173"/>
      <c r="Q1567" s="177"/>
      <c r="R1567" s="178"/>
      <c r="S1567" s="178"/>
      <c r="T1567" s="179"/>
      <c r="U1567" s="179"/>
      <c r="V1567" s="179"/>
      <c r="W1567" s="176"/>
      <c r="X1567" s="180"/>
      <c r="Y1567" s="170"/>
      <c r="Z1567" s="170"/>
    </row>
    <row r="1568" spans="1:26">
      <c r="A1568" s="170"/>
      <c r="B1568" s="171"/>
      <c r="C1568" s="170"/>
      <c r="D1568" s="172"/>
      <c r="E1568" s="172"/>
      <c r="F1568" s="173"/>
      <c r="G1568" s="172"/>
      <c r="H1568" s="172"/>
      <c r="I1568" s="174"/>
      <c r="J1568" s="174"/>
      <c r="K1568" s="175"/>
      <c r="L1568" s="175"/>
      <c r="M1568" s="170"/>
      <c r="N1568" s="170"/>
      <c r="O1568" s="176"/>
      <c r="P1568" s="173"/>
      <c r="Q1568" s="177"/>
      <c r="R1568" s="178"/>
      <c r="S1568" s="178"/>
      <c r="T1568" s="179"/>
      <c r="U1568" s="179"/>
      <c r="V1568" s="179"/>
      <c r="W1568" s="176"/>
      <c r="X1568" s="180"/>
      <c r="Y1568" s="170"/>
      <c r="Z1568" s="170"/>
    </row>
    <row r="1569" spans="1:26">
      <c r="A1569" s="170"/>
      <c r="B1569" s="171"/>
      <c r="C1569" s="170"/>
      <c r="D1569" s="172"/>
      <c r="E1569" s="172"/>
      <c r="F1569" s="173"/>
      <c r="G1569" s="172"/>
      <c r="H1569" s="172"/>
      <c r="I1569" s="174"/>
      <c r="J1569" s="174"/>
      <c r="K1569" s="175"/>
      <c r="L1569" s="175"/>
      <c r="M1569" s="170"/>
      <c r="N1569" s="170"/>
      <c r="O1569" s="176"/>
      <c r="P1569" s="173"/>
      <c r="Q1569" s="177"/>
      <c r="R1569" s="178"/>
      <c r="S1569" s="178"/>
      <c r="T1569" s="179"/>
      <c r="U1569" s="179"/>
      <c r="V1569" s="179"/>
      <c r="W1569" s="176"/>
      <c r="X1569" s="180"/>
      <c r="Y1569" s="170"/>
      <c r="Z1569" s="170"/>
    </row>
    <row r="1570" spans="1:26">
      <c r="A1570" s="170"/>
      <c r="B1570" s="171"/>
      <c r="C1570" s="170"/>
      <c r="D1570" s="172"/>
      <c r="E1570" s="172"/>
      <c r="F1570" s="173"/>
      <c r="G1570" s="172"/>
      <c r="H1570" s="172"/>
      <c r="I1570" s="174"/>
      <c r="J1570" s="174"/>
      <c r="K1570" s="175"/>
      <c r="L1570" s="175"/>
      <c r="M1570" s="170"/>
      <c r="N1570" s="170"/>
      <c r="O1570" s="176"/>
      <c r="P1570" s="173"/>
      <c r="Q1570" s="177"/>
      <c r="R1570" s="178"/>
      <c r="S1570" s="178"/>
      <c r="T1570" s="179"/>
      <c r="U1570" s="179"/>
      <c r="V1570" s="179"/>
      <c r="W1570" s="176"/>
      <c r="X1570" s="180"/>
      <c r="Y1570" s="170"/>
      <c r="Z1570" s="170"/>
    </row>
    <row r="1571" spans="1:26">
      <c r="A1571" s="170"/>
      <c r="B1571" s="171"/>
      <c r="C1571" s="170"/>
      <c r="D1571" s="172"/>
      <c r="E1571" s="172"/>
      <c r="F1571" s="173"/>
      <c r="G1571" s="172"/>
      <c r="H1571" s="172"/>
      <c r="I1571" s="174"/>
      <c r="J1571" s="174"/>
      <c r="K1571" s="175"/>
      <c r="L1571" s="175"/>
      <c r="M1571" s="170"/>
      <c r="N1571" s="170"/>
      <c r="O1571" s="176"/>
      <c r="P1571" s="173"/>
      <c r="Q1571" s="177"/>
      <c r="R1571" s="178"/>
      <c r="S1571" s="178"/>
      <c r="T1571" s="179"/>
      <c r="U1571" s="179"/>
      <c r="V1571" s="179"/>
      <c r="W1571" s="176"/>
      <c r="X1571" s="180"/>
      <c r="Y1571" s="170"/>
      <c r="Z1571" s="170"/>
    </row>
    <row r="1572" spans="1:26">
      <c r="A1572" s="170"/>
      <c r="B1572" s="171"/>
      <c r="C1572" s="170"/>
      <c r="D1572" s="172"/>
      <c r="E1572" s="172"/>
      <c r="F1572" s="173"/>
      <c r="G1572" s="172"/>
      <c r="H1572" s="172"/>
      <c r="I1572" s="174"/>
      <c r="J1572" s="174"/>
      <c r="K1572" s="175"/>
      <c r="L1572" s="175"/>
      <c r="M1572" s="170"/>
      <c r="N1572" s="170"/>
      <c r="O1572" s="176"/>
      <c r="P1572" s="173"/>
      <c r="Q1572" s="177"/>
      <c r="R1572" s="178"/>
      <c r="S1572" s="178"/>
      <c r="T1572" s="179"/>
      <c r="U1572" s="179"/>
      <c r="V1572" s="179"/>
      <c r="W1572" s="176"/>
      <c r="X1572" s="180"/>
      <c r="Y1572" s="170"/>
      <c r="Z1572" s="170"/>
    </row>
    <row r="1573" spans="1:26">
      <c r="A1573" s="170"/>
      <c r="B1573" s="171"/>
      <c r="C1573" s="170"/>
      <c r="D1573" s="172"/>
      <c r="E1573" s="172"/>
      <c r="F1573" s="173"/>
      <c r="G1573" s="172"/>
      <c r="H1573" s="172"/>
      <c r="I1573" s="174"/>
      <c r="J1573" s="174"/>
      <c r="K1573" s="175"/>
      <c r="L1573" s="175"/>
      <c r="M1573" s="170"/>
      <c r="N1573" s="170"/>
      <c r="O1573" s="176"/>
      <c r="P1573" s="173"/>
      <c r="Q1573" s="177"/>
      <c r="R1573" s="178"/>
      <c r="S1573" s="178"/>
      <c r="T1573" s="179"/>
      <c r="U1573" s="179"/>
      <c r="V1573" s="179"/>
      <c r="W1573" s="176"/>
      <c r="X1573" s="180"/>
      <c r="Y1573" s="170"/>
      <c r="Z1573" s="170"/>
    </row>
    <row r="1574" spans="1:26">
      <c r="A1574" s="170"/>
      <c r="B1574" s="171"/>
      <c r="C1574" s="170"/>
      <c r="D1574" s="172"/>
      <c r="E1574" s="172"/>
      <c r="F1574" s="173"/>
      <c r="G1574" s="172"/>
      <c r="H1574" s="172"/>
      <c r="I1574" s="174"/>
      <c r="J1574" s="174"/>
      <c r="K1574" s="175"/>
      <c r="L1574" s="175"/>
      <c r="M1574" s="170"/>
      <c r="N1574" s="170"/>
      <c r="O1574" s="176"/>
      <c r="P1574" s="173"/>
      <c r="Q1574" s="177"/>
      <c r="R1574" s="178"/>
      <c r="S1574" s="178"/>
      <c r="T1574" s="179"/>
      <c r="U1574" s="179"/>
      <c r="V1574" s="179"/>
      <c r="W1574" s="176"/>
      <c r="X1574" s="180"/>
      <c r="Y1574" s="170"/>
      <c r="Z1574" s="170"/>
    </row>
    <row r="1575" spans="1:26">
      <c r="A1575" s="170"/>
      <c r="B1575" s="171"/>
      <c r="C1575" s="170"/>
      <c r="D1575" s="172"/>
      <c r="E1575" s="172"/>
      <c r="F1575" s="173"/>
      <c r="G1575" s="172"/>
      <c r="H1575" s="172"/>
      <c r="I1575" s="174"/>
      <c r="J1575" s="174"/>
      <c r="K1575" s="175"/>
      <c r="L1575" s="175"/>
      <c r="M1575" s="170"/>
      <c r="N1575" s="170"/>
      <c r="O1575" s="176"/>
      <c r="P1575" s="173"/>
      <c r="Q1575" s="177"/>
      <c r="R1575" s="178"/>
      <c r="S1575" s="178"/>
      <c r="T1575" s="179"/>
      <c r="U1575" s="179"/>
      <c r="V1575" s="179"/>
      <c r="W1575" s="176"/>
      <c r="X1575" s="180"/>
      <c r="Y1575" s="170"/>
      <c r="Z1575" s="170"/>
    </row>
    <row r="1576" spans="1:26">
      <c r="A1576" s="170"/>
      <c r="B1576" s="171"/>
      <c r="C1576" s="170"/>
      <c r="D1576" s="172"/>
      <c r="E1576" s="172"/>
      <c r="F1576" s="173"/>
      <c r="G1576" s="172"/>
      <c r="H1576" s="172"/>
      <c r="I1576" s="174"/>
      <c r="J1576" s="174"/>
      <c r="K1576" s="175"/>
      <c r="L1576" s="175"/>
      <c r="M1576" s="170"/>
      <c r="N1576" s="170"/>
      <c r="O1576" s="176"/>
      <c r="P1576" s="173"/>
      <c r="Q1576" s="177"/>
      <c r="R1576" s="178"/>
      <c r="S1576" s="178"/>
      <c r="T1576" s="179"/>
      <c r="U1576" s="179"/>
      <c r="V1576" s="179"/>
      <c r="W1576" s="176"/>
      <c r="X1576" s="180"/>
      <c r="Y1576" s="170"/>
      <c r="Z1576" s="170"/>
    </row>
    <row r="1577" spans="1:26">
      <c r="A1577" s="170"/>
      <c r="B1577" s="171"/>
      <c r="C1577" s="170"/>
      <c r="D1577" s="172"/>
      <c r="E1577" s="172"/>
      <c r="F1577" s="173"/>
      <c r="G1577" s="172"/>
      <c r="H1577" s="172"/>
      <c r="I1577" s="174"/>
      <c r="J1577" s="174"/>
      <c r="K1577" s="175"/>
      <c r="L1577" s="175"/>
      <c r="M1577" s="170"/>
      <c r="N1577" s="170"/>
      <c r="O1577" s="176"/>
      <c r="P1577" s="173"/>
      <c r="Q1577" s="177"/>
      <c r="R1577" s="178"/>
      <c r="S1577" s="178"/>
      <c r="T1577" s="179"/>
      <c r="U1577" s="179"/>
      <c r="V1577" s="179"/>
      <c r="W1577" s="176"/>
      <c r="X1577" s="180"/>
      <c r="Y1577" s="170"/>
      <c r="Z1577" s="170"/>
    </row>
    <row r="1578" spans="1:26">
      <c r="A1578" s="170"/>
      <c r="B1578" s="171"/>
      <c r="C1578" s="170"/>
      <c r="D1578" s="172"/>
      <c r="E1578" s="172"/>
      <c r="F1578" s="173"/>
      <c r="G1578" s="172"/>
      <c r="H1578" s="172"/>
      <c r="I1578" s="174"/>
      <c r="J1578" s="174"/>
      <c r="K1578" s="175"/>
      <c r="L1578" s="175"/>
      <c r="M1578" s="170"/>
      <c r="N1578" s="170"/>
      <c r="O1578" s="176"/>
      <c r="P1578" s="173"/>
      <c r="Q1578" s="177"/>
      <c r="R1578" s="178"/>
      <c r="S1578" s="178"/>
      <c r="T1578" s="179"/>
      <c r="U1578" s="179"/>
      <c r="V1578" s="179"/>
      <c r="W1578" s="176"/>
      <c r="X1578" s="180"/>
      <c r="Y1578" s="170"/>
      <c r="Z1578" s="170"/>
    </row>
    <row r="1579" spans="1:26">
      <c r="A1579" s="170"/>
      <c r="B1579" s="171"/>
      <c r="C1579" s="170"/>
      <c r="D1579" s="172"/>
      <c r="E1579" s="172"/>
      <c r="F1579" s="173"/>
      <c r="G1579" s="172"/>
      <c r="H1579" s="172"/>
      <c r="I1579" s="174"/>
      <c r="J1579" s="174"/>
      <c r="K1579" s="175"/>
      <c r="L1579" s="175"/>
      <c r="M1579" s="170"/>
      <c r="N1579" s="170"/>
      <c r="O1579" s="176"/>
      <c r="P1579" s="173"/>
      <c r="Q1579" s="177"/>
      <c r="R1579" s="178"/>
      <c r="S1579" s="178"/>
      <c r="T1579" s="179"/>
      <c r="U1579" s="179"/>
      <c r="V1579" s="179"/>
      <c r="W1579" s="176"/>
      <c r="X1579" s="180"/>
      <c r="Y1579" s="170"/>
      <c r="Z1579" s="170"/>
    </row>
    <row r="1580" spans="1:26">
      <c r="A1580" s="170"/>
      <c r="B1580" s="171"/>
      <c r="C1580" s="170"/>
      <c r="D1580" s="172"/>
      <c r="E1580" s="172"/>
      <c r="F1580" s="173"/>
      <c r="G1580" s="172"/>
      <c r="H1580" s="172"/>
      <c r="I1580" s="174"/>
      <c r="J1580" s="174"/>
      <c r="K1580" s="175"/>
      <c r="L1580" s="175"/>
      <c r="M1580" s="170"/>
      <c r="N1580" s="170"/>
      <c r="O1580" s="176"/>
      <c r="P1580" s="173"/>
      <c r="Q1580" s="177"/>
      <c r="R1580" s="178"/>
      <c r="S1580" s="178"/>
      <c r="T1580" s="179"/>
      <c r="U1580" s="179"/>
      <c r="V1580" s="179"/>
      <c r="W1580" s="176"/>
      <c r="X1580" s="180"/>
      <c r="Y1580" s="170"/>
      <c r="Z1580" s="170"/>
    </row>
    <row r="1581" spans="1:26">
      <c r="A1581" s="170"/>
      <c r="B1581" s="171"/>
      <c r="C1581" s="170"/>
      <c r="D1581" s="172"/>
      <c r="E1581" s="172"/>
      <c r="F1581" s="173"/>
      <c r="G1581" s="172"/>
      <c r="H1581" s="172"/>
      <c r="I1581" s="174"/>
      <c r="J1581" s="174"/>
      <c r="K1581" s="175"/>
      <c r="L1581" s="175"/>
      <c r="M1581" s="170"/>
      <c r="N1581" s="170"/>
      <c r="O1581" s="176"/>
      <c r="P1581" s="173"/>
      <c r="Q1581" s="177"/>
      <c r="R1581" s="178"/>
      <c r="S1581" s="178"/>
      <c r="T1581" s="179"/>
      <c r="U1581" s="179"/>
      <c r="V1581" s="179"/>
      <c r="W1581" s="176"/>
      <c r="X1581" s="180"/>
      <c r="Y1581" s="170"/>
      <c r="Z1581" s="170"/>
    </row>
    <row r="1582" spans="1:26">
      <c r="A1582" s="170"/>
      <c r="B1582" s="171"/>
      <c r="C1582" s="170"/>
      <c r="D1582" s="172"/>
      <c r="E1582" s="172"/>
      <c r="F1582" s="173"/>
      <c r="G1582" s="172"/>
      <c r="H1582" s="172"/>
      <c r="I1582" s="174"/>
      <c r="J1582" s="174"/>
      <c r="K1582" s="175"/>
      <c r="L1582" s="175"/>
      <c r="M1582" s="170"/>
      <c r="N1582" s="170"/>
      <c r="O1582" s="176"/>
      <c r="P1582" s="173"/>
      <c r="Q1582" s="177"/>
      <c r="R1582" s="178"/>
      <c r="S1582" s="178"/>
      <c r="T1582" s="179"/>
      <c r="U1582" s="179"/>
      <c r="V1582" s="179"/>
      <c r="W1582" s="176"/>
      <c r="X1582" s="180"/>
      <c r="Y1582" s="170"/>
      <c r="Z1582" s="170"/>
    </row>
    <row r="1583" spans="1:26">
      <c r="A1583" s="170"/>
      <c r="B1583" s="171"/>
      <c r="C1583" s="170"/>
      <c r="D1583" s="172"/>
      <c r="E1583" s="172"/>
      <c r="F1583" s="173"/>
      <c r="G1583" s="172"/>
      <c r="H1583" s="172"/>
      <c r="I1583" s="174"/>
      <c r="J1583" s="174"/>
      <c r="K1583" s="175"/>
      <c r="L1583" s="175"/>
      <c r="M1583" s="170"/>
      <c r="N1583" s="170"/>
      <c r="O1583" s="176"/>
      <c r="P1583" s="173"/>
      <c r="Q1583" s="177"/>
      <c r="R1583" s="178"/>
      <c r="S1583" s="178"/>
      <c r="T1583" s="179"/>
      <c r="U1583" s="179"/>
      <c r="V1583" s="179"/>
      <c r="W1583" s="176"/>
      <c r="X1583" s="180"/>
      <c r="Y1583" s="170"/>
      <c r="Z1583" s="170"/>
    </row>
    <row r="1584" spans="1:26">
      <c r="A1584" s="170"/>
      <c r="B1584" s="171"/>
      <c r="C1584" s="170"/>
      <c r="D1584" s="172"/>
      <c r="E1584" s="172"/>
      <c r="F1584" s="173"/>
      <c r="G1584" s="172"/>
      <c r="H1584" s="172"/>
      <c r="I1584" s="174"/>
      <c r="J1584" s="174"/>
      <c r="K1584" s="175"/>
      <c r="L1584" s="175"/>
      <c r="M1584" s="170"/>
      <c r="N1584" s="170"/>
      <c r="O1584" s="176"/>
      <c r="P1584" s="173"/>
      <c r="Q1584" s="177"/>
      <c r="R1584" s="178"/>
      <c r="S1584" s="178"/>
      <c r="T1584" s="179"/>
      <c r="U1584" s="179"/>
      <c r="V1584" s="179"/>
      <c r="W1584" s="176"/>
      <c r="X1584" s="180"/>
      <c r="Y1584" s="170"/>
      <c r="Z1584" s="170"/>
    </row>
    <row r="1585" spans="1:26">
      <c r="A1585" s="170"/>
      <c r="B1585" s="171"/>
      <c r="C1585" s="170"/>
      <c r="D1585" s="172"/>
      <c r="E1585" s="172"/>
      <c r="F1585" s="173"/>
      <c r="G1585" s="172"/>
      <c r="H1585" s="172"/>
      <c r="I1585" s="174"/>
      <c r="J1585" s="174"/>
      <c r="K1585" s="175"/>
      <c r="L1585" s="175"/>
      <c r="M1585" s="170"/>
      <c r="N1585" s="170"/>
      <c r="O1585" s="176"/>
      <c r="P1585" s="173"/>
      <c r="Q1585" s="177"/>
      <c r="R1585" s="178"/>
      <c r="S1585" s="178"/>
      <c r="T1585" s="179"/>
      <c r="U1585" s="179"/>
      <c r="V1585" s="179"/>
      <c r="W1585" s="176"/>
      <c r="X1585" s="180"/>
      <c r="Y1585" s="170"/>
      <c r="Z1585" s="170"/>
    </row>
    <row r="1586" spans="1:26">
      <c r="A1586" s="170"/>
      <c r="B1586" s="171"/>
      <c r="C1586" s="170"/>
      <c r="D1586" s="172"/>
      <c r="E1586" s="172"/>
      <c r="F1586" s="173"/>
      <c r="G1586" s="172"/>
      <c r="H1586" s="172"/>
      <c r="I1586" s="174"/>
      <c r="J1586" s="174"/>
      <c r="K1586" s="175"/>
      <c r="L1586" s="175"/>
      <c r="M1586" s="170"/>
      <c r="N1586" s="170"/>
      <c r="O1586" s="176"/>
      <c r="P1586" s="173"/>
      <c r="Q1586" s="177"/>
      <c r="R1586" s="178"/>
      <c r="S1586" s="178"/>
      <c r="T1586" s="179"/>
      <c r="U1586" s="179"/>
      <c r="V1586" s="179"/>
      <c r="W1586" s="176"/>
      <c r="X1586" s="180"/>
      <c r="Y1586" s="170"/>
      <c r="Z1586" s="170"/>
    </row>
    <row r="1587" spans="1:26">
      <c r="A1587" s="170"/>
      <c r="B1587" s="171"/>
      <c r="C1587" s="170"/>
      <c r="D1587" s="172"/>
      <c r="E1587" s="172"/>
      <c r="F1587" s="173"/>
      <c r="G1587" s="172"/>
      <c r="H1587" s="172"/>
      <c r="I1587" s="174"/>
      <c r="J1587" s="174"/>
      <c r="K1587" s="175"/>
      <c r="L1587" s="175"/>
      <c r="M1587" s="170"/>
      <c r="N1587" s="170"/>
      <c r="O1587" s="176"/>
      <c r="P1587" s="173"/>
      <c r="Q1587" s="177"/>
      <c r="R1587" s="178"/>
      <c r="S1587" s="178"/>
      <c r="T1587" s="179"/>
      <c r="U1587" s="179"/>
      <c r="V1587" s="179"/>
      <c r="W1587" s="176"/>
      <c r="X1587" s="180"/>
      <c r="Y1587" s="170"/>
      <c r="Z1587" s="170"/>
    </row>
    <row r="1588" spans="1:26">
      <c r="A1588" s="170"/>
      <c r="B1588" s="171"/>
      <c r="C1588" s="170"/>
      <c r="D1588" s="172"/>
      <c r="E1588" s="172"/>
      <c r="F1588" s="173"/>
      <c r="G1588" s="172"/>
      <c r="H1588" s="172"/>
      <c r="I1588" s="174"/>
      <c r="J1588" s="174"/>
      <c r="K1588" s="175"/>
      <c r="L1588" s="175"/>
      <c r="M1588" s="170"/>
      <c r="N1588" s="170"/>
      <c r="O1588" s="176"/>
      <c r="P1588" s="173"/>
      <c r="Q1588" s="177"/>
      <c r="R1588" s="178"/>
      <c r="S1588" s="178"/>
      <c r="T1588" s="179"/>
      <c r="U1588" s="179"/>
      <c r="V1588" s="179"/>
      <c r="W1588" s="176"/>
      <c r="X1588" s="180"/>
      <c r="Y1588" s="170"/>
      <c r="Z1588" s="170"/>
    </row>
    <row r="1589" spans="1:26">
      <c r="A1589" s="170"/>
      <c r="B1589" s="171"/>
      <c r="C1589" s="170"/>
      <c r="D1589" s="172"/>
      <c r="E1589" s="172"/>
      <c r="F1589" s="173"/>
      <c r="G1589" s="172"/>
      <c r="H1589" s="172"/>
      <c r="I1589" s="174"/>
      <c r="J1589" s="174"/>
      <c r="K1589" s="175"/>
      <c r="L1589" s="175"/>
      <c r="M1589" s="170"/>
      <c r="N1589" s="170"/>
      <c r="O1589" s="176"/>
      <c r="P1589" s="173"/>
      <c r="Q1589" s="177"/>
      <c r="R1589" s="178"/>
      <c r="S1589" s="178"/>
      <c r="T1589" s="179"/>
      <c r="U1589" s="179"/>
      <c r="V1589" s="179"/>
      <c r="W1589" s="176"/>
      <c r="X1589" s="180"/>
      <c r="Y1589" s="170"/>
      <c r="Z1589" s="170"/>
    </row>
    <row r="1590" spans="1:26">
      <c r="A1590" s="170"/>
      <c r="B1590" s="171"/>
      <c r="C1590" s="170"/>
      <c r="D1590" s="172"/>
      <c r="E1590" s="172"/>
      <c r="F1590" s="173"/>
      <c r="G1590" s="172"/>
      <c r="H1590" s="172"/>
      <c r="I1590" s="174"/>
      <c r="J1590" s="174"/>
      <c r="K1590" s="175"/>
      <c r="L1590" s="175"/>
      <c r="M1590" s="170"/>
      <c r="N1590" s="170"/>
      <c r="O1590" s="176"/>
      <c r="P1590" s="173"/>
      <c r="Q1590" s="177"/>
      <c r="R1590" s="178"/>
      <c r="S1590" s="178"/>
      <c r="T1590" s="179"/>
      <c r="U1590" s="179"/>
      <c r="V1590" s="179"/>
      <c r="W1590" s="176"/>
      <c r="X1590" s="180"/>
      <c r="Y1590" s="170"/>
      <c r="Z1590" s="170"/>
    </row>
    <row r="1591" spans="1:26">
      <c r="A1591" s="170"/>
      <c r="B1591" s="171"/>
      <c r="C1591" s="170"/>
      <c r="D1591" s="172"/>
      <c r="E1591" s="172"/>
      <c r="F1591" s="173"/>
      <c r="G1591" s="172"/>
      <c r="H1591" s="172"/>
      <c r="I1591" s="174"/>
      <c r="J1591" s="174"/>
      <c r="K1591" s="175"/>
      <c r="L1591" s="175"/>
      <c r="M1591" s="170"/>
      <c r="N1591" s="170"/>
      <c r="O1591" s="176"/>
      <c r="P1591" s="173"/>
      <c r="Q1591" s="177"/>
      <c r="R1591" s="178"/>
      <c r="S1591" s="178"/>
      <c r="T1591" s="179"/>
      <c r="U1591" s="179"/>
      <c r="V1591" s="179"/>
      <c r="W1591" s="176"/>
      <c r="X1591" s="180"/>
      <c r="Y1591" s="170"/>
      <c r="Z1591" s="170"/>
    </row>
    <row r="1592" spans="1:26">
      <c r="A1592" s="170"/>
      <c r="B1592" s="171"/>
      <c r="C1592" s="170"/>
      <c r="D1592" s="172"/>
      <c r="E1592" s="172"/>
      <c r="F1592" s="173"/>
      <c r="G1592" s="172"/>
      <c r="H1592" s="172"/>
      <c r="I1592" s="174"/>
      <c r="J1592" s="174"/>
      <c r="K1592" s="175"/>
      <c r="L1592" s="175"/>
      <c r="M1592" s="170"/>
      <c r="N1592" s="170"/>
      <c r="O1592" s="176"/>
      <c r="P1592" s="173"/>
      <c r="Q1592" s="177"/>
      <c r="R1592" s="178"/>
      <c r="S1592" s="178"/>
      <c r="T1592" s="179"/>
      <c r="U1592" s="179"/>
      <c r="V1592" s="179"/>
      <c r="W1592" s="176"/>
      <c r="X1592" s="180"/>
      <c r="Y1592" s="170"/>
      <c r="Z1592" s="170"/>
    </row>
    <row r="1593" spans="1:26">
      <c r="A1593" s="170"/>
      <c r="B1593" s="171"/>
      <c r="C1593" s="170"/>
      <c r="D1593" s="172"/>
      <c r="E1593" s="172"/>
      <c r="F1593" s="173"/>
      <c r="G1593" s="172"/>
      <c r="H1593" s="172"/>
      <c r="I1593" s="174"/>
      <c r="J1593" s="174"/>
      <c r="K1593" s="175"/>
      <c r="L1593" s="175"/>
      <c r="M1593" s="170"/>
      <c r="N1593" s="170"/>
      <c r="O1593" s="176"/>
      <c r="P1593" s="173"/>
      <c r="Q1593" s="177"/>
      <c r="R1593" s="178"/>
      <c r="S1593" s="178"/>
      <c r="T1593" s="179"/>
      <c r="U1593" s="179"/>
      <c r="V1593" s="179"/>
      <c r="W1593" s="176"/>
      <c r="X1593" s="180"/>
      <c r="Y1593" s="170"/>
      <c r="Z1593" s="170"/>
    </row>
    <row r="1594" spans="1:26">
      <c r="A1594" s="170"/>
      <c r="B1594" s="171"/>
      <c r="C1594" s="170"/>
      <c r="D1594" s="172"/>
      <c r="E1594" s="172"/>
      <c r="F1594" s="173"/>
      <c r="G1594" s="172"/>
      <c r="H1594" s="172"/>
      <c r="I1594" s="174"/>
      <c r="J1594" s="174"/>
      <c r="K1594" s="175"/>
      <c r="L1594" s="175"/>
      <c r="M1594" s="170"/>
      <c r="N1594" s="170"/>
      <c r="O1594" s="176"/>
      <c r="P1594" s="173"/>
      <c r="Q1594" s="177"/>
      <c r="R1594" s="178"/>
      <c r="S1594" s="178"/>
      <c r="T1594" s="179"/>
      <c r="U1594" s="179"/>
      <c r="V1594" s="179"/>
      <c r="W1594" s="176"/>
      <c r="X1594" s="180"/>
      <c r="Y1594" s="170"/>
      <c r="Z1594" s="170"/>
    </row>
    <row r="1595" spans="1:26">
      <c r="A1595" s="170"/>
      <c r="B1595" s="171"/>
      <c r="C1595" s="170"/>
      <c r="D1595" s="172"/>
      <c r="E1595" s="172"/>
      <c r="F1595" s="173"/>
      <c r="G1595" s="172"/>
      <c r="H1595" s="172"/>
      <c r="I1595" s="174"/>
      <c r="J1595" s="174"/>
      <c r="K1595" s="175"/>
      <c r="L1595" s="175"/>
      <c r="M1595" s="170"/>
      <c r="N1595" s="170"/>
      <c r="O1595" s="176"/>
      <c r="P1595" s="173"/>
      <c r="Q1595" s="177"/>
      <c r="R1595" s="178"/>
      <c r="S1595" s="178"/>
      <c r="T1595" s="179"/>
      <c r="U1595" s="179"/>
      <c r="V1595" s="179"/>
      <c r="W1595" s="176"/>
      <c r="X1595" s="180"/>
      <c r="Y1595" s="170"/>
      <c r="Z1595" s="170"/>
    </row>
    <row r="1596" spans="1:26">
      <c r="A1596" s="170"/>
      <c r="B1596" s="171"/>
      <c r="C1596" s="170"/>
      <c r="D1596" s="172"/>
      <c r="E1596" s="172"/>
      <c r="F1596" s="173"/>
      <c r="G1596" s="172"/>
      <c r="H1596" s="172"/>
      <c r="I1596" s="174"/>
      <c r="J1596" s="174"/>
      <c r="K1596" s="175"/>
      <c r="L1596" s="175"/>
      <c r="M1596" s="170"/>
      <c r="N1596" s="170"/>
      <c r="O1596" s="176"/>
      <c r="P1596" s="173"/>
      <c r="Q1596" s="177"/>
      <c r="R1596" s="178"/>
      <c r="S1596" s="178"/>
      <c r="T1596" s="179"/>
      <c r="U1596" s="179"/>
      <c r="V1596" s="179"/>
      <c r="W1596" s="176"/>
      <c r="X1596" s="180"/>
      <c r="Y1596" s="170"/>
      <c r="Z1596" s="170"/>
    </row>
    <row r="1597" spans="1:26">
      <c r="A1597" s="170"/>
      <c r="B1597" s="171"/>
      <c r="C1597" s="170"/>
      <c r="D1597" s="172"/>
      <c r="E1597" s="172"/>
      <c r="F1597" s="173"/>
      <c r="G1597" s="172"/>
      <c r="H1597" s="172"/>
      <c r="I1597" s="174"/>
      <c r="J1597" s="174"/>
      <c r="K1597" s="175"/>
      <c r="L1597" s="175"/>
      <c r="M1597" s="170"/>
      <c r="N1597" s="170"/>
      <c r="O1597" s="176"/>
      <c r="P1597" s="173"/>
      <c r="Q1597" s="177"/>
      <c r="R1597" s="178"/>
      <c r="S1597" s="178"/>
      <c r="T1597" s="179"/>
      <c r="U1597" s="179"/>
      <c r="V1597" s="179"/>
      <c r="W1597" s="176"/>
      <c r="X1597" s="180"/>
      <c r="Y1597" s="170"/>
      <c r="Z1597" s="170"/>
    </row>
    <row r="1598" spans="1:26">
      <c r="A1598" s="170"/>
      <c r="B1598" s="171"/>
      <c r="C1598" s="170"/>
      <c r="D1598" s="172"/>
      <c r="E1598" s="172"/>
      <c r="F1598" s="173"/>
      <c r="G1598" s="172"/>
      <c r="H1598" s="172"/>
      <c r="I1598" s="174"/>
      <c r="J1598" s="174"/>
      <c r="K1598" s="175"/>
      <c r="L1598" s="175"/>
      <c r="M1598" s="170"/>
      <c r="N1598" s="170"/>
      <c r="O1598" s="176"/>
      <c r="P1598" s="173"/>
      <c r="Q1598" s="177"/>
      <c r="R1598" s="178"/>
      <c r="S1598" s="178"/>
      <c r="T1598" s="179"/>
      <c r="U1598" s="179"/>
      <c r="V1598" s="179"/>
      <c r="W1598" s="176"/>
      <c r="X1598" s="180"/>
      <c r="Y1598" s="170"/>
      <c r="Z1598" s="170"/>
    </row>
    <row r="1599" spans="1:26">
      <c r="A1599" s="170"/>
      <c r="B1599" s="171"/>
      <c r="C1599" s="170"/>
      <c r="D1599" s="172"/>
      <c r="E1599" s="172"/>
      <c r="F1599" s="173"/>
      <c r="G1599" s="172"/>
      <c r="H1599" s="172"/>
      <c r="I1599" s="174"/>
      <c r="J1599" s="174"/>
      <c r="K1599" s="175"/>
      <c r="L1599" s="175"/>
      <c r="M1599" s="170"/>
      <c r="N1599" s="170"/>
      <c r="O1599" s="176"/>
      <c r="P1599" s="173"/>
      <c r="Q1599" s="177"/>
      <c r="R1599" s="178"/>
      <c r="S1599" s="178"/>
      <c r="T1599" s="179"/>
      <c r="U1599" s="179"/>
      <c r="V1599" s="179"/>
      <c r="W1599" s="176"/>
      <c r="X1599" s="180"/>
      <c r="Y1599" s="170"/>
      <c r="Z1599" s="170"/>
    </row>
    <row r="1600" spans="1:26">
      <c r="A1600" s="170"/>
      <c r="B1600" s="171"/>
      <c r="C1600" s="170"/>
      <c r="D1600" s="172"/>
      <c r="E1600" s="172"/>
      <c r="F1600" s="173"/>
      <c r="G1600" s="172"/>
      <c r="H1600" s="172"/>
      <c r="I1600" s="174"/>
      <c r="J1600" s="174"/>
      <c r="K1600" s="175"/>
      <c r="L1600" s="175"/>
      <c r="M1600" s="170"/>
      <c r="N1600" s="170"/>
      <c r="O1600" s="176"/>
      <c r="P1600" s="173"/>
      <c r="Q1600" s="177"/>
      <c r="R1600" s="178"/>
      <c r="S1600" s="178"/>
      <c r="T1600" s="179"/>
      <c r="U1600" s="179"/>
      <c r="V1600" s="179"/>
      <c r="W1600" s="176"/>
      <c r="X1600" s="180"/>
      <c r="Y1600" s="170"/>
      <c r="Z1600" s="170"/>
    </row>
    <row r="1601" spans="1:26">
      <c r="A1601" s="170"/>
      <c r="B1601" s="171"/>
      <c r="C1601" s="170"/>
      <c r="D1601" s="172"/>
      <c r="E1601" s="172"/>
      <c r="F1601" s="173"/>
      <c r="G1601" s="172"/>
      <c r="H1601" s="172"/>
      <c r="I1601" s="174"/>
      <c r="J1601" s="174"/>
      <c r="K1601" s="175"/>
      <c r="L1601" s="175"/>
      <c r="M1601" s="170"/>
      <c r="N1601" s="170"/>
      <c r="O1601" s="176"/>
      <c r="P1601" s="173"/>
      <c r="Q1601" s="177"/>
      <c r="R1601" s="178"/>
      <c r="S1601" s="178"/>
      <c r="T1601" s="179"/>
      <c r="U1601" s="179"/>
      <c r="V1601" s="179"/>
      <c r="W1601" s="176"/>
      <c r="X1601" s="180"/>
      <c r="Y1601" s="170"/>
      <c r="Z1601" s="170"/>
    </row>
    <row r="1602" spans="1:26">
      <c r="A1602" s="170"/>
      <c r="B1602" s="171"/>
      <c r="C1602" s="170"/>
      <c r="D1602" s="172"/>
      <c r="E1602" s="172"/>
      <c r="F1602" s="173"/>
      <c r="G1602" s="172"/>
      <c r="H1602" s="172"/>
      <c r="I1602" s="174"/>
      <c r="J1602" s="174"/>
      <c r="K1602" s="175"/>
      <c r="L1602" s="175"/>
      <c r="M1602" s="170"/>
      <c r="N1602" s="170"/>
      <c r="O1602" s="176"/>
      <c r="P1602" s="173"/>
      <c r="Q1602" s="177"/>
      <c r="R1602" s="178"/>
      <c r="S1602" s="178"/>
      <c r="T1602" s="179"/>
      <c r="U1602" s="179"/>
      <c r="V1602" s="179"/>
      <c r="W1602" s="176"/>
      <c r="X1602" s="180"/>
      <c r="Y1602" s="170"/>
      <c r="Z1602" s="170"/>
    </row>
    <row r="1603" spans="1:26">
      <c r="A1603" s="170"/>
      <c r="B1603" s="171"/>
      <c r="C1603" s="170"/>
      <c r="D1603" s="172"/>
      <c r="E1603" s="172"/>
      <c r="F1603" s="173"/>
      <c r="G1603" s="172"/>
      <c r="H1603" s="172"/>
      <c r="I1603" s="174"/>
      <c r="J1603" s="174"/>
      <c r="K1603" s="175"/>
      <c r="L1603" s="175"/>
      <c r="M1603" s="170"/>
      <c r="N1603" s="170"/>
      <c r="O1603" s="176"/>
      <c r="P1603" s="173"/>
      <c r="Q1603" s="177"/>
      <c r="R1603" s="178"/>
      <c r="S1603" s="178"/>
      <c r="T1603" s="179"/>
      <c r="U1603" s="179"/>
      <c r="V1603" s="179"/>
      <c r="W1603" s="176"/>
      <c r="X1603" s="180"/>
      <c r="Y1603" s="170"/>
      <c r="Z1603" s="170"/>
    </row>
    <row r="1604" spans="1:26">
      <c r="A1604" s="170"/>
      <c r="B1604" s="171"/>
      <c r="C1604" s="170"/>
      <c r="D1604" s="172"/>
      <c r="E1604" s="172"/>
      <c r="F1604" s="173"/>
      <c r="G1604" s="172"/>
      <c r="H1604" s="172"/>
      <c r="I1604" s="174"/>
      <c r="J1604" s="174"/>
      <c r="K1604" s="175"/>
      <c r="L1604" s="175"/>
      <c r="M1604" s="170"/>
      <c r="N1604" s="170"/>
      <c r="O1604" s="176"/>
      <c r="P1604" s="173"/>
      <c r="Q1604" s="177"/>
      <c r="R1604" s="178"/>
      <c r="S1604" s="178"/>
      <c r="T1604" s="179"/>
      <c r="U1604" s="179"/>
      <c r="V1604" s="179"/>
      <c r="W1604" s="176"/>
      <c r="X1604" s="180"/>
      <c r="Y1604" s="170"/>
      <c r="Z1604" s="170"/>
    </row>
    <row r="1605" spans="1:26">
      <c r="A1605" s="170"/>
      <c r="B1605" s="171"/>
      <c r="C1605" s="170"/>
      <c r="D1605" s="172"/>
      <c r="E1605" s="172"/>
      <c r="F1605" s="173"/>
      <c r="G1605" s="172"/>
      <c r="H1605" s="172"/>
      <c r="I1605" s="174"/>
      <c r="J1605" s="174"/>
      <c r="K1605" s="175"/>
      <c r="L1605" s="175"/>
      <c r="M1605" s="170"/>
      <c r="N1605" s="170"/>
      <c r="O1605" s="176"/>
      <c r="P1605" s="173"/>
      <c r="Q1605" s="177"/>
      <c r="R1605" s="178"/>
      <c r="S1605" s="178"/>
      <c r="T1605" s="179"/>
      <c r="U1605" s="179"/>
      <c r="V1605" s="179"/>
      <c r="W1605" s="176"/>
      <c r="X1605" s="180"/>
      <c r="Y1605" s="170"/>
      <c r="Z1605" s="170"/>
    </row>
    <row r="1606" spans="1:26">
      <c r="A1606" s="170"/>
      <c r="B1606" s="171"/>
      <c r="C1606" s="170"/>
      <c r="D1606" s="172"/>
      <c r="E1606" s="172"/>
      <c r="F1606" s="173"/>
      <c r="G1606" s="172"/>
      <c r="H1606" s="172"/>
      <c r="I1606" s="174"/>
      <c r="J1606" s="174"/>
      <c r="K1606" s="175"/>
      <c r="L1606" s="175"/>
      <c r="M1606" s="170"/>
      <c r="N1606" s="170"/>
      <c r="O1606" s="176"/>
      <c r="P1606" s="173"/>
      <c r="Q1606" s="177"/>
      <c r="R1606" s="178"/>
      <c r="S1606" s="178"/>
      <c r="T1606" s="179"/>
      <c r="U1606" s="179"/>
      <c r="V1606" s="179"/>
      <c r="W1606" s="176"/>
      <c r="X1606" s="180"/>
      <c r="Y1606" s="170"/>
      <c r="Z1606" s="170"/>
    </row>
    <row r="1607" spans="1:26">
      <c r="A1607" s="170"/>
      <c r="B1607" s="171"/>
      <c r="C1607" s="170"/>
      <c r="D1607" s="172"/>
      <c r="E1607" s="172"/>
      <c r="F1607" s="173"/>
      <c r="G1607" s="172"/>
      <c r="H1607" s="172"/>
      <c r="I1607" s="174"/>
      <c r="J1607" s="174"/>
      <c r="K1607" s="175"/>
      <c r="L1607" s="175"/>
      <c r="M1607" s="170"/>
      <c r="N1607" s="170"/>
      <c r="O1607" s="176"/>
      <c r="P1607" s="173"/>
      <c r="Q1607" s="177"/>
      <c r="R1607" s="178"/>
      <c r="S1607" s="178"/>
      <c r="T1607" s="179"/>
      <c r="U1607" s="179"/>
      <c r="V1607" s="179"/>
      <c r="W1607" s="176"/>
      <c r="X1607" s="180"/>
      <c r="Y1607" s="170"/>
      <c r="Z1607" s="170"/>
    </row>
    <row r="1608" spans="1:26">
      <c r="A1608" s="170"/>
      <c r="B1608" s="171"/>
      <c r="C1608" s="170"/>
      <c r="D1608" s="172"/>
      <c r="E1608" s="172"/>
      <c r="F1608" s="173"/>
      <c r="G1608" s="172"/>
      <c r="H1608" s="172"/>
      <c r="I1608" s="174"/>
      <c r="J1608" s="174"/>
      <c r="K1608" s="175"/>
      <c r="L1608" s="175"/>
      <c r="M1608" s="170"/>
      <c r="N1608" s="170"/>
      <c r="O1608" s="176"/>
      <c r="P1608" s="173"/>
      <c r="Q1608" s="177"/>
      <c r="R1608" s="178"/>
      <c r="S1608" s="178"/>
      <c r="T1608" s="179"/>
      <c r="U1608" s="179"/>
      <c r="V1608" s="179"/>
      <c r="W1608" s="176"/>
      <c r="X1608" s="180"/>
      <c r="Y1608" s="170"/>
      <c r="Z1608" s="170"/>
    </row>
    <row r="1609" spans="1:26">
      <c r="A1609" s="170"/>
      <c r="B1609" s="171"/>
      <c r="C1609" s="170"/>
      <c r="D1609" s="172"/>
      <c r="E1609" s="172"/>
      <c r="F1609" s="173"/>
      <c r="G1609" s="172"/>
      <c r="H1609" s="172"/>
      <c r="I1609" s="174"/>
      <c r="J1609" s="174"/>
      <c r="K1609" s="175"/>
      <c r="L1609" s="175"/>
      <c r="M1609" s="170"/>
      <c r="N1609" s="170"/>
      <c r="O1609" s="176"/>
      <c r="P1609" s="173"/>
      <c r="Q1609" s="177"/>
      <c r="R1609" s="178"/>
      <c r="S1609" s="178"/>
      <c r="T1609" s="179"/>
      <c r="U1609" s="179"/>
      <c r="V1609" s="179"/>
      <c r="W1609" s="176"/>
      <c r="X1609" s="180"/>
      <c r="Y1609" s="170"/>
      <c r="Z1609" s="170"/>
    </row>
    <row r="1610" spans="1:26">
      <c r="A1610" s="170"/>
      <c r="B1610" s="171"/>
      <c r="C1610" s="170"/>
      <c r="D1610" s="172"/>
      <c r="E1610" s="172"/>
      <c r="F1610" s="173"/>
      <c r="G1610" s="172"/>
      <c r="H1610" s="172"/>
      <c r="I1610" s="174"/>
      <c r="J1610" s="174"/>
      <c r="K1610" s="175"/>
      <c r="L1610" s="175"/>
      <c r="M1610" s="170"/>
      <c r="N1610" s="170"/>
      <c r="O1610" s="176"/>
      <c r="P1610" s="173"/>
      <c r="Q1610" s="177"/>
      <c r="R1610" s="178"/>
      <c r="S1610" s="178"/>
      <c r="T1610" s="179"/>
      <c r="U1610" s="179"/>
      <c r="V1610" s="179"/>
      <c r="W1610" s="176"/>
      <c r="X1610" s="180"/>
      <c r="Y1610" s="170"/>
      <c r="Z1610" s="170"/>
    </row>
    <row r="1611" spans="1:26">
      <c r="A1611" s="170"/>
      <c r="B1611" s="171"/>
      <c r="C1611" s="170"/>
      <c r="D1611" s="172"/>
      <c r="E1611" s="172"/>
      <c r="F1611" s="173"/>
      <c r="G1611" s="172"/>
      <c r="H1611" s="172"/>
      <c r="I1611" s="174"/>
      <c r="J1611" s="174"/>
      <c r="K1611" s="175"/>
      <c r="L1611" s="175"/>
      <c r="M1611" s="170"/>
      <c r="N1611" s="170"/>
      <c r="O1611" s="176"/>
      <c r="P1611" s="173"/>
      <c r="Q1611" s="177"/>
      <c r="R1611" s="178"/>
      <c r="S1611" s="178"/>
      <c r="T1611" s="179"/>
      <c r="U1611" s="179"/>
      <c r="V1611" s="179"/>
      <c r="W1611" s="176"/>
      <c r="X1611" s="180"/>
      <c r="Y1611" s="170"/>
      <c r="Z1611" s="170"/>
    </row>
    <row r="1612" spans="1:26">
      <c r="A1612" s="170"/>
      <c r="B1612" s="171"/>
      <c r="C1612" s="170"/>
      <c r="D1612" s="172"/>
      <c r="E1612" s="172"/>
      <c r="F1612" s="173"/>
      <c r="G1612" s="172"/>
      <c r="H1612" s="172"/>
      <c r="I1612" s="174"/>
      <c r="J1612" s="174"/>
      <c r="K1612" s="175"/>
      <c r="L1612" s="175"/>
      <c r="M1612" s="170"/>
      <c r="N1612" s="170"/>
      <c r="O1612" s="176"/>
      <c r="P1612" s="173"/>
      <c r="Q1612" s="177"/>
      <c r="R1612" s="178"/>
      <c r="S1612" s="178"/>
      <c r="T1612" s="179"/>
      <c r="U1612" s="179"/>
      <c r="V1612" s="179"/>
      <c r="W1612" s="176"/>
      <c r="X1612" s="180"/>
      <c r="Y1612" s="170"/>
      <c r="Z1612" s="170"/>
    </row>
    <row r="1613" spans="1:26">
      <c r="A1613" s="170"/>
      <c r="B1613" s="171"/>
      <c r="C1613" s="170"/>
      <c r="D1613" s="172"/>
      <c r="E1613" s="172"/>
      <c r="F1613" s="173"/>
      <c r="G1613" s="172"/>
      <c r="H1613" s="172"/>
      <c r="I1613" s="174"/>
      <c r="J1613" s="174"/>
      <c r="K1613" s="175"/>
      <c r="L1613" s="175"/>
      <c r="M1613" s="170"/>
      <c r="N1613" s="170"/>
      <c r="O1613" s="176"/>
      <c r="P1613" s="173"/>
      <c r="Q1613" s="177"/>
      <c r="R1613" s="178"/>
      <c r="S1613" s="178"/>
      <c r="T1613" s="179"/>
      <c r="U1613" s="179"/>
      <c r="V1613" s="179"/>
      <c r="W1613" s="176"/>
      <c r="X1613" s="180"/>
      <c r="Y1613" s="170"/>
      <c r="Z1613" s="170"/>
    </row>
    <row r="1614" spans="1:26">
      <c r="A1614" s="170"/>
      <c r="B1614" s="171"/>
      <c r="C1614" s="170"/>
      <c r="D1614" s="172"/>
      <c r="E1614" s="172"/>
      <c r="F1614" s="173"/>
      <c r="G1614" s="172"/>
      <c r="H1614" s="172"/>
      <c r="I1614" s="174"/>
      <c r="J1614" s="174"/>
      <c r="K1614" s="175"/>
      <c r="L1614" s="175"/>
      <c r="M1614" s="170"/>
      <c r="N1614" s="170"/>
      <c r="O1614" s="176"/>
      <c r="P1614" s="173"/>
      <c r="Q1614" s="177"/>
      <c r="R1614" s="178"/>
      <c r="S1614" s="178"/>
      <c r="T1614" s="179"/>
      <c r="U1614" s="179"/>
      <c r="V1614" s="179"/>
      <c r="W1614" s="176"/>
      <c r="X1614" s="180"/>
      <c r="Y1614" s="170"/>
      <c r="Z1614" s="170"/>
    </row>
    <row r="1615" spans="1:26">
      <c r="A1615" s="170"/>
      <c r="B1615" s="171"/>
      <c r="C1615" s="170"/>
      <c r="D1615" s="172"/>
      <c r="E1615" s="172"/>
      <c r="F1615" s="173"/>
      <c r="G1615" s="172"/>
      <c r="H1615" s="172"/>
      <c r="I1615" s="174"/>
      <c r="J1615" s="174"/>
      <c r="K1615" s="175"/>
      <c r="L1615" s="175"/>
      <c r="M1615" s="170"/>
      <c r="N1615" s="170"/>
      <c r="O1615" s="176"/>
      <c r="P1615" s="173"/>
      <c r="Q1615" s="177"/>
      <c r="R1615" s="178"/>
      <c r="S1615" s="178"/>
      <c r="T1615" s="179"/>
      <c r="U1615" s="179"/>
      <c r="V1615" s="179"/>
      <c r="W1615" s="176"/>
      <c r="X1615" s="180"/>
      <c r="Y1615" s="170"/>
      <c r="Z1615" s="170"/>
    </row>
    <row r="1616" spans="1:26">
      <c r="A1616" s="170"/>
      <c r="B1616" s="171"/>
      <c r="C1616" s="170"/>
      <c r="D1616" s="172"/>
      <c r="E1616" s="172"/>
      <c r="F1616" s="173"/>
      <c r="G1616" s="172"/>
      <c r="H1616" s="172"/>
      <c r="I1616" s="174"/>
      <c r="J1616" s="174"/>
      <c r="K1616" s="175"/>
      <c r="L1616" s="175"/>
      <c r="M1616" s="170"/>
      <c r="N1616" s="170"/>
      <c r="O1616" s="176"/>
      <c r="P1616" s="173"/>
      <c r="Q1616" s="177"/>
      <c r="R1616" s="178"/>
      <c r="S1616" s="178"/>
      <c r="T1616" s="179"/>
      <c r="U1616" s="179"/>
      <c r="V1616" s="179"/>
      <c r="W1616" s="176"/>
      <c r="X1616" s="180"/>
      <c r="Y1616" s="170"/>
      <c r="Z1616" s="170"/>
    </row>
    <row r="1617" spans="1:26">
      <c r="A1617" s="170"/>
      <c r="B1617" s="171"/>
      <c r="C1617" s="170"/>
      <c r="D1617" s="172"/>
      <c r="E1617" s="172"/>
      <c r="F1617" s="173"/>
      <c r="G1617" s="172"/>
      <c r="H1617" s="172"/>
      <c r="I1617" s="174"/>
      <c r="J1617" s="174"/>
      <c r="K1617" s="175"/>
      <c r="L1617" s="175"/>
      <c r="M1617" s="170"/>
      <c r="N1617" s="170"/>
      <c r="O1617" s="176"/>
      <c r="P1617" s="173"/>
      <c r="Q1617" s="177"/>
      <c r="R1617" s="178"/>
      <c r="S1617" s="178"/>
      <c r="T1617" s="179"/>
      <c r="U1617" s="179"/>
      <c r="V1617" s="179"/>
      <c r="W1617" s="176"/>
      <c r="X1617" s="180"/>
      <c r="Y1617" s="170"/>
      <c r="Z1617" s="170"/>
    </row>
    <row r="1618" spans="1:26">
      <c r="A1618" s="170"/>
      <c r="B1618" s="171"/>
      <c r="C1618" s="170"/>
      <c r="D1618" s="172"/>
      <c r="E1618" s="172"/>
      <c r="F1618" s="173"/>
      <c r="G1618" s="172"/>
      <c r="H1618" s="172"/>
      <c r="I1618" s="174"/>
      <c r="J1618" s="174"/>
      <c r="K1618" s="175"/>
      <c r="L1618" s="175"/>
      <c r="M1618" s="170"/>
      <c r="N1618" s="170"/>
      <c r="O1618" s="176"/>
      <c r="P1618" s="173"/>
      <c r="Q1618" s="177"/>
      <c r="R1618" s="178"/>
      <c r="S1618" s="178"/>
      <c r="T1618" s="179"/>
      <c r="U1618" s="179"/>
      <c r="V1618" s="179"/>
      <c r="W1618" s="176"/>
      <c r="X1618" s="180"/>
      <c r="Y1618" s="170"/>
      <c r="Z1618" s="170"/>
    </row>
    <row r="1619" spans="1:26">
      <c r="A1619" s="170"/>
      <c r="B1619" s="171"/>
      <c r="C1619" s="170"/>
      <c r="D1619" s="172"/>
      <c r="E1619" s="172"/>
      <c r="F1619" s="173"/>
      <c r="G1619" s="172"/>
      <c r="H1619" s="172"/>
      <c r="I1619" s="174"/>
      <c r="J1619" s="174"/>
      <c r="K1619" s="175"/>
      <c r="L1619" s="175"/>
      <c r="M1619" s="170"/>
      <c r="N1619" s="170"/>
      <c r="O1619" s="176"/>
      <c r="P1619" s="173"/>
      <c r="Q1619" s="177"/>
      <c r="R1619" s="178"/>
      <c r="S1619" s="178"/>
      <c r="T1619" s="179"/>
      <c r="U1619" s="179"/>
      <c r="V1619" s="179"/>
      <c r="W1619" s="176"/>
      <c r="X1619" s="180"/>
      <c r="Y1619" s="170"/>
      <c r="Z1619" s="170"/>
    </row>
    <row r="1620" spans="1:26">
      <c r="A1620" s="170"/>
      <c r="B1620" s="171"/>
      <c r="C1620" s="170"/>
      <c r="D1620" s="172"/>
      <c r="E1620" s="172"/>
      <c r="F1620" s="173"/>
      <c r="G1620" s="172"/>
      <c r="H1620" s="172"/>
      <c r="I1620" s="174"/>
      <c r="J1620" s="174"/>
      <c r="K1620" s="175"/>
      <c r="L1620" s="175"/>
      <c r="M1620" s="170"/>
      <c r="N1620" s="170"/>
      <c r="O1620" s="176"/>
      <c r="P1620" s="173"/>
      <c r="Q1620" s="177"/>
      <c r="R1620" s="178"/>
      <c r="S1620" s="178"/>
      <c r="T1620" s="179"/>
      <c r="U1620" s="179"/>
      <c r="V1620" s="179"/>
      <c r="W1620" s="176"/>
      <c r="X1620" s="180"/>
      <c r="Y1620" s="170"/>
      <c r="Z1620" s="170"/>
    </row>
    <row r="1621" spans="1:26">
      <c r="A1621" s="170"/>
      <c r="B1621" s="171"/>
      <c r="C1621" s="170"/>
      <c r="D1621" s="172"/>
      <c r="E1621" s="172"/>
      <c r="F1621" s="173"/>
      <c r="G1621" s="172"/>
      <c r="H1621" s="172"/>
      <c r="I1621" s="174"/>
      <c r="J1621" s="174"/>
      <c r="K1621" s="175"/>
      <c r="L1621" s="175"/>
      <c r="M1621" s="170"/>
      <c r="N1621" s="170"/>
      <c r="O1621" s="176"/>
      <c r="P1621" s="173"/>
      <c r="Q1621" s="177"/>
      <c r="R1621" s="178"/>
      <c r="S1621" s="178"/>
      <c r="T1621" s="179"/>
      <c r="U1621" s="179"/>
      <c r="V1621" s="179"/>
      <c r="W1621" s="176"/>
      <c r="X1621" s="180"/>
      <c r="Y1621" s="170"/>
      <c r="Z1621" s="170"/>
    </row>
    <row r="1622" spans="1:26">
      <c r="A1622" s="170"/>
      <c r="B1622" s="171"/>
      <c r="C1622" s="170"/>
      <c r="D1622" s="172"/>
      <c r="E1622" s="172"/>
      <c r="F1622" s="173"/>
      <c r="G1622" s="172"/>
      <c r="H1622" s="172"/>
      <c r="I1622" s="174"/>
      <c r="J1622" s="174"/>
      <c r="K1622" s="175"/>
      <c r="L1622" s="175"/>
      <c r="M1622" s="170"/>
      <c r="N1622" s="170"/>
      <c r="O1622" s="176"/>
      <c r="P1622" s="173"/>
      <c r="Q1622" s="177"/>
      <c r="R1622" s="178"/>
      <c r="S1622" s="178"/>
      <c r="T1622" s="179"/>
      <c r="U1622" s="179"/>
      <c r="V1622" s="179"/>
      <c r="W1622" s="176"/>
      <c r="X1622" s="180"/>
      <c r="Y1622" s="170"/>
      <c r="Z1622" s="170"/>
    </row>
    <row r="1623" spans="1:26">
      <c r="A1623" s="170"/>
      <c r="B1623" s="171"/>
      <c r="C1623" s="170"/>
      <c r="D1623" s="172"/>
      <c r="E1623" s="172"/>
      <c r="F1623" s="173"/>
      <c r="G1623" s="172"/>
      <c r="H1623" s="172"/>
      <c r="I1623" s="174"/>
      <c r="J1623" s="174"/>
      <c r="K1623" s="175"/>
      <c r="L1623" s="175"/>
      <c r="M1623" s="170"/>
      <c r="N1623" s="170"/>
      <c r="O1623" s="176"/>
      <c r="P1623" s="173"/>
      <c r="Q1623" s="177"/>
      <c r="R1623" s="178"/>
      <c r="S1623" s="178"/>
      <c r="T1623" s="179"/>
      <c r="U1623" s="179"/>
      <c r="V1623" s="179"/>
      <c r="W1623" s="176"/>
      <c r="X1623" s="180"/>
      <c r="Y1623" s="170"/>
      <c r="Z1623" s="170"/>
    </row>
    <row r="1624" spans="1:26">
      <c r="A1624" s="170"/>
      <c r="B1624" s="171"/>
      <c r="C1624" s="170"/>
      <c r="D1624" s="172"/>
      <c r="E1624" s="172"/>
      <c r="F1624" s="173"/>
      <c r="G1624" s="172"/>
      <c r="H1624" s="172"/>
      <c r="I1624" s="174"/>
      <c r="J1624" s="174"/>
      <c r="K1624" s="175"/>
      <c r="L1624" s="175"/>
      <c r="M1624" s="170"/>
      <c r="N1624" s="170"/>
      <c r="O1624" s="176"/>
      <c r="P1624" s="173"/>
      <c r="Q1624" s="177"/>
      <c r="R1624" s="178"/>
      <c r="S1624" s="178"/>
      <c r="T1624" s="179"/>
      <c r="U1624" s="179"/>
      <c r="V1624" s="179"/>
      <c r="W1624" s="176"/>
      <c r="X1624" s="180"/>
      <c r="Y1624" s="170"/>
      <c r="Z1624" s="170"/>
    </row>
    <row r="1625" spans="1:26">
      <c r="A1625" s="170"/>
      <c r="B1625" s="171"/>
      <c r="C1625" s="170"/>
      <c r="D1625" s="172"/>
      <c r="E1625" s="172"/>
      <c r="F1625" s="173"/>
      <c r="G1625" s="172"/>
      <c r="H1625" s="172"/>
      <c r="I1625" s="174"/>
      <c r="J1625" s="174"/>
      <c r="K1625" s="175"/>
      <c r="L1625" s="175"/>
      <c r="M1625" s="170"/>
      <c r="N1625" s="170"/>
      <c r="O1625" s="176"/>
      <c r="P1625" s="173"/>
      <c r="Q1625" s="177"/>
      <c r="R1625" s="178"/>
      <c r="S1625" s="178"/>
      <c r="T1625" s="179"/>
      <c r="U1625" s="179"/>
      <c r="V1625" s="179"/>
      <c r="W1625" s="176"/>
      <c r="X1625" s="180"/>
      <c r="Y1625" s="170"/>
      <c r="Z1625" s="170"/>
    </row>
    <row r="1626" spans="1:26">
      <c r="A1626" s="170"/>
      <c r="B1626" s="171"/>
      <c r="C1626" s="170"/>
      <c r="D1626" s="172"/>
      <c r="E1626" s="172"/>
      <c r="F1626" s="173"/>
      <c r="G1626" s="172"/>
      <c r="H1626" s="172"/>
      <c r="I1626" s="174"/>
      <c r="J1626" s="174"/>
      <c r="K1626" s="175"/>
      <c r="L1626" s="175"/>
      <c r="M1626" s="170"/>
      <c r="N1626" s="170"/>
      <c r="O1626" s="176"/>
      <c r="P1626" s="173"/>
      <c r="Q1626" s="177"/>
      <c r="R1626" s="178"/>
      <c r="S1626" s="178"/>
      <c r="T1626" s="179"/>
      <c r="U1626" s="179"/>
      <c r="V1626" s="179"/>
      <c r="W1626" s="176"/>
      <c r="X1626" s="180"/>
      <c r="Y1626" s="170"/>
      <c r="Z1626" s="170"/>
    </row>
    <row r="1627" spans="1:26">
      <c r="A1627" s="170"/>
      <c r="B1627" s="171"/>
      <c r="C1627" s="170"/>
      <c r="D1627" s="172"/>
      <c r="E1627" s="172"/>
      <c r="F1627" s="173"/>
      <c r="G1627" s="172"/>
      <c r="H1627" s="172"/>
      <c r="I1627" s="174"/>
      <c r="J1627" s="174"/>
      <c r="K1627" s="175"/>
      <c r="L1627" s="175"/>
      <c r="M1627" s="170"/>
      <c r="N1627" s="170"/>
      <c r="O1627" s="176"/>
      <c r="P1627" s="173"/>
      <c r="Q1627" s="177"/>
      <c r="R1627" s="178"/>
      <c r="S1627" s="178"/>
      <c r="T1627" s="179"/>
      <c r="U1627" s="179"/>
      <c r="V1627" s="179"/>
      <c r="W1627" s="176"/>
      <c r="X1627" s="180"/>
      <c r="Y1627" s="170"/>
      <c r="Z1627" s="170"/>
    </row>
    <row r="1628" spans="1:26">
      <c r="A1628" s="170"/>
      <c r="B1628" s="171"/>
      <c r="C1628" s="170"/>
      <c r="D1628" s="172"/>
      <c r="E1628" s="172"/>
      <c r="F1628" s="173"/>
      <c r="G1628" s="172"/>
      <c r="H1628" s="172"/>
      <c r="I1628" s="174"/>
      <c r="J1628" s="174"/>
      <c r="K1628" s="175"/>
      <c r="L1628" s="175"/>
      <c r="M1628" s="170"/>
      <c r="N1628" s="170"/>
      <c r="O1628" s="176"/>
      <c r="P1628" s="173"/>
      <c r="Q1628" s="177"/>
      <c r="R1628" s="178"/>
      <c r="S1628" s="178"/>
      <c r="T1628" s="179"/>
      <c r="U1628" s="179"/>
      <c r="V1628" s="179"/>
      <c r="W1628" s="176"/>
      <c r="X1628" s="180"/>
      <c r="Y1628" s="170"/>
      <c r="Z1628" s="170"/>
    </row>
    <row r="1629" spans="1:26">
      <c r="A1629" s="170"/>
      <c r="B1629" s="171"/>
      <c r="C1629" s="170"/>
      <c r="D1629" s="172"/>
      <c r="E1629" s="172"/>
      <c r="F1629" s="173"/>
      <c r="G1629" s="172"/>
      <c r="H1629" s="172"/>
      <c r="I1629" s="174"/>
      <c r="J1629" s="174"/>
      <c r="K1629" s="175"/>
      <c r="L1629" s="175"/>
      <c r="M1629" s="170"/>
      <c r="N1629" s="170"/>
      <c r="O1629" s="176"/>
      <c r="P1629" s="173"/>
      <c r="Q1629" s="177"/>
      <c r="R1629" s="178"/>
      <c r="S1629" s="178"/>
      <c r="T1629" s="179"/>
      <c r="U1629" s="179"/>
      <c r="V1629" s="179"/>
      <c r="W1629" s="176"/>
      <c r="X1629" s="180"/>
      <c r="Y1629" s="170"/>
      <c r="Z1629" s="170"/>
    </row>
    <row r="1630" spans="1:26">
      <c r="A1630" s="170"/>
      <c r="B1630" s="171"/>
      <c r="C1630" s="170"/>
      <c r="D1630" s="172"/>
      <c r="E1630" s="172"/>
      <c r="F1630" s="173"/>
      <c r="G1630" s="172"/>
      <c r="H1630" s="172"/>
      <c r="I1630" s="174"/>
      <c r="J1630" s="174"/>
      <c r="K1630" s="175"/>
      <c r="L1630" s="175"/>
      <c r="M1630" s="170"/>
      <c r="N1630" s="170"/>
      <c r="O1630" s="176"/>
      <c r="P1630" s="173"/>
      <c r="Q1630" s="177"/>
      <c r="R1630" s="178"/>
      <c r="S1630" s="178"/>
      <c r="T1630" s="179"/>
      <c r="U1630" s="179"/>
      <c r="V1630" s="179"/>
      <c r="W1630" s="176"/>
      <c r="X1630" s="180"/>
      <c r="Y1630" s="170"/>
      <c r="Z1630" s="170"/>
    </row>
    <row r="1631" spans="1:26">
      <c r="A1631" s="170"/>
      <c r="B1631" s="171"/>
      <c r="C1631" s="170"/>
      <c r="D1631" s="172"/>
      <c r="E1631" s="172"/>
      <c r="F1631" s="173"/>
      <c r="G1631" s="172"/>
      <c r="H1631" s="172"/>
      <c r="I1631" s="174"/>
      <c r="J1631" s="174"/>
      <c r="K1631" s="175"/>
      <c r="L1631" s="175"/>
      <c r="M1631" s="170"/>
      <c r="N1631" s="170"/>
      <c r="O1631" s="176"/>
      <c r="P1631" s="173"/>
      <c r="Q1631" s="177"/>
      <c r="R1631" s="178"/>
      <c r="S1631" s="178"/>
      <c r="T1631" s="179"/>
      <c r="U1631" s="179"/>
      <c r="V1631" s="179"/>
      <c r="W1631" s="176"/>
      <c r="X1631" s="180"/>
      <c r="Y1631" s="170"/>
      <c r="Z1631" s="170"/>
    </row>
    <row r="1632" spans="1:26">
      <c r="A1632" s="170"/>
      <c r="B1632" s="171"/>
      <c r="C1632" s="170"/>
      <c r="D1632" s="172"/>
      <c r="E1632" s="172"/>
      <c r="F1632" s="173"/>
      <c r="G1632" s="172"/>
      <c r="H1632" s="172"/>
      <c r="I1632" s="174"/>
      <c r="J1632" s="174"/>
      <c r="K1632" s="175"/>
      <c r="L1632" s="175"/>
      <c r="M1632" s="170"/>
      <c r="N1632" s="170"/>
      <c r="O1632" s="176"/>
      <c r="P1632" s="173"/>
      <c r="Q1632" s="177"/>
      <c r="R1632" s="178"/>
      <c r="S1632" s="178"/>
      <c r="T1632" s="179"/>
      <c r="U1632" s="179"/>
      <c r="V1632" s="179"/>
      <c r="W1632" s="176"/>
      <c r="X1632" s="180"/>
      <c r="Y1632" s="170"/>
      <c r="Z1632" s="170"/>
    </row>
    <row r="1633" spans="1:26">
      <c r="A1633" s="170"/>
      <c r="B1633" s="171"/>
      <c r="C1633" s="170"/>
      <c r="D1633" s="172"/>
      <c r="E1633" s="172"/>
      <c r="F1633" s="173"/>
      <c r="G1633" s="172"/>
      <c r="H1633" s="172"/>
      <c r="I1633" s="174"/>
      <c r="J1633" s="174"/>
      <c r="K1633" s="175"/>
      <c r="L1633" s="175"/>
      <c r="M1633" s="170"/>
      <c r="N1633" s="170"/>
      <c r="O1633" s="176"/>
      <c r="P1633" s="173"/>
      <c r="Q1633" s="177"/>
      <c r="R1633" s="178"/>
      <c r="S1633" s="178"/>
      <c r="T1633" s="179"/>
      <c r="U1633" s="179"/>
      <c r="V1633" s="179"/>
      <c r="W1633" s="176"/>
      <c r="X1633" s="180"/>
      <c r="Y1633" s="170"/>
      <c r="Z1633" s="170"/>
    </row>
    <row r="1634" spans="1:26">
      <c r="A1634" s="170"/>
      <c r="B1634" s="171"/>
      <c r="C1634" s="170"/>
      <c r="D1634" s="172"/>
      <c r="E1634" s="172"/>
      <c r="F1634" s="173"/>
      <c r="G1634" s="172"/>
      <c r="H1634" s="172"/>
      <c r="I1634" s="174"/>
      <c r="J1634" s="174"/>
      <c r="K1634" s="175"/>
      <c r="L1634" s="175"/>
      <c r="M1634" s="170"/>
      <c r="N1634" s="170"/>
      <c r="O1634" s="176"/>
      <c r="P1634" s="173"/>
      <c r="Q1634" s="177"/>
      <c r="R1634" s="178"/>
      <c r="S1634" s="178"/>
      <c r="T1634" s="179"/>
      <c r="U1634" s="179"/>
      <c r="V1634" s="179"/>
      <c r="W1634" s="176"/>
      <c r="X1634" s="180"/>
      <c r="Y1634" s="170"/>
      <c r="Z1634" s="170"/>
    </row>
    <row r="1635" spans="1:26">
      <c r="A1635" s="170"/>
      <c r="B1635" s="171"/>
      <c r="C1635" s="170"/>
      <c r="D1635" s="172"/>
      <c r="E1635" s="172"/>
      <c r="F1635" s="173"/>
      <c r="G1635" s="172"/>
      <c r="H1635" s="172"/>
      <c r="I1635" s="174"/>
      <c r="J1635" s="174"/>
      <c r="K1635" s="175"/>
      <c r="L1635" s="175"/>
      <c r="M1635" s="170"/>
      <c r="N1635" s="170"/>
      <c r="O1635" s="176"/>
      <c r="P1635" s="173"/>
      <c r="Q1635" s="177"/>
      <c r="R1635" s="178"/>
      <c r="S1635" s="178"/>
      <c r="T1635" s="179"/>
      <c r="U1635" s="179"/>
      <c r="V1635" s="179"/>
      <c r="W1635" s="176"/>
      <c r="X1635" s="180"/>
      <c r="Y1635" s="170"/>
      <c r="Z1635" s="170"/>
    </row>
    <row r="1636" spans="1:26">
      <c r="A1636" s="170"/>
      <c r="B1636" s="171"/>
      <c r="C1636" s="170"/>
      <c r="D1636" s="172"/>
      <c r="E1636" s="172"/>
      <c r="F1636" s="173"/>
      <c r="G1636" s="172"/>
      <c r="H1636" s="172"/>
      <c r="I1636" s="174"/>
      <c r="J1636" s="174"/>
      <c r="K1636" s="175"/>
      <c r="L1636" s="175"/>
      <c r="M1636" s="170"/>
      <c r="N1636" s="170"/>
      <c r="O1636" s="176"/>
      <c r="P1636" s="173"/>
      <c r="Q1636" s="177"/>
      <c r="R1636" s="178"/>
      <c r="S1636" s="178"/>
      <c r="T1636" s="179"/>
      <c r="U1636" s="179"/>
      <c r="V1636" s="179"/>
      <c r="W1636" s="176"/>
      <c r="X1636" s="180"/>
      <c r="Y1636" s="170"/>
      <c r="Z1636" s="170"/>
    </row>
    <row r="1637" spans="1:26">
      <c r="A1637" s="170"/>
      <c r="B1637" s="171"/>
      <c r="C1637" s="170"/>
      <c r="D1637" s="172"/>
      <c r="E1637" s="172"/>
      <c r="F1637" s="173"/>
      <c r="G1637" s="172"/>
      <c r="H1637" s="172"/>
      <c r="I1637" s="174"/>
      <c r="J1637" s="174"/>
      <c r="K1637" s="175"/>
      <c r="L1637" s="175"/>
      <c r="M1637" s="170"/>
      <c r="N1637" s="170"/>
      <c r="O1637" s="176"/>
      <c r="P1637" s="173"/>
      <c r="Q1637" s="177"/>
      <c r="R1637" s="178"/>
      <c r="S1637" s="178"/>
      <c r="T1637" s="179"/>
      <c r="U1637" s="179"/>
      <c r="V1637" s="179"/>
      <c r="W1637" s="176"/>
      <c r="X1637" s="180"/>
      <c r="Y1637" s="170"/>
      <c r="Z1637" s="170"/>
    </row>
    <row r="1638" spans="1:26">
      <c r="A1638" s="170"/>
      <c r="B1638" s="171"/>
      <c r="C1638" s="170"/>
      <c r="D1638" s="172"/>
      <c r="E1638" s="172"/>
      <c r="F1638" s="173"/>
      <c r="G1638" s="172"/>
      <c r="H1638" s="172"/>
      <c r="I1638" s="174"/>
      <c r="J1638" s="174"/>
      <c r="K1638" s="175"/>
      <c r="L1638" s="175"/>
      <c r="M1638" s="170"/>
      <c r="N1638" s="170"/>
      <c r="O1638" s="176"/>
      <c r="P1638" s="173"/>
      <c r="Q1638" s="177"/>
      <c r="R1638" s="178"/>
      <c r="S1638" s="178"/>
      <c r="T1638" s="179"/>
      <c r="U1638" s="179"/>
      <c r="V1638" s="179"/>
      <c r="W1638" s="176"/>
      <c r="X1638" s="180"/>
      <c r="Y1638" s="170"/>
      <c r="Z1638" s="170"/>
    </row>
    <row r="1639" spans="1:26">
      <c r="A1639" s="170"/>
      <c r="B1639" s="171"/>
      <c r="C1639" s="170"/>
      <c r="D1639" s="172"/>
      <c r="E1639" s="172"/>
      <c r="F1639" s="173"/>
      <c r="G1639" s="172"/>
      <c r="H1639" s="172"/>
      <c r="I1639" s="174"/>
      <c r="J1639" s="174"/>
      <c r="K1639" s="175"/>
      <c r="L1639" s="175"/>
      <c r="M1639" s="170"/>
      <c r="N1639" s="170"/>
      <c r="O1639" s="176"/>
      <c r="P1639" s="173"/>
      <c r="Q1639" s="177"/>
      <c r="R1639" s="178"/>
      <c r="S1639" s="178"/>
      <c r="T1639" s="179"/>
      <c r="U1639" s="179"/>
      <c r="V1639" s="179"/>
      <c r="W1639" s="176"/>
      <c r="X1639" s="180"/>
      <c r="Y1639" s="170"/>
      <c r="Z1639" s="170"/>
    </row>
    <row r="1640" spans="1:26">
      <c r="A1640" s="170"/>
      <c r="B1640" s="171"/>
      <c r="C1640" s="170"/>
      <c r="D1640" s="172"/>
      <c r="E1640" s="172"/>
      <c r="F1640" s="173"/>
      <c r="G1640" s="172"/>
      <c r="H1640" s="172"/>
      <c r="I1640" s="174"/>
      <c r="J1640" s="174"/>
      <c r="K1640" s="175"/>
      <c r="L1640" s="175"/>
      <c r="M1640" s="170"/>
      <c r="N1640" s="170"/>
      <c r="O1640" s="176"/>
      <c r="P1640" s="173"/>
      <c r="Q1640" s="177"/>
      <c r="R1640" s="178"/>
      <c r="S1640" s="178"/>
      <c r="T1640" s="179"/>
      <c r="U1640" s="179"/>
      <c r="V1640" s="179"/>
      <c r="W1640" s="176"/>
      <c r="X1640" s="180"/>
      <c r="Y1640" s="170"/>
      <c r="Z1640" s="170"/>
    </row>
    <row r="1641" spans="1:26">
      <c r="A1641" s="170"/>
      <c r="B1641" s="171"/>
      <c r="C1641" s="170"/>
      <c r="D1641" s="172"/>
      <c r="E1641" s="172"/>
      <c r="F1641" s="173"/>
      <c r="G1641" s="172"/>
      <c r="H1641" s="172"/>
      <c r="I1641" s="174"/>
      <c r="J1641" s="174"/>
      <c r="K1641" s="175"/>
      <c r="L1641" s="175"/>
      <c r="M1641" s="170"/>
      <c r="N1641" s="170"/>
      <c r="O1641" s="176"/>
      <c r="P1641" s="173"/>
      <c r="Q1641" s="177"/>
      <c r="R1641" s="178"/>
      <c r="S1641" s="178"/>
      <c r="T1641" s="179"/>
      <c r="U1641" s="179"/>
      <c r="V1641" s="179"/>
      <c r="W1641" s="176"/>
      <c r="X1641" s="180"/>
      <c r="Y1641" s="170"/>
      <c r="Z1641" s="170"/>
    </row>
    <row r="1642" spans="1:26">
      <c r="A1642" s="170"/>
      <c r="B1642" s="171"/>
      <c r="C1642" s="170"/>
      <c r="D1642" s="172"/>
      <c r="E1642" s="172"/>
      <c r="F1642" s="173"/>
      <c r="G1642" s="172"/>
      <c r="H1642" s="172"/>
      <c r="I1642" s="174"/>
      <c r="J1642" s="174"/>
      <c r="K1642" s="175"/>
      <c r="L1642" s="175"/>
      <c r="M1642" s="170"/>
      <c r="N1642" s="170"/>
      <c r="O1642" s="176"/>
      <c r="P1642" s="173"/>
      <c r="Q1642" s="177"/>
      <c r="R1642" s="178"/>
      <c r="S1642" s="178"/>
      <c r="T1642" s="179"/>
      <c r="U1642" s="179"/>
      <c r="V1642" s="179"/>
      <c r="W1642" s="176"/>
      <c r="X1642" s="180"/>
      <c r="Y1642" s="170"/>
      <c r="Z1642" s="170"/>
    </row>
    <row r="1643" spans="1:26">
      <c r="A1643" s="170"/>
      <c r="B1643" s="171"/>
      <c r="C1643" s="170"/>
      <c r="D1643" s="172"/>
      <c r="E1643" s="172"/>
      <c r="F1643" s="173"/>
      <c r="G1643" s="172"/>
      <c r="H1643" s="172"/>
      <c r="I1643" s="174"/>
      <c r="J1643" s="174"/>
      <c r="K1643" s="175"/>
      <c r="L1643" s="175"/>
      <c r="M1643" s="170"/>
      <c r="N1643" s="170"/>
      <c r="O1643" s="176"/>
      <c r="P1643" s="173"/>
      <c r="Q1643" s="177"/>
      <c r="R1643" s="178"/>
      <c r="S1643" s="178"/>
      <c r="T1643" s="179"/>
      <c r="U1643" s="179"/>
      <c r="V1643" s="179"/>
      <c r="W1643" s="176"/>
      <c r="X1643" s="180"/>
      <c r="Y1643" s="170"/>
      <c r="Z1643" s="170"/>
    </row>
    <row r="1644" spans="1:26">
      <c r="A1644" s="170"/>
      <c r="B1644" s="171"/>
      <c r="C1644" s="170"/>
      <c r="D1644" s="172"/>
      <c r="E1644" s="172"/>
      <c r="F1644" s="173"/>
      <c r="G1644" s="172"/>
      <c r="H1644" s="172"/>
      <c r="I1644" s="174"/>
      <c r="J1644" s="174"/>
      <c r="K1644" s="175"/>
      <c r="L1644" s="175"/>
      <c r="M1644" s="170"/>
      <c r="N1644" s="170"/>
      <c r="O1644" s="176"/>
      <c r="P1644" s="173"/>
      <c r="Q1644" s="177"/>
      <c r="R1644" s="178"/>
      <c r="S1644" s="178"/>
      <c r="T1644" s="179"/>
      <c r="U1644" s="179"/>
      <c r="V1644" s="179"/>
      <c r="W1644" s="176"/>
      <c r="X1644" s="180"/>
      <c r="Y1644" s="170"/>
      <c r="Z1644" s="170"/>
    </row>
    <row r="1645" spans="1:26">
      <c r="A1645" s="170"/>
      <c r="B1645" s="171"/>
      <c r="C1645" s="170"/>
      <c r="D1645" s="172"/>
      <c r="E1645" s="172"/>
      <c r="F1645" s="173"/>
      <c r="G1645" s="172"/>
      <c r="H1645" s="172"/>
      <c r="I1645" s="174"/>
      <c r="J1645" s="174"/>
      <c r="K1645" s="175"/>
      <c r="L1645" s="175"/>
      <c r="M1645" s="170"/>
      <c r="N1645" s="170"/>
      <c r="O1645" s="176"/>
      <c r="P1645" s="173"/>
      <c r="Q1645" s="177"/>
      <c r="R1645" s="178"/>
      <c r="S1645" s="178"/>
      <c r="T1645" s="179"/>
      <c r="U1645" s="179"/>
      <c r="V1645" s="179"/>
      <c r="W1645" s="176"/>
      <c r="X1645" s="180"/>
      <c r="Y1645" s="170"/>
      <c r="Z1645" s="170"/>
    </row>
    <row r="1646" spans="1:26">
      <c r="A1646" s="170"/>
      <c r="B1646" s="171"/>
      <c r="C1646" s="170"/>
      <c r="D1646" s="172"/>
      <c r="E1646" s="172"/>
      <c r="F1646" s="173"/>
      <c r="G1646" s="172"/>
      <c r="H1646" s="172"/>
      <c r="I1646" s="174"/>
      <c r="J1646" s="174"/>
      <c r="K1646" s="175"/>
      <c r="L1646" s="175"/>
      <c r="M1646" s="170"/>
      <c r="N1646" s="170"/>
      <c r="O1646" s="176"/>
      <c r="P1646" s="173"/>
      <c r="Q1646" s="177"/>
      <c r="R1646" s="178"/>
      <c r="S1646" s="178"/>
      <c r="T1646" s="179"/>
      <c r="U1646" s="179"/>
      <c r="V1646" s="179"/>
      <c r="W1646" s="176"/>
      <c r="X1646" s="180"/>
      <c r="Y1646" s="170"/>
      <c r="Z1646" s="170"/>
    </row>
    <row r="1647" spans="1:26">
      <c r="A1647" s="170"/>
      <c r="B1647" s="171"/>
      <c r="C1647" s="170"/>
      <c r="D1647" s="172"/>
      <c r="E1647" s="172"/>
      <c r="F1647" s="173"/>
      <c r="G1647" s="172"/>
      <c r="H1647" s="172"/>
      <c r="I1647" s="174"/>
      <c r="J1647" s="174"/>
      <c r="K1647" s="175"/>
      <c r="L1647" s="175"/>
      <c r="M1647" s="170"/>
      <c r="N1647" s="170"/>
      <c r="O1647" s="176"/>
      <c r="P1647" s="173"/>
      <c r="Q1647" s="177"/>
      <c r="R1647" s="178"/>
      <c r="S1647" s="178"/>
      <c r="T1647" s="179"/>
      <c r="U1647" s="179"/>
      <c r="V1647" s="179"/>
      <c r="W1647" s="176"/>
      <c r="X1647" s="180"/>
      <c r="Y1647" s="170"/>
      <c r="Z1647" s="170"/>
    </row>
    <row r="1648" spans="1:26">
      <c r="A1648" s="170"/>
      <c r="B1648" s="171"/>
      <c r="C1648" s="170"/>
      <c r="D1648" s="172"/>
      <c r="E1648" s="172"/>
      <c r="F1648" s="173"/>
      <c r="G1648" s="172"/>
      <c r="H1648" s="172"/>
      <c r="I1648" s="174"/>
      <c r="J1648" s="174"/>
      <c r="K1648" s="175"/>
      <c r="L1648" s="175"/>
      <c r="M1648" s="170"/>
      <c r="N1648" s="170"/>
      <c r="O1648" s="176"/>
      <c r="P1648" s="173"/>
      <c r="Q1648" s="177"/>
      <c r="R1648" s="178"/>
      <c r="S1648" s="178"/>
      <c r="T1648" s="179"/>
      <c r="U1648" s="179"/>
      <c r="V1648" s="179"/>
      <c r="W1648" s="176"/>
      <c r="X1648" s="180"/>
      <c r="Y1648" s="170"/>
      <c r="Z1648" s="170"/>
    </row>
    <row r="1649" spans="1:26">
      <c r="A1649" s="170"/>
      <c r="B1649" s="171"/>
      <c r="C1649" s="170"/>
      <c r="D1649" s="172"/>
      <c r="E1649" s="172"/>
      <c r="F1649" s="173"/>
      <c r="G1649" s="172"/>
      <c r="H1649" s="172"/>
      <c r="I1649" s="174"/>
      <c r="J1649" s="174"/>
      <c r="K1649" s="175"/>
      <c r="L1649" s="175"/>
      <c r="M1649" s="170"/>
      <c r="N1649" s="170"/>
      <c r="O1649" s="176"/>
      <c r="P1649" s="173"/>
      <c r="Q1649" s="177"/>
      <c r="R1649" s="178"/>
      <c r="S1649" s="178"/>
      <c r="T1649" s="179"/>
      <c r="U1649" s="179"/>
      <c r="V1649" s="179"/>
      <c r="W1649" s="176"/>
      <c r="X1649" s="180"/>
      <c r="Y1649" s="170"/>
      <c r="Z1649" s="170"/>
    </row>
    <row r="1650" spans="1:26">
      <c r="A1650" s="170"/>
      <c r="B1650" s="171"/>
      <c r="C1650" s="170"/>
      <c r="D1650" s="172"/>
      <c r="E1650" s="172"/>
      <c r="F1650" s="173"/>
      <c r="G1650" s="172"/>
      <c r="H1650" s="172"/>
      <c r="I1650" s="174"/>
      <c r="J1650" s="174"/>
      <c r="K1650" s="175"/>
      <c r="L1650" s="175"/>
      <c r="M1650" s="170"/>
      <c r="N1650" s="170"/>
      <c r="O1650" s="176"/>
      <c r="P1650" s="173"/>
      <c r="Q1650" s="177"/>
      <c r="R1650" s="178"/>
      <c r="S1650" s="178"/>
      <c r="T1650" s="179"/>
      <c r="U1650" s="179"/>
      <c r="V1650" s="179"/>
      <c r="W1650" s="176"/>
      <c r="X1650" s="180"/>
      <c r="Y1650" s="170"/>
      <c r="Z1650" s="170"/>
    </row>
    <row r="1651" spans="1:26">
      <c r="A1651" s="170"/>
      <c r="B1651" s="171"/>
      <c r="C1651" s="170"/>
      <c r="D1651" s="172"/>
      <c r="E1651" s="172"/>
      <c r="F1651" s="173"/>
      <c r="G1651" s="172"/>
      <c r="H1651" s="172"/>
      <c r="I1651" s="174"/>
      <c r="J1651" s="174"/>
      <c r="K1651" s="175"/>
      <c r="L1651" s="175"/>
      <c r="M1651" s="170"/>
      <c r="N1651" s="170"/>
      <c r="O1651" s="176"/>
      <c r="P1651" s="173"/>
      <c r="Q1651" s="177"/>
      <c r="R1651" s="178"/>
      <c r="S1651" s="178"/>
      <c r="T1651" s="179"/>
      <c r="U1651" s="179"/>
      <c r="V1651" s="179"/>
      <c r="W1651" s="176"/>
      <c r="X1651" s="180"/>
      <c r="Y1651" s="170"/>
      <c r="Z1651" s="170"/>
    </row>
    <row r="1652" spans="1:26">
      <c r="A1652" s="170"/>
      <c r="B1652" s="171"/>
      <c r="C1652" s="170"/>
      <c r="D1652" s="172"/>
      <c r="E1652" s="172"/>
      <c r="F1652" s="173"/>
      <c r="G1652" s="172"/>
      <c r="H1652" s="172"/>
      <c r="I1652" s="174"/>
      <c r="J1652" s="174"/>
      <c r="K1652" s="175"/>
      <c r="L1652" s="175"/>
      <c r="M1652" s="170"/>
      <c r="N1652" s="170"/>
      <c r="O1652" s="176"/>
      <c r="P1652" s="173"/>
      <c r="Q1652" s="177"/>
      <c r="R1652" s="178"/>
      <c r="S1652" s="178"/>
      <c r="T1652" s="179"/>
      <c r="U1652" s="179"/>
      <c r="V1652" s="179"/>
      <c r="W1652" s="176"/>
      <c r="X1652" s="180"/>
      <c r="Y1652" s="170"/>
      <c r="Z1652" s="170"/>
    </row>
    <row r="1653" spans="1:26">
      <c r="A1653" s="170"/>
      <c r="B1653" s="171"/>
      <c r="C1653" s="170"/>
      <c r="D1653" s="172"/>
      <c r="E1653" s="172"/>
      <c r="F1653" s="173"/>
      <c r="G1653" s="172"/>
      <c r="H1653" s="172"/>
      <c r="I1653" s="174"/>
      <c r="J1653" s="174"/>
      <c r="K1653" s="175"/>
      <c r="L1653" s="175"/>
      <c r="M1653" s="170"/>
      <c r="N1653" s="170"/>
      <c r="O1653" s="176"/>
      <c r="P1653" s="173"/>
      <c r="Q1653" s="177"/>
      <c r="R1653" s="178"/>
      <c r="S1653" s="178"/>
      <c r="T1653" s="179"/>
      <c r="U1653" s="179"/>
      <c r="V1653" s="179"/>
      <c r="W1653" s="176"/>
      <c r="X1653" s="180"/>
      <c r="Y1653" s="170"/>
      <c r="Z1653" s="170"/>
    </row>
    <row r="1654" spans="1:26">
      <c r="A1654" s="170"/>
      <c r="B1654" s="171"/>
      <c r="C1654" s="170"/>
      <c r="D1654" s="172"/>
      <c r="E1654" s="172"/>
      <c r="F1654" s="173"/>
      <c r="G1654" s="172"/>
      <c r="H1654" s="172"/>
      <c r="I1654" s="174"/>
      <c r="J1654" s="174"/>
      <c r="K1654" s="175"/>
      <c r="L1654" s="175"/>
      <c r="M1654" s="170"/>
      <c r="N1654" s="170"/>
      <c r="O1654" s="176"/>
      <c r="P1654" s="173"/>
      <c r="Q1654" s="177"/>
      <c r="R1654" s="178"/>
      <c r="S1654" s="178"/>
      <c r="T1654" s="179"/>
      <c r="U1654" s="179"/>
      <c r="V1654" s="179"/>
      <c r="W1654" s="176"/>
      <c r="X1654" s="180"/>
      <c r="Y1654" s="170"/>
      <c r="Z1654" s="170"/>
    </row>
    <row r="1655" spans="1:26">
      <c r="A1655" s="170"/>
      <c r="B1655" s="171"/>
      <c r="C1655" s="170"/>
      <c r="D1655" s="172"/>
      <c r="E1655" s="172"/>
      <c r="F1655" s="173"/>
      <c r="G1655" s="172"/>
      <c r="H1655" s="172"/>
      <c r="I1655" s="174"/>
      <c r="J1655" s="174"/>
      <c r="K1655" s="175"/>
      <c r="L1655" s="175"/>
      <c r="M1655" s="170"/>
      <c r="N1655" s="170"/>
      <c r="O1655" s="176"/>
      <c r="P1655" s="173"/>
      <c r="Q1655" s="177"/>
      <c r="R1655" s="178"/>
      <c r="S1655" s="178"/>
      <c r="T1655" s="179"/>
      <c r="U1655" s="179"/>
      <c r="V1655" s="179"/>
      <c r="W1655" s="176"/>
      <c r="X1655" s="180"/>
      <c r="Y1655" s="170"/>
      <c r="Z1655" s="170"/>
    </row>
    <row r="1656" spans="1:26">
      <c r="A1656" s="170"/>
      <c r="B1656" s="171"/>
      <c r="C1656" s="170"/>
      <c r="D1656" s="172"/>
      <c r="E1656" s="172"/>
      <c r="F1656" s="173"/>
      <c r="G1656" s="172"/>
      <c r="H1656" s="172"/>
      <c r="I1656" s="174"/>
      <c r="J1656" s="174"/>
      <c r="K1656" s="175"/>
      <c r="L1656" s="175"/>
      <c r="M1656" s="170"/>
      <c r="N1656" s="170"/>
      <c r="O1656" s="176"/>
      <c r="P1656" s="173"/>
      <c r="Q1656" s="177"/>
      <c r="R1656" s="178"/>
      <c r="S1656" s="178"/>
      <c r="T1656" s="179"/>
      <c r="U1656" s="179"/>
      <c r="V1656" s="179"/>
      <c r="W1656" s="176"/>
      <c r="X1656" s="180"/>
      <c r="Y1656" s="170"/>
      <c r="Z1656" s="170"/>
    </row>
    <row r="1657" spans="1:26">
      <c r="A1657" s="170"/>
      <c r="B1657" s="171"/>
      <c r="C1657" s="170"/>
      <c r="D1657" s="172"/>
      <c r="E1657" s="172"/>
      <c r="F1657" s="173"/>
      <c r="G1657" s="172"/>
      <c r="H1657" s="172"/>
      <c r="I1657" s="174"/>
      <c r="J1657" s="174"/>
      <c r="K1657" s="175"/>
      <c r="L1657" s="175"/>
      <c r="M1657" s="170"/>
      <c r="N1657" s="170"/>
      <c r="O1657" s="176"/>
      <c r="P1657" s="173"/>
      <c r="Q1657" s="177"/>
      <c r="R1657" s="178"/>
      <c r="S1657" s="178"/>
      <c r="T1657" s="179"/>
      <c r="U1657" s="179"/>
      <c r="V1657" s="179"/>
      <c r="W1657" s="176"/>
      <c r="X1657" s="180"/>
      <c r="Y1657" s="170"/>
      <c r="Z1657" s="170"/>
    </row>
    <row r="1658" spans="1:26">
      <c r="A1658" s="170"/>
      <c r="B1658" s="171"/>
      <c r="C1658" s="170"/>
      <c r="D1658" s="172"/>
      <c r="E1658" s="172"/>
      <c r="F1658" s="173"/>
      <c r="G1658" s="172"/>
      <c r="H1658" s="172"/>
      <c r="I1658" s="174"/>
      <c r="J1658" s="174"/>
      <c r="K1658" s="175"/>
      <c r="L1658" s="175"/>
      <c r="M1658" s="170"/>
      <c r="N1658" s="170"/>
      <c r="O1658" s="176"/>
      <c r="P1658" s="173"/>
      <c r="Q1658" s="177"/>
      <c r="R1658" s="178"/>
      <c r="S1658" s="178"/>
      <c r="T1658" s="179"/>
      <c r="U1658" s="179"/>
      <c r="V1658" s="179"/>
      <c r="W1658" s="176"/>
      <c r="X1658" s="180"/>
      <c r="Y1658" s="170"/>
      <c r="Z1658" s="170"/>
    </row>
    <row r="1659" spans="1:26">
      <c r="A1659" s="170"/>
      <c r="B1659" s="171"/>
      <c r="C1659" s="170"/>
      <c r="D1659" s="172"/>
      <c r="E1659" s="172"/>
      <c r="F1659" s="173"/>
      <c r="G1659" s="172"/>
      <c r="H1659" s="172"/>
      <c r="I1659" s="174"/>
      <c r="J1659" s="174"/>
      <c r="K1659" s="175"/>
      <c r="L1659" s="175"/>
      <c r="M1659" s="170"/>
      <c r="N1659" s="170"/>
      <c r="O1659" s="176"/>
      <c r="P1659" s="173"/>
      <c r="Q1659" s="177"/>
      <c r="R1659" s="178"/>
      <c r="S1659" s="178"/>
      <c r="T1659" s="179"/>
      <c r="U1659" s="179"/>
      <c r="V1659" s="179"/>
      <c r="W1659" s="176"/>
      <c r="X1659" s="180"/>
      <c r="Y1659" s="170"/>
      <c r="Z1659" s="170"/>
    </row>
    <row r="1660" spans="1:26">
      <c r="A1660" s="170"/>
      <c r="B1660" s="171"/>
      <c r="C1660" s="170"/>
      <c r="D1660" s="172"/>
      <c r="E1660" s="172"/>
      <c r="F1660" s="173"/>
      <c r="G1660" s="172"/>
      <c r="H1660" s="172"/>
      <c r="I1660" s="174"/>
      <c r="J1660" s="174"/>
      <c r="K1660" s="175"/>
      <c r="L1660" s="175"/>
      <c r="M1660" s="170"/>
      <c r="N1660" s="170"/>
      <c r="O1660" s="176"/>
      <c r="P1660" s="173"/>
      <c r="Q1660" s="177"/>
      <c r="R1660" s="178"/>
      <c r="S1660" s="178"/>
      <c r="T1660" s="179"/>
      <c r="U1660" s="179"/>
      <c r="V1660" s="179"/>
      <c r="W1660" s="176"/>
      <c r="X1660" s="180"/>
      <c r="Y1660" s="170"/>
      <c r="Z1660" s="170"/>
    </row>
    <row r="1661" spans="1:26">
      <c r="A1661" s="170"/>
      <c r="B1661" s="171"/>
      <c r="C1661" s="170"/>
      <c r="D1661" s="172"/>
      <c r="E1661" s="172"/>
      <c r="F1661" s="173"/>
      <c r="G1661" s="172"/>
      <c r="H1661" s="172"/>
      <c r="I1661" s="174"/>
      <c r="J1661" s="174"/>
      <c r="K1661" s="175"/>
      <c r="L1661" s="175"/>
      <c r="M1661" s="170"/>
      <c r="N1661" s="170"/>
      <c r="O1661" s="176"/>
      <c r="P1661" s="173"/>
      <c r="Q1661" s="177"/>
      <c r="R1661" s="178"/>
      <c r="S1661" s="178"/>
      <c r="T1661" s="179"/>
      <c r="U1661" s="179"/>
      <c r="V1661" s="179"/>
      <c r="W1661" s="176"/>
      <c r="X1661" s="180"/>
      <c r="Y1661" s="170"/>
      <c r="Z1661" s="170"/>
    </row>
    <row r="1662" spans="1:26">
      <c r="A1662" s="170"/>
      <c r="B1662" s="171"/>
      <c r="C1662" s="170"/>
      <c r="D1662" s="172"/>
      <c r="E1662" s="172"/>
      <c r="F1662" s="173"/>
      <c r="G1662" s="172"/>
      <c r="H1662" s="172"/>
      <c r="I1662" s="174"/>
      <c r="J1662" s="174"/>
      <c r="K1662" s="175"/>
      <c r="L1662" s="175"/>
      <c r="M1662" s="170"/>
      <c r="N1662" s="170"/>
      <c r="O1662" s="176"/>
      <c r="P1662" s="173"/>
      <c r="Q1662" s="177"/>
      <c r="R1662" s="178"/>
      <c r="S1662" s="178"/>
      <c r="T1662" s="179"/>
      <c r="U1662" s="179"/>
      <c r="V1662" s="179"/>
      <c r="W1662" s="176"/>
      <c r="X1662" s="180"/>
      <c r="Y1662" s="170"/>
      <c r="Z1662" s="170"/>
    </row>
    <row r="1663" spans="1:26">
      <c r="A1663" s="170"/>
      <c r="B1663" s="171"/>
      <c r="C1663" s="170"/>
      <c r="D1663" s="172"/>
      <c r="E1663" s="172"/>
      <c r="F1663" s="173"/>
      <c r="G1663" s="172"/>
      <c r="H1663" s="172"/>
      <c r="I1663" s="174"/>
      <c r="J1663" s="174"/>
      <c r="K1663" s="175"/>
      <c r="L1663" s="175"/>
      <c r="M1663" s="170"/>
      <c r="N1663" s="170"/>
      <c r="O1663" s="176"/>
      <c r="P1663" s="173"/>
      <c r="Q1663" s="177"/>
      <c r="R1663" s="178"/>
      <c r="S1663" s="178"/>
      <c r="T1663" s="179"/>
      <c r="U1663" s="179"/>
      <c r="V1663" s="179"/>
      <c r="W1663" s="176"/>
      <c r="X1663" s="180"/>
      <c r="Y1663" s="170"/>
      <c r="Z1663" s="170"/>
    </row>
    <row r="1664" spans="1:26">
      <c r="A1664" s="170"/>
      <c r="B1664" s="171"/>
      <c r="C1664" s="170"/>
      <c r="D1664" s="172"/>
      <c r="E1664" s="172"/>
      <c r="F1664" s="173"/>
      <c r="G1664" s="172"/>
      <c r="H1664" s="172"/>
      <c r="I1664" s="174"/>
      <c r="J1664" s="174"/>
      <c r="K1664" s="175"/>
      <c r="L1664" s="175"/>
      <c r="M1664" s="170"/>
      <c r="N1664" s="170"/>
      <c r="O1664" s="176"/>
      <c r="P1664" s="173"/>
      <c r="Q1664" s="177"/>
      <c r="R1664" s="178"/>
      <c r="S1664" s="178"/>
      <c r="T1664" s="179"/>
      <c r="U1664" s="179"/>
      <c r="V1664" s="179"/>
      <c r="W1664" s="176"/>
      <c r="X1664" s="180"/>
      <c r="Y1664" s="170"/>
      <c r="Z1664" s="170"/>
    </row>
    <row r="1665" spans="1:26">
      <c r="A1665" s="170"/>
      <c r="B1665" s="171"/>
      <c r="C1665" s="170"/>
      <c r="D1665" s="172"/>
      <c r="E1665" s="172"/>
      <c r="F1665" s="173"/>
      <c r="G1665" s="172"/>
      <c r="H1665" s="172"/>
      <c r="I1665" s="174"/>
      <c r="J1665" s="174"/>
      <c r="K1665" s="175"/>
      <c r="L1665" s="175"/>
      <c r="M1665" s="170"/>
      <c r="N1665" s="170"/>
      <c r="O1665" s="176"/>
      <c r="P1665" s="173"/>
      <c r="Q1665" s="177"/>
      <c r="R1665" s="178"/>
      <c r="S1665" s="178"/>
      <c r="T1665" s="179"/>
      <c r="U1665" s="179"/>
      <c r="V1665" s="179"/>
      <c r="W1665" s="176"/>
      <c r="X1665" s="180"/>
      <c r="Y1665" s="170"/>
      <c r="Z1665" s="170"/>
    </row>
    <row r="1666" spans="1:26">
      <c r="A1666" s="170"/>
      <c r="B1666" s="171"/>
      <c r="C1666" s="170"/>
      <c r="D1666" s="172"/>
      <c r="E1666" s="172"/>
      <c r="F1666" s="173"/>
      <c r="G1666" s="172"/>
      <c r="H1666" s="172"/>
      <c r="I1666" s="174"/>
      <c r="J1666" s="174"/>
      <c r="K1666" s="175"/>
      <c r="L1666" s="175"/>
      <c r="M1666" s="170"/>
      <c r="N1666" s="170"/>
      <c r="O1666" s="176"/>
      <c r="P1666" s="173"/>
      <c r="Q1666" s="177"/>
      <c r="R1666" s="178"/>
      <c r="S1666" s="178"/>
      <c r="T1666" s="179"/>
      <c r="U1666" s="179"/>
      <c r="V1666" s="179"/>
      <c r="W1666" s="176"/>
      <c r="X1666" s="180"/>
      <c r="Y1666" s="170"/>
      <c r="Z1666" s="170"/>
    </row>
    <row r="1667" spans="1:26">
      <c r="A1667" s="170"/>
      <c r="B1667" s="171"/>
      <c r="C1667" s="170"/>
      <c r="D1667" s="172"/>
      <c r="E1667" s="172"/>
      <c r="F1667" s="173"/>
      <c r="G1667" s="172"/>
      <c r="H1667" s="172"/>
      <c r="I1667" s="174"/>
      <c r="J1667" s="174"/>
      <c r="K1667" s="175"/>
      <c r="L1667" s="175"/>
      <c r="M1667" s="170"/>
      <c r="N1667" s="170"/>
      <c r="O1667" s="176"/>
      <c r="P1667" s="173"/>
      <c r="Q1667" s="177"/>
      <c r="R1667" s="178"/>
      <c r="S1667" s="178"/>
      <c r="T1667" s="179"/>
      <c r="U1667" s="179"/>
      <c r="V1667" s="179"/>
      <c r="W1667" s="176"/>
      <c r="X1667" s="180"/>
      <c r="Y1667" s="170"/>
      <c r="Z1667" s="170"/>
    </row>
    <row r="1668" spans="1:26">
      <c r="A1668" s="170"/>
      <c r="B1668" s="171"/>
      <c r="C1668" s="170"/>
      <c r="D1668" s="172"/>
      <c r="E1668" s="172"/>
      <c r="F1668" s="173"/>
      <c r="G1668" s="172"/>
      <c r="H1668" s="172"/>
      <c r="I1668" s="174"/>
      <c r="J1668" s="174"/>
      <c r="K1668" s="175"/>
      <c r="L1668" s="175"/>
      <c r="M1668" s="170"/>
      <c r="N1668" s="170"/>
      <c r="O1668" s="176"/>
      <c r="P1668" s="173"/>
      <c r="Q1668" s="177"/>
      <c r="R1668" s="178"/>
      <c r="S1668" s="178"/>
      <c r="T1668" s="179"/>
      <c r="U1668" s="179"/>
      <c r="V1668" s="179"/>
      <c r="W1668" s="176"/>
      <c r="X1668" s="180"/>
      <c r="Y1668" s="170"/>
      <c r="Z1668" s="170"/>
    </row>
    <row r="1669" spans="1:26">
      <c r="A1669" s="170"/>
      <c r="B1669" s="171"/>
      <c r="C1669" s="170"/>
      <c r="D1669" s="172"/>
      <c r="E1669" s="172"/>
      <c r="F1669" s="173"/>
      <c r="G1669" s="172"/>
      <c r="H1669" s="172"/>
      <c r="I1669" s="174"/>
      <c r="J1669" s="174"/>
      <c r="K1669" s="175"/>
      <c r="L1669" s="175"/>
      <c r="M1669" s="170"/>
      <c r="N1669" s="170"/>
      <c r="O1669" s="176"/>
      <c r="P1669" s="173"/>
      <c r="Q1669" s="177"/>
      <c r="R1669" s="178"/>
      <c r="S1669" s="178"/>
      <c r="T1669" s="179"/>
      <c r="U1669" s="179"/>
      <c r="V1669" s="179"/>
      <c r="W1669" s="176"/>
      <c r="X1669" s="180"/>
      <c r="Y1669" s="170"/>
      <c r="Z1669" s="170"/>
    </row>
    <row r="1670" spans="1:26">
      <c r="A1670" s="170"/>
      <c r="B1670" s="171"/>
      <c r="C1670" s="170"/>
      <c r="D1670" s="172"/>
      <c r="E1670" s="172"/>
      <c r="F1670" s="173"/>
      <c r="G1670" s="172"/>
      <c r="H1670" s="172"/>
      <c r="I1670" s="174"/>
      <c r="J1670" s="174"/>
      <c r="K1670" s="175"/>
      <c r="L1670" s="175"/>
      <c r="M1670" s="170"/>
      <c r="N1670" s="170"/>
      <c r="O1670" s="176"/>
      <c r="P1670" s="173"/>
      <c r="Q1670" s="177"/>
      <c r="R1670" s="178"/>
      <c r="S1670" s="178"/>
      <c r="T1670" s="179"/>
      <c r="U1670" s="179"/>
      <c r="V1670" s="179"/>
      <c r="W1670" s="176"/>
      <c r="X1670" s="180"/>
      <c r="Y1670" s="170"/>
      <c r="Z1670" s="170"/>
    </row>
    <row r="1671" spans="1:26">
      <c r="A1671" s="170"/>
      <c r="B1671" s="171"/>
      <c r="C1671" s="170"/>
      <c r="D1671" s="172"/>
      <c r="E1671" s="172"/>
      <c r="F1671" s="173"/>
      <c r="G1671" s="172"/>
      <c r="H1671" s="172"/>
      <c r="I1671" s="174"/>
      <c r="J1671" s="174"/>
      <c r="K1671" s="175"/>
      <c r="L1671" s="175"/>
      <c r="M1671" s="170"/>
      <c r="N1671" s="170"/>
      <c r="O1671" s="176"/>
      <c r="P1671" s="173"/>
      <c r="Q1671" s="177"/>
      <c r="R1671" s="178"/>
      <c r="S1671" s="178"/>
      <c r="T1671" s="179"/>
      <c r="U1671" s="179"/>
      <c r="V1671" s="179"/>
      <c r="W1671" s="176"/>
      <c r="X1671" s="180"/>
      <c r="Y1671" s="170"/>
      <c r="Z1671" s="170"/>
    </row>
    <row r="1672" spans="1:26">
      <c r="A1672" s="170"/>
      <c r="B1672" s="171"/>
      <c r="C1672" s="170"/>
      <c r="D1672" s="172"/>
      <c r="E1672" s="172"/>
      <c r="F1672" s="173"/>
      <c r="G1672" s="172"/>
      <c r="H1672" s="172"/>
      <c r="I1672" s="174"/>
      <c r="J1672" s="174"/>
      <c r="K1672" s="175"/>
      <c r="L1672" s="175"/>
      <c r="M1672" s="170"/>
      <c r="N1672" s="170"/>
      <c r="O1672" s="176"/>
      <c r="P1672" s="173"/>
      <c r="Q1672" s="177"/>
      <c r="R1672" s="178"/>
      <c r="S1672" s="178"/>
      <c r="T1672" s="179"/>
      <c r="U1672" s="179"/>
      <c r="V1672" s="179"/>
      <c r="W1672" s="176"/>
      <c r="X1672" s="180"/>
      <c r="Y1672" s="170"/>
      <c r="Z1672" s="170"/>
    </row>
    <row r="1673" spans="1:26">
      <c r="A1673" s="170"/>
      <c r="B1673" s="171"/>
      <c r="C1673" s="170"/>
      <c r="D1673" s="172"/>
      <c r="E1673" s="172"/>
      <c r="F1673" s="173"/>
      <c r="G1673" s="172"/>
      <c r="H1673" s="172"/>
      <c r="I1673" s="174"/>
      <c r="J1673" s="174"/>
      <c r="K1673" s="175"/>
      <c r="L1673" s="175"/>
      <c r="M1673" s="170"/>
      <c r="N1673" s="170"/>
      <c r="O1673" s="176"/>
      <c r="P1673" s="173"/>
      <c r="Q1673" s="177"/>
      <c r="R1673" s="178"/>
      <c r="S1673" s="178"/>
      <c r="T1673" s="179"/>
      <c r="U1673" s="179"/>
      <c r="V1673" s="179"/>
      <c r="W1673" s="176"/>
      <c r="X1673" s="180"/>
      <c r="Y1673" s="170"/>
      <c r="Z1673" s="170"/>
    </row>
    <row r="1674" spans="1:26">
      <c r="A1674" s="170"/>
      <c r="B1674" s="171"/>
      <c r="C1674" s="170"/>
      <c r="D1674" s="172"/>
      <c r="E1674" s="172"/>
      <c r="F1674" s="173"/>
      <c r="G1674" s="172"/>
      <c r="H1674" s="172"/>
      <c r="I1674" s="174"/>
      <c r="J1674" s="174"/>
      <c r="K1674" s="175"/>
      <c r="L1674" s="175"/>
      <c r="M1674" s="170"/>
      <c r="N1674" s="170"/>
      <c r="O1674" s="176"/>
      <c r="P1674" s="173"/>
      <c r="Q1674" s="177"/>
      <c r="R1674" s="178"/>
      <c r="S1674" s="178"/>
      <c r="T1674" s="179"/>
      <c r="U1674" s="179"/>
      <c r="V1674" s="179"/>
      <c r="W1674" s="176"/>
      <c r="X1674" s="180"/>
      <c r="Y1674" s="170"/>
      <c r="Z1674" s="170"/>
    </row>
    <row r="1675" spans="1:26">
      <c r="A1675" s="170"/>
      <c r="B1675" s="171"/>
      <c r="C1675" s="170"/>
      <c r="D1675" s="172"/>
      <c r="E1675" s="172"/>
      <c r="F1675" s="173"/>
      <c r="G1675" s="172"/>
      <c r="H1675" s="172"/>
      <c r="I1675" s="174"/>
      <c r="J1675" s="174"/>
      <c r="K1675" s="175"/>
      <c r="L1675" s="175"/>
      <c r="M1675" s="170"/>
      <c r="N1675" s="170"/>
      <c r="O1675" s="176"/>
      <c r="P1675" s="173"/>
      <c r="Q1675" s="177"/>
      <c r="R1675" s="178"/>
      <c r="S1675" s="178"/>
      <c r="T1675" s="179"/>
      <c r="U1675" s="179"/>
      <c r="V1675" s="179"/>
      <c r="W1675" s="176"/>
      <c r="X1675" s="180"/>
      <c r="Y1675" s="170"/>
      <c r="Z1675" s="170"/>
    </row>
    <row r="1676" spans="1:26">
      <c r="A1676" s="170"/>
      <c r="B1676" s="171"/>
      <c r="C1676" s="170"/>
      <c r="D1676" s="172"/>
      <c r="E1676" s="172"/>
      <c r="F1676" s="173"/>
      <c r="G1676" s="172"/>
      <c r="H1676" s="172"/>
      <c r="I1676" s="174"/>
      <c r="J1676" s="174"/>
      <c r="K1676" s="175"/>
      <c r="L1676" s="175"/>
      <c r="M1676" s="170"/>
      <c r="N1676" s="170"/>
      <c r="O1676" s="176"/>
      <c r="P1676" s="173"/>
      <c r="Q1676" s="177"/>
      <c r="R1676" s="178"/>
      <c r="S1676" s="178"/>
      <c r="T1676" s="179"/>
      <c r="U1676" s="179"/>
      <c r="V1676" s="179"/>
      <c r="W1676" s="176"/>
      <c r="X1676" s="180"/>
      <c r="Y1676" s="170"/>
      <c r="Z1676" s="170"/>
    </row>
    <row r="1677" spans="1:26">
      <c r="A1677" s="170"/>
      <c r="B1677" s="171"/>
      <c r="C1677" s="170"/>
      <c r="D1677" s="172"/>
      <c r="E1677" s="172"/>
      <c r="F1677" s="173"/>
      <c r="G1677" s="172"/>
      <c r="H1677" s="172"/>
      <c r="I1677" s="174"/>
      <c r="J1677" s="174"/>
      <c r="K1677" s="175"/>
      <c r="L1677" s="175"/>
      <c r="M1677" s="170"/>
      <c r="N1677" s="170"/>
      <c r="O1677" s="176"/>
      <c r="P1677" s="173"/>
      <c r="Q1677" s="177"/>
      <c r="R1677" s="178"/>
      <c r="S1677" s="178"/>
      <c r="T1677" s="179"/>
      <c r="U1677" s="179"/>
      <c r="V1677" s="179"/>
      <c r="W1677" s="176"/>
      <c r="X1677" s="180"/>
      <c r="Y1677" s="170"/>
      <c r="Z1677" s="170"/>
    </row>
    <row r="1678" spans="1:26">
      <c r="A1678" s="170"/>
      <c r="B1678" s="171"/>
      <c r="C1678" s="170"/>
      <c r="D1678" s="172"/>
      <c r="E1678" s="172"/>
      <c r="F1678" s="173"/>
      <c r="G1678" s="172"/>
      <c r="H1678" s="172"/>
      <c r="I1678" s="174"/>
      <c r="J1678" s="174"/>
      <c r="K1678" s="175"/>
      <c r="L1678" s="175"/>
      <c r="M1678" s="170"/>
      <c r="N1678" s="170"/>
      <c r="O1678" s="176"/>
      <c r="P1678" s="173"/>
      <c r="Q1678" s="177"/>
      <c r="R1678" s="178"/>
      <c r="S1678" s="178"/>
      <c r="T1678" s="179"/>
      <c r="U1678" s="179"/>
      <c r="V1678" s="179"/>
      <c r="W1678" s="176"/>
      <c r="X1678" s="180"/>
      <c r="Y1678" s="170"/>
      <c r="Z1678" s="170"/>
    </row>
    <row r="1679" spans="1:26">
      <c r="A1679" s="170"/>
      <c r="B1679" s="171"/>
      <c r="C1679" s="170"/>
      <c r="D1679" s="172"/>
      <c r="E1679" s="172"/>
      <c r="F1679" s="173"/>
      <c r="G1679" s="172"/>
      <c r="H1679" s="172"/>
      <c r="I1679" s="174"/>
      <c r="J1679" s="174"/>
      <c r="K1679" s="175"/>
      <c r="L1679" s="175"/>
      <c r="M1679" s="170"/>
      <c r="N1679" s="170"/>
      <c r="O1679" s="176"/>
      <c r="P1679" s="173"/>
      <c r="Q1679" s="177"/>
      <c r="R1679" s="178"/>
      <c r="S1679" s="178"/>
      <c r="T1679" s="179"/>
      <c r="U1679" s="179"/>
      <c r="V1679" s="179"/>
      <c r="W1679" s="176"/>
      <c r="X1679" s="180"/>
      <c r="Y1679" s="170"/>
      <c r="Z1679" s="170"/>
    </row>
    <row r="1680" spans="1:26">
      <c r="A1680" s="170"/>
      <c r="B1680" s="171"/>
      <c r="C1680" s="170"/>
      <c r="D1680" s="172"/>
      <c r="E1680" s="172"/>
      <c r="F1680" s="173"/>
      <c r="G1680" s="172"/>
      <c r="H1680" s="172"/>
      <c r="I1680" s="174"/>
      <c r="J1680" s="174"/>
      <c r="K1680" s="175"/>
      <c r="L1680" s="175"/>
      <c r="M1680" s="170"/>
      <c r="N1680" s="170"/>
      <c r="O1680" s="176"/>
      <c r="P1680" s="173"/>
      <c r="Q1680" s="177"/>
      <c r="R1680" s="178"/>
      <c r="S1680" s="178"/>
      <c r="T1680" s="179"/>
      <c r="U1680" s="179"/>
      <c r="V1680" s="179"/>
      <c r="W1680" s="176"/>
      <c r="X1680" s="180"/>
      <c r="Y1680" s="170"/>
      <c r="Z1680" s="170"/>
    </row>
    <row r="1681" spans="1:26">
      <c r="A1681" s="170"/>
      <c r="B1681" s="171"/>
      <c r="C1681" s="170"/>
      <c r="D1681" s="172"/>
      <c r="E1681" s="172"/>
      <c r="F1681" s="173"/>
      <c r="G1681" s="172"/>
      <c r="H1681" s="172"/>
      <c r="I1681" s="174"/>
      <c r="J1681" s="174"/>
      <c r="K1681" s="175"/>
      <c r="L1681" s="175"/>
      <c r="M1681" s="170"/>
      <c r="N1681" s="170"/>
      <c r="O1681" s="176"/>
      <c r="P1681" s="173"/>
      <c r="Q1681" s="177"/>
      <c r="R1681" s="178"/>
      <c r="S1681" s="178"/>
      <c r="T1681" s="179"/>
      <c r="U1681" s="179"/>
      <c r="V1681" s="179"/>
      <c r="W1681" s="176"/>
      <c r="X1681" s="180"/>
      <c r="Y1681" s="170"/>
      <c r="Z1681" s="170"/>
    </row>
    <row r="1682" spans="1:26">
      <c r="A1682" s="170"/>
      <c r="B1682" s="171"/>
      <c r="C1682" s="170"/>
      <c r="D1682" s="172"/>
      <c r="E1682" s="172"/>
      <c r="F1682" s="173"/>
      <c r="G1682" s="172"/>
      <c r="H1682" s="172"/>
      <c r="I1682" s="174"/>
      <c r="J1682" s="174"/>
      <c r="K1682" s="175"/>
      <c r="L1682" s="175"/>
      <c r="M1682" s="170"/>
      <c r="N1682" s="170"/>
      <c r="O1682" s="176"/>
      <c r="P1682" s="173"/>
      <c r="Q1682" s="177"/>
      <c r="R1682" s="178"/>
      <c r="S1682" s="178"/>
      <c r="T1682" s="179"/>
      <c r="U1682" s="179"/>
      <c r="V1682" s="179"/>
      <c r="W1682" s="176"/>
      <c r="X1682" s="180"/>
      <c r="Y1682" s="170"/>
      <c r="Z1682" s="170"/>
    </row>
    <row r="1683" spans="1:26">
      <c r="A1683" s="170"/>
      <c r="B1683" s="171"/>
      <c r="C1683" s="170"/>
      <c r="D1683" s="172"/>
      <c r="E1683" s="172"/>
      <c r="F1683" s="173"/>
      <c r="G1683" s="172"/>
      <c r="H1683" s="172"/>
      <c r="I1683" s="174"/>
      <c r="J1683" s="174"/>
      <c r="K1683" s="175"/>
      <c r="L1683" s="175"/>
      <c r="M1683" s="170"/>
      <c r="N1683" s="170"/>
      <c r="O1683" s="176"/>
      <c r="P1683" s="173"/>
      <c r="Q1683" s="177"/>
      <c r="R1683" s="178"/>
      <c r="S1683" s="178"/>
      <c r="T1683" s="179"/>
      <c r="U1683" s="179"/>
      <c r="V1683" s="179"/>
      <c r="W1683" s="176"/>
      <c r="X1683" s="180"/>
      <c r="Y1683" s="170"/>
      <c r="Z1683" s="170"/>
    </row>
    <row r="1684" spans="1:26">
      <c r="A1684" s="170"/>
      <c r="B1684" s="171"/>
      <c r="C1684" s="170"/>
      <c r="D1684" s="172"/>
      <c r="E1684" s="172"/>
      <c r="F1684" s="173"/>
      <c r="G1684" s="172"/>
      <c r="H1684" s="172"/>
      <c r="I1684" s="174"/>
      <c r="J1684" s="174"/>
      <c r="K1684" s="175"/>
      <c r="L1684" s="175"/>
      <c r="M1684" s="170"/>
      <c r="N1684" s="170"/>
      <c r="O1684" s="176"/>
      <c r="P1684" s="173"/>
      <c r="Q1684" s="177"/>
      <c r="R1684" s="178"/>
      <c r="S1684" s="178"/>
      <c r="T1684" s="179"/>
      <c r="U1684" s="179"/>
      <c r="V1684" s="179"/>
      <c r="W1684" s="176"/>
      <c r="X1684" s="180"/>
      <c r="Y1684" s="170"/>
      <c r="Z1684" s="170"/>
    </row>
    <row r="1685" spans="1:26">
      <c r="A1685" s="170"/>
      <c r="B1685" s="171"/>
      <c r="C1685" s="170"/>
      <c r="D1685" s="172"/>
      <c r="E1685" s="172"/>
      <c r="F1685" s="173"/>
      <c r="G1685" s="172"/>
      <c r="H1685" s="172"/>
      <c r="I1685" s="174"/>
      <c r="J1685" s="174"/>
      <c r="K1685" s="175"/>
      <c r="L1685" s="175"/>
      <c r="M1685" s="170"/>
      <c r="N1685" s="170"/>
      <c r="O1685" s="176"/>
      <c r="P1685" s="173"/>
      <c r="Q1685" s="177"/>
      <c r="R1685" s="178"/>
      <c r="S1685" s="178"/>
      <c r="T1685" s="179"/>
      <c r="U1685" s="179"/>
      <c r="V1685" s="179"/>
      <c r="W1685" s="176"/>
      <c r="X1685" s="180"/>
      <c r="Y1685" s="170"/>
      <c r="Z1685" s="170"/>
    </row>
    <row r="1686" spans="1:26">
      <c r="A1686" s="170"/>
      <c r="B1686" s="171"/>
      <c r="C1686" s="170"/>
      <c r="D1686" s="172"/>
      <c r="E1686" s="172"/>
      <c r="F1686" s="173"/>
      <c r="G1686" s="172"/>
      <c r="H1686" s="172"/>
      <c r="I1686" s="174"/>
      <c r="J1686" s="174"/>
      <c r="K1686" s="175"/>
      <c r="L1686" s="175"/>
      <c r="M1686" s="170"/>
      <c r="N1686" s="170"/>
      <c r="O1686" s="176"/>
      <c r="P1686" s="173"/>
      <c r="Q1686" s="177"/>
      <c r="R1686" s="178"/>
      <c r="S1686" s="178"/>
      <c r="T1686" s="179"/>
      <c r="U1686" s="179"/>
      <c r="V1686" s="179"/>
      <c r="W1686" s="176"/>
      <c r="X1686" s="180"/>
      <c r="Y1686" s="170"/>
      <c r="Z1686" s="170"/>
    </row>
    <row r="1687" spans="1:26">
      <c r="A1687" s="170"/>
      <c r="B1687" s="171"/>
      <c r="C1687" s="170"/>
      <c r="D1687" s="172"/>
      <c r="E1687" s="172"/>
      <c r="F1687" s="173"/>
      <c r="G1687" s="172"/>
      <c r="H1687" s="172"/>
      <c r="I1687" s="174"/>
      <c r="J1687" s="174"/>
      <c r="K1687" s="175"/>
      <c r="L1687" s="175"/>
      <c r="M1687" s="170"/>
      <c r="N1687" s="170"/>
      <c r="O1687" s="176"/>
      <c r="P1687" s="173"/>
      <c r="Q1687" s="177"/>
      <c r="R1687" s="178"/>
      <c r="S1687" s="178"/>
      <c r="T1687" s="179"/>
      <c r="U1687" s="179"/>
      <c r="V1687" s="179"/>
      <c r="W1687" s="176"/>
      <c r="X1687" s="180"/>
      <c r="Y1687" s="170"/>
      <c r="Z1687" s="170"/>
    </row>
    <row r="1688" spans="1:26">
      <c r="A1688" s="170"/>
      <c r="B1688" s="171"/>
      <c r="C1688" s="170"/>
      <c r="D1688" s="172"/>
      <c r="E1688" s="172"/>
      <c r="F1688" s="173"/>
      <c r="G1688" s="172"/>
      <c r="H1688" s="172"/>
      <c r="I1688" s="174"/>
      <c r="J1688" s="174"/>
      <c r="K1688" s="175"/>
      <c r="L1688" s="175"/>
      <c r="M1688" s="170"/>
      <c r="N1688" s="170"/>
      <c r="O1688" s="176"/>
      <c r="P1688" s="173"/>
      <c r="Q1688" s="177"/>
      <c r="R1688" s="178"/>
      <c r="S1688" s="178"/>
      <c r="T1688" s="179"/>
      <c r="U1688" s="179"/>
      <c r="V1688" s="179"/>
      <c r="W1688" s="176"/>
      <c r="X1688" s="180"/>
      <c r="Y1688" s="170"/>
      <c r="Z1688" s="170"/>
    </row>
    <row r="1689" spans="1:26">
      <c r="A1689" s="170"/>
      <c r="B1689" s="171"/>
      <c r="C1689" s="170"/>
      <c r="D1689" s="172"/>
      <c r="E1689" s="172"/>
      <c r="F1689" s="173"/>
      <c r="G1689" s="172"/>
      <c r="H1689" s="172"/>
      <c r="I1689" s="174"/>
      <c r="J1689" s="174"/>
      <c r="K1689" s="175"/>
      <c r="L1689" s="175"/>
      <c r="M1689" s="170"/>
      <c r="N1689" s="170"/>
      <c r="O1689" s="176"/>
      <c r="P1689" s="173"/>
      <c r="Q1689" s="177"/>
      <c r="R1689" s="178"/>
      <c r="S1689" s="178"/>
      <c r="T1689" s="179"/>
      <c r="U1689" s="179"/>
      <c r="V1689" s="179"/>
      <c r="W1689" s="176"/>
      <c r="X1689" s="180"/>
      <c r="Y1689" s="170"/>
      <c r="Z1689" s="170"/>
    </row>
    <row r="1690" spans="1:26">
      <c r="A1690" s="170"/>
      <c r="B1690" s="171"/>
      <c r="C1690" s="170"/>
      <c r="D1690" s="172"/>
      <c r="E1690" s="172"/>
      <c r="F1690" s="173"/>
      <c r="G1690" s="172"/>
      <c r="H1690" s="172"/>
      <c r="I1690" s="174"/>
      <c r="J1690" s="174"/>
      <c r="K1690" s="175"/>
      <c r="L1690" s="175"/>
      <c r="M1690" s="170"/>
      <c r="N1690" s="170"/>
      <c r="O1690" s="176"/>
      <c r="P1690" s="173"/>
      <c r="Q1690" s="177"/>
      <c r="R1690" s="178"/>
      <c r="S1690" s="178"/>
      <c r="T1690" s="179"/>
      <c r="U1690" s="179"/>
      <c r="V1690" s="179"/>
      <c r="W1690" s="176"/>
      <c r="X1690" s="180"/>
      <c r="Y1690" s="170"/>
      <c r="Z1690" s="170"/>
    </row>
    <row r="1691" spans="1:26">
      <c r="A1691" s="170"/>
      <c r="B1691" s="171"/>
      <c r="C1691" s="170"/>
      <c r="D1691" s="172"/>
      <c r="E1691" s="172"/>
      <c r="F1691" s="173"/>
      <c r="G1691" s="172"/>
      <c r="H1691" s="172"/>
      <c r="I1691" s="174"/>
      <c r="J1691" s="174"/>
      <c r="K1691" s="175"/>
      <c r="L1691" s="175"/>
      <c r="M1691" s="170"/>
      <c r="N1691" s="170"/>
      <c r="O1691" s="176"/>
      <c r="P1691" s="173"/>
      <c r="Q1691" s="177"/>
      <c r="R1691" s="178"/>
      <c r="S1691" s="178"/>
      <c r="T1691" s="179"/>
      <c r="U1691" s="179"/>
      <c r="V1691" s="179"/>
      <c r="W1691" s="176"/>
      <c r="X1691" s="180"/>
      <c r="Y1691" s="170"/>
      <c r="Z1691" s="170"/>
    </row>
    <row r="1692" spans="1:26">
      <c r="A1692" s="170"/>
      <c r="B1692" s="171"/>
      <c r="C1692" s="170"/>
      <c r="D1692" s="172"/>
      <c r="E1692" s="172"/>
      <c r="F1692" s="173"/>
      <c r="G1692" s="172"/>
      <c r="H1692" s="172"/>
      <c r="I1692" s="174"/>
      <c r="J1692" s="174"/>
      <c r="K1692" s="175"/>
      <c r="L1692" s="175"/>
      <c r="M1692" s="170"/>
      <c r="N1692" s="170"/>
      <c r="O1692" s="176"/>
      <c r="P1692" s="173"/>
      <c r="Q1692" s="177"/>
      <c r="R1692" s="178"/>
      <c r="S1692" s="178"/>
      <c r="T1692" s="179"/>
      <c r="U1692" s="179"/>
      <c r="V1692" s="179"/>
      <c r="W1692" s="176"/>
      <c r="X1692" s="180"/>
      <c r="Y1692" s="170"/>
      <c r="Z1692" s="170"/>
    </row>
    <row r="1693" spans="1:26">
      <c r="A1693" s="170"/>
      <c r="B1693" s="171"/>
      <c r="C1693" s="170"/>
      <c r="D1693" s="172"/>
      <c r="E1693" s="172"/>
      <c r="F1693" s="173"/>
      <c r="G1693" s="172"/>
      <c r="H1693" s="172"/>
      <c r="I1693" s="174"/>
      <c r="J1693" s="174"/>
      <c r="K1693" s="175"/>
      <c r="L1693" s="175"/>
      <c r="M1693" s="170"/>
      <c r="N1693" s="170"/>
      <c r="O1693" s="176"/>
      <c r="P1693" s="173"/>
      <c r="Q1693" s="177"/>
      <c r="R1693" s="178"/>
      <c r="S1693" s="178"/>
      <c r="T1693" s="179"/>
      <c r="U1693" s="179"/>
      <c r="V1693" s="179"/>
      <c r="W1693" s="176"/>
      <c r="X1693" s="180"/>
      <c r="Y1693" s="170"/>
      <c r="Z1693" s="170"/>
    </row>
    <row r="1694" spans="1:26">
      <c r="A1694" s="170"/>
      <c r="B1694" s="171"/>
      <c r="C1694" s="170"/>
      <c r="D1694" s="172"/>
      <c r="E1694" s="172"/>
      <c r="F1694" s="173"/>
      <c r="G1694" s="172"/>
      <c r="H1694" s="172"/>
      <c r="I1694" s="174"/>
      <c r="J1694" s="174"/>
      <c r="K1694" s="175"/>
      <c r="L1694" s="175"/>
      <c r="M1694" s="170"/>
      <c r="N1694" s="170"/>
      <c r="O1694" s="176"/>
      <c r="P1694" s="173"/>
      <c r="Q1694" s="177"/>
      <c r="R1694" s="178"/>
      <c r="S1694" s="178"/>
      <c r="T1694" s="179"/>
      <c r="U1694" s="179"/>
      <c r="V1694" s="179"/>
      <c r="W1694" s="176"/>
      <c r="X1694" s="180"/>
      <c r="Y1694" s="170"/>
      <c r="Z1694" s="170"/>
    </row>
    <row r="1695" spans="1:26">
      <c r="A1695" s="170"/>
      <c r="B1695" s="171"/>
      <c r="C1695" s="170"/>
      <c r="D1695" s="172"/>
      <c r="E1695" s="172"/>
      <c r="F1695" s="173"/>
      <c r="G1695" s="172"/>
      <c r="H1695" s="172"/>
      <c r="I1695" s="174"/>
      <c r="J1695" s="174"/>
      <c r="K1695" s="175"/>
      <c r="L1695" s="175"/>
      <c r="M1695" s="170"/>
      <c r="N1695" s="170"/>
      <c r="O1695" s="176"/>
      <c r="P1695" s="173"/>
      <c r="Q1695" s="177"/>
      <c r="R1695" s="178"/>
      <c r="S1695" s="178"/>
      <c r="T1695" s="179"/>
      <c r="U1695" s="179"/>
      <c r="V1695" s="179"/>
      <c r="W1695" s="176"/>
      <c r="X1695" s="180"/>
      <c r="Y1695" s="170"/>
      <c r="Z1695" s="170"/>
    </row>
    <row r="1696" spans="1:26">
      <c r="A1696" s="170"/>
      <c r="B1696" s="171"/>
      <c r="C1696" s="170"/>
      <c r="D1696" s="172"/>
      <c r="E1696" s="172"/>
      <c r="F1696" s="173"/>
      <c r="G1696" s="172"/>
      <c r="H1696" s="172"/>
      <c r="I1696" s="174"/>
      <c r="J1696" s="174"/>
      <c r="K1696" s="175"/>
      <c r="L1696" s="175"/>
      <c r="M1696" s="170"/>
      <c r="N1696" s="170"/>
      <c r="O1696" s="176"/>
      <c r="P1696" s="173"/>
      <c r="Q1696" s="177"/>
      <c r="R1696" s="178"/>
      <c r="S1696" s="178"/>
      <c r="T1696" s="179"/>
      <c r="U1696" s="179"/>
      <c r="V1696" s="179"/>
      <c r="W1696" s="176"/>
      <c r="X1696" s="180"/>
      <c r="Y1696" s="170"/>
      <c r="Z1696" s="170"/>
    </row>
    <row r="1697" spans="1:26">
      <c r="A1697" s="170"/>
      <c r="B1697" s="171"/>
      <c r="C1697" s="170"/>
      <c r="D1697" s="172"/>
      <c r="E1697" s="172"/>
      <c r="F1697" s="173"/>
      <c r="G1697" s="172"/>
      <c r="H1697" s="172"/>
      <c r="I1697" s="174"/>
      <c r="J1697" s="174"/>
      <c r="K1697" s="175"/>
      <c r="L1697" s="175"/>
      <c r="M1697" s="170"/>
      <c r="N1697" s="170"/>
      <c r="O1697" s="176"/>
      <c r="P1697" s="173"/>
      <c r="Q1697" s="177"/>
      <c r="R1697" s="178"/>
      <c r="S1697" s="178"/>
      <c r="T1697" s="179"/>
      <c r="U1697" s="179"/>
      <c r="V1697" s="179"/>
      <c r="W1697" s="176"/>
      <c r="X1697" s="180"/>
      <c r="Y1697" s="170"/>
      <c r="Z1697" s="170"/>
    </row>
    <row r="1698" spans="1:26">
      <c r="A1698" s="170"/>
      <c r="B1698" s="171"/>
      <c r="C1698" s="170"/>
      <c r="D1698" s="172"/>
      <c r="E1698" s="172"/>
      <c r="F1698" s="173"/>
      <c r="G1698" s="172"/>
      <c r="H1698" s="172"/>
      <c r="I1698" s="174"/>
      <c r="J1698" s="174"/>
      <c r="K1698" s="175"/>
      <c r="L1698" s="175"/>
      <c r="M1698" s="170"/>
      <c r="N1698" s="170"/>
      <c r="O1698" s="176"/>
      <c r="P1698" s="173"/>
      <c r="Q1698" s="177"/>
      <c r="R1698" s="178"/>
      <c r="S1698" s="178"/>
      <c r="T1698" s="179"/>
      <c r="U1698" s="179"/>
      <c r="V1698" s="179"/>
      <c r="W1698" s="176"/>
      <c r="X1698" s="180"/>
      <c r="Y1698" s="170"/>
      <c r="Z1698" s="170"/>
    </row>
    <row r="1699" spans="1:26">
      <c r="A1699" s="170"/>
      <c r="B1699" s="171"/>
      <c r="C1699" s="170"/>
      <c r="D1699" s="172"/>
      <c r="E1699" s="172"/>
      <c r="F1699" s="173"/>
      <c r="G1699" s="172"/>
      <c r="H1699" s="172"/>
      <c r="I1699" s="174"/>
      <c r="J1699" s="174"/>
      <c r="K1699" s="175"/>
      <c r="L1699" s="175"/>
      <c r="M1699" s="170"/>
      <c r="N1699" s="170"/>
      <c r="O1699" s="176"/>
      <c r="P1699" s="173"/>
      <c r="Q1699" s="177"/>
      <c r="R1699" s="178"/>
      <c r="S1699" s="178"/>
      <c r="T1699" s="179"/>
      <c r="U1699" s="179"/>
      <c r="V1699" s="179"/>
      <c r="W1699" s="176"/>
      <c r="X1699" s="180"/>
      <c r="Y1699" s="170"/>
      <c r="Z1699" s="170"/>
    </row>
    <row r="1700" spans="1:26">
      <c r="A1700" s="170"/>
      <c r="B1700" s="171"/>
      <c r="C1700" s="170"/>
      <c r="D1700" s="172"/>
      <c r="E1700" s="172"/>
      <c r="F1700" s="173"/>
      <c r="G1700" s="172"/>
      <c r="H1700" s="172"/>
      <c r="I1700" s="174"/>
      <c r="J1700" s="174"/>
      <c r="K1700" s="175"/>
      <c r="L1700" s="175"/>
      <c r="M1700" s="170"/>
      <c r="N1700" s="170"/>
      <c r="O1700" s="176"/>
      <c r="P1700" s="173"/>
      <c r="Q1700" s="177"/>
      <c r="R1700" s="178"/>
      <c r="S1700" s="178"/>
      <c r="T1700" s="179"/>
      <c r="U1700" s="179"/>
      <c r="V1700" s="179"/>
      <c r="W1700" s="176"/>
      <c r="X1700" s="180"/>
      <c r="Y1700" s="170"/>
      <c r="Z1700" s="170"/>
    </row>
    <row r="1701" spans="1:26">
      <c r="A1701" s="170"/>
      <c r="B1701" s="171"/>
      <c r="C1701" s="170"/>
      <c r="D1701" s="172"/>
      <c r="E1701" s="172"/>
      <c r="F1701" s="173"/>
      <c r="G1701" s="172"/>
      <c r="H1701" s="172"/>
      <c r="I1701" s="174"/>
      <c r="J1701" s="174"/>
      <c r="K1701" s="175"/>
      <c r="L1701" s="175"/>
      <c r="M1701" s="170"/>
      <c r="N1701" s="170"/>
      <c r="O1701" s="176"/>
      <c r="P1701" s="173"/>
      <c r="Q1701" s="177"/>
      <c r="R1701" s="178"/>
      <c r="S1701" s="178"/>
      <c r="T1701" s="179"/>
      <c r="U1701" s="179"/>
      <c r="V1701" s="179"/>
      <c r="W1701" s="176"/>
      <c r="X1701" s="180"/>
      <c r="Y1701" s="170"/>
      <c r="Z1701" s="170"/>
    </row>
    <row r="1702" spans="1:26">
      <c r="A1702" s="170"/>
      <c r="B1702" s="171"/>
      <c r="C1702" s="170"/>
      <c r="D1702" s="172"/>
      <c r="E1702" s="172"/>
      <c r="F1702" s="173"/>
      <c r="G1702" s="172"/>
      <c r="H1702" s="172"/>
      <c r="I1702" s="174"/>
      <c r="J1702" s="174"/>
      <c r="K1702" s="175"/>
      <c r="L1702" s="175"/>
      <c r="M1702" s="170"/>
      <c r="N1702" s="170"/>
      <c r="O1702" s="176"/>
      <c r="P1702" s="173"/>
      <c r="Q1702" s="177"/>
      <c r="R1702" s="178"/>
      <c r="S1702" s="178"/>
      <c r="T1702" s="179"/>
      <c r="U1702" s="179"/>
      <c r="V1702" s="179"/>
      <c r="W1702" s="176"/>
      <c r="X1702" s="180"/>
      <c r="Y1702" s="170"/>
      <c r="Z1702" s="170"/>
    </row>
    <row r="1703" spans="1:26">
      <c r="A1703" s="170"/>
      <c r="B1703" s="171"/>
      <c r="C1703" s="170"/>
      <c r="D1703" s="172"/>
      <c r="E1703" s="172"/>
      <c r="F1703" s="173"/>
      <c r="G1703" s="172"/>
      <c r="H1703" s="172"/>
      <c r="I1703" s="174"/>
      <c r="J1703" s="174"/>
      <c r="K1703" s="175"/>
      <c r="L1703" s="175"/>
      <c r="M1703" s="170"/>
      <c r="N1703" s="170"/>
      <c r="O1703" s="176"/>
      <c r="P1703" s="173"/>
      <c r="Q1703" s="177"/>
      <c r="R1703" s="178"/>
      <c r="S1703" s="178"/>
      <c r="T1703" s="179"/>
      <c r="U1703" s="179"/>
      <c r="V1703" s="179"/>
      <c r="W1703" s="176"/>
      <c r="X1703" s="180"/>
      <c r="Y1703" s="170"/>
      <c r="Z1703" s="170"/>
    </row>
    <row r="1704" spans="1:26">
      <c r="A1704" s="170"/>
      <c r="B1704" s="171"/>
      <c r="C1704" s="170"/>
      <c r="D1704" s="172"/>
      <c r="E1704" s="172"/>
      <c r="F1704" s="173"/>
      <c r="G1704" s="172"/>
      <c r="H1704" s="172"/>
      <c r="I1704" s="174"/>
      <c r="J1704" s="174"/>
      <c r="K1704" s="175"/>
      <c r="L1704" s="175"/>
      <c r="M1704" s="170"/>
      <c r="N1704" s="170"/>
      <c r="O1704" s="176"/>
      <c r="P1704" s="173"/>
      <c r="Q1704" s="177"/>
      <c r="R1704" s="178"/>
      <c r="S1704" s="178"/>
      <c r="T1704" s="179"/>
      <c r="U1704" s="179"/>
      <c r="V1704" s="179"/>
      <c r="W1704" s="176"/>
      <c r="X1704" s="180"/>
      <c r="Y1704" s="170"/>
      <c r="Z1704" s="170"/>
    </row>
    <row r="1705" spans="1:26">
      <c r="A1705" s="170"/>
      <c r="B1705" s="171"/>
      <c r="C1705" s="170"/>
      <c r="D1705" s="172"/>
      <c r="E1705" s="172"/>
      <c r="F1705" s="173"/>
      <c r="G1705" s="172"/>
      <c r="H1705" s="172"/>
      <c r="I1705" s="174"/>
      <c r="J1705" s="174"/>
      <c r="K1705" s="175"/>
      <c r="L1705" s="175"/>
      <c r="M1705" s="170"/>
      <c r="N1705" s="170"/>
      <c r="O1705" s="176"/>
      <c r="P1705" s="173"/>
      <c r="Q1705" s="177"/>
      <c r="R1705" s="178"/>
      <c r="S1705" s="178"/>
      <c r="T1705" s="179"/>
      <c r="U1705" s="179"/>
      <c r="V1705" s="179"/>
      <c r="W1705" s="176"/>
      <c r="X1705" s="180"/>
      <c r="Y1705" s="170"/>
      <c r="Z1705" s="170"/>
    </row>
    <row r="1706" spans="1:26">
      <c r="A1706" s="170"/>
      <c r="B1706" s="171"/>
      <c r="C1706" s="170"/>
      <c r="D1706" s="172"/>
      <c r="E1706" s="172"/>
      <c r="F1706" s="173"/>
      <c r="G1706" s="172"/>
      <c r="H1706" s="172"/>
      <c r="I1706" s="174"/>
      <c r="J1706" s="174"/>
      <c r="K1706" s="175"/>
      <c r="L1706" s="175"/>
      <c r="M1706" s="170"/>
      <c r="N1706" s="170"/>
      <c r="O1706" s="176"/>
      <c r="P1706" s="173"/>
      <c r="Q1706" s="177"/>
      <c r="R1706" s="178"/>
      <c r="S1706" s="178"/>
      <c r="T1706" s="179"/>
      <c r="U1706" s="179"/>
      <c r="V1706" s="179"/>
      <c r="W1706" s="176"/>
      <c r="X1706" s="180"/>
      <c r="Y1706" s="170"/>
      <c r="Z1706" s="170"/>
    </row>
    <row r="1707" spans="1:26">
      <c r="A1707" s="170"/>
      <c r="B1707" s="171"/>
      <c r="C1707" s="170"/>
      <c r="D1707" s="172"/>
      <c r="E1707" s="172"/>
      <c r="F1707" s="173"/>
      <c r="G1707" s="172"/>
      <c r="H1707" s="172"/>
      <c r="I1707" s="174"/>
      <c r="J1707" s="174"/>
      <c r="K1707" s="175"/>
      <c r="L1707" s="175"/>
      <c r="M1707" s="170"/>
      <c r="N1707" s="170"/>
      <c r="O1707" s="176"/>
      <c r="P1707" s="173"/>
      <c r="Q1707" s="177"/>
      <c r="R1707" s="178"/>
      <c r="S1707" s="178"/>
      <c r="T1707" s="179"/>
      <c r="U1707" s="179"/>
      <c r="V1707" s="179"/>
      <c r="W1707" s="176"/>
      <c r="X1707" s="180"/>
      <c r="Y1707" s="170"/>
      <c r="Z1707" s="170"/>
    </row>
    <row r="1708" spans="1:26">
      <c r="A1708" s="170"/>
      <c r="B1708" s="171"/>
      <c r="C1708" s="170"/>
      <c r="D1708" s="172"/>
      <c r="E1708" s="172"/>
      <c r="F1708" s="173"/>
      <c r="G1708" s="172"/>
      <c r="H1708" s="172"/>
      <c r="I1708" s="174"/>
      <c r="J1708" s="174"/>
      <c r="K1708" s="175"/>
      <c r="L1708" s="175"/>
      <c r="M1708" s="170"/>
      <c r="N1708" s="170"/>
      <c r="O1708" s="176"/>
      <c r="P1708" s="173"/>
      <c r="Q1708" s="177"/>
      <c r="R1708" s="178"/>
      <c r="S1708" s="178"/>
      <c r="T1708" s="179"/>
      <c r="U1708" s="179"/>
      <c r="V1708" s="179"/>
      <c r="W1708" s="176"/>
      <c r="X1708" s="180"/>
      <c r="Y1708" s="170"/>
      <c r="Z1708" s="170"/>
    </row>
    <row r="1709" spans="1:26">
      <c r="A1709" s="170"/>
      <c r="B1709" s="171"/>
      <c r="C1709" s="170"/>
      <c r="D1709" s="172"/>
      <c r="E1709" s="172"/>
      <c r="F1709" s="173"/>
      <c r="G1709" s="172"/>
      <c r="H1709" s="172"/>
      <c r="I1709" s="174"/>
      <c r="J1709" s="174"/>
      <c r="K1709" s="175"/>
      <c r="L1709" s="175"/>
      <c r="M1709" s="170"/>
      <c r="N1709" s="170"/>
      <c r="O1709" s="176"/>
      <c r="P1709" s="173"/>
      <c r="Q1709" s="177"/>
      <c r="R1709" s="178"/>
      <c r="S1709" s="178"/>
      <c r="T1709" s="179"/>
      <c r="U1709" s="179"/>
      <c r="V1709" s="179"/>
      <c r="W1709" s="176"/>
      <c r="X1709" s="180"/>
      <c r="Y1709" s="170"/>
      <c r="Z1709" s="170"/>
    </row>
    <row r="1710" spans="1:26">
      <c r="A1710" s="170"/>
      <c r="B1710" s="171"/>
      <c r="C1710" s="170"/>
      <c r="D1710" s="172"/>
      <c r="E1710" s="172"/>
      <c r="F1710" s="173"/>
      <c r="G1710" s="172"/>
      <c r="H1710" s="172"/>
      <c r="I1710" s="174"/>
      <c r="J1710" s="174"/>
      <c r="K1710" s="175"/>
      <c r="L1710" s="175"/>
      <c r="M1710" s="170"/>
      <c r="N1710" s="170"/>
      <c r="O1710" s="176"/>
      <c r="P1710" s="173"/>
      <c r="Q1710" s="177"/>
      <c r="R1710" s="178"/>
      <c r="S1710" s="178"/>
      <c r="T1710" s="179"/>
      <c r="U1710" s="179"/>
      <c r="V1710" s="179"/>
      <c r="W1710" s="176"/>
      <c r="X1710" s="180"/>
      <c r="Y1710" s="170"/>
      <c r="Z1710" s="170"/>
    </row>
    <row r="1711" spans="1:26">
      <c r="A1711" s="170"/>
      <c r="B1711" s="171"/>
      <c r="C1711" s="170"/>
      <c r="D1711" s="172"/>
      <c r="E1711" s="172"/>
      <c r="F1711" s="173"/>
      <c r="G1711" s="172"/>
      <c r="H1711" s="172"/>
      <c r="I1711" s="174"/>
      <c r="J1711" s="174"/>
      <c r="K1711" s="175"/>
      <c r="L1711" s="175"/>
      <c r="M1711" s="170"/>
      <c r="N1711" s="170"/>
      <c r="O1711" s="176"/>
      <c r="P1711" s="173"/>
      <c r="Q1711" s="177"/>
      <c r="R1711" s="178"/>
      <c r="S1711" s="178"/>
      <c r="T1711" s="179"/>
      <c r="U1711" s="179"/>
      <c r="V1711" s="179"/>
      <c r="W1711" s="176"/>
      <c r="X1711" s="180"/>
      <c r="Y1711" s="170"/>
      <c r="Z1711" s="170"/>
    </row>
    <row r="1712" spans="1:26">
      <c r="A1712" s="170"/>
      <c r="B1712" s="171"/>
      <c r="C1712" s="170"/>
      <c r="D1712" s="172"/>
      <c r="E1712" s="172"/>
      <c r="F1712" s="173"/>
      <c r="G1712" s="172"/>
      <c r="H1712" s="172"/>
      <c r="I1712" s="174"/>
      <c r="J1712" s="174"/>
      <c r="K1712" s="175"/>
      <c r="L1712" s="175"/>
      <c r="M1712" s="170"/>
      <c r="N1712" s="170"/>
      <c r="O1712" s="176"/>
      <c r="P1712" s="173"/>
      <c r="Q1712" s="177"/>
      <c r="R1712" s="178"/>
      <c r="S1712" s="178"/>
      <c r="T1712" s="179"/>
      <c r="U1712" s="179"/>
      <c r="V1712" s="179"/>
      <c r="W1712" s="176"/>
      <c r="X1712" s="180"/>
      <c r="Y1712" s="170"/>
      <c r="Z1712" s="170"/>
    </row>
    <row r="1713" spans="1:26">
      <c r="A1713" s="170"/>
      <c r="B1713" s="171"/>
      <c r="C1713" s="170"/>
      <c r="D1713" s="172"/>
      <c r="E1713" s="172"/>
      <c r="F1713" s="173"/>
      <c r="G1713" s="172"/>
      <c r="H1713" s="172"/>
      <c r="I1713" s="174"/>
      <c r="J1713" s="174"/>
      <c r="K1713" s="175"/>
      <c r="L1713" s="175"/>
      <c r="M1713" s="170"/>
      <c r="N1713" s="170"/>
      <c r="O1713" s="176"/>
      <c r="P1713" s="173"/>
      <c r="Q1713" s="177"/>
      <c r="R1713" s="178"/>
      <c r="S1713" s="178"/>
      <c r="T1713" s="179"/>
      <c r="U1713" s="179"/>
      <c r="V1713" s="179"/>
      <c r="W1713" s="176"/>
      <c r="X1713" s="180"/>
      <c r="Y1713" s="170"/>
      <c r="Z1713" s="170"/>
    </row>
    <row r="1714" spans="1:26">
      <c r="A1714" s="170"/>
      <c r="B1714" s="171"/>
      <c r="C1714" s="170"/>
      <c r="D1714" s="172"/>
      <c r="E1714" s="172"/>
      <c r="F1714" s="173"/>
      <c r="G1714" s="172"/>
      <c r="H1714" s="172"/>
      <c r="I1714" s="174"/>
      <c r="J1714" s="174"/>
      <c r="K1714" s="175"/>
      <c r="L1714" s="175"/>
      <c r="M1714" s="170"/>
      <c r="N1714" s="170"/>
      <c r="O1714" s="176"/>
      <c r="P1714" s="173"/>
      <c r="Q1714" s="177"/>
      <c r="R1714" s="178"/>
      <c r="S1714" s="178"/>
      <c r="T1714" s="179"/>
      <c r="U1714" s="179"/>
      <c r="V1714" s="179"/>
      <c r="W1714" s="176"/>
      <c r="X1714" s="180"/>
      <c r="Y1714" s="170"/>
      <c r="Z1714" s="170"/>
    </row>
    <row r="1715" spans="1:26">
      <c r="A1715" s="170"/>
      <c r="B1715" s="171"/>
      <c r="C1715" s="170"/>
      <c r="D1715" s="172"/>
      <c r="E1715" s="172"/>
      <c r="F1715" s="173"/>
      <c r="G1715" s="172"/>
      <c r="H1715" s="172"/>
      <c r="I1715" s="174"/>
      <c r="J1715" s="174"/>
      <c r="K1715" s="175"/>
      <c r="L1715" s="175"/>
      <c r="M1715" s="170"/>
      <c r="N1715" s="170"/>
      <c r="O1715" s="176"/>
      <c r="P1715" s="173"/>
      <c r="Q1715" s="177"/>
      <c r="R1715" s="178"/>
      <c r="S1715" s="178"/>
      <c r="T1715" s="179"/>
      <c r="U1715" s="179"/>
      <c r="V1715" s="179"/>
      <c r="W1715" s="176"/>
      <c r="X1715" s="180"/>
      <c r="Y1715" s="170"/>
      <c r="Z1715" s="170"/>
    </row>
    <row r="1716" spans="1:26">
      <c r="A1716" s="170"/>
      <c r="B1716" s="171"/>
      <c r="C1716" s="170"/>
      <c r="D1716" s="172"/>
      <c r="E1716" s="172"/>
      <c r="F1716" s="173"/>
      <c r="G1716" s="172"/>
      <c r="H1716" s="172"/>
      <c r="I1716" s="174"/>
      <c r="J1716" s="174"/>
      <c r="K1716" s="175"/>
      <c r="L1716" s="175"/>
      <c r="M1716" s="170"/>
      <c r="N1716" s="170"/>
      <c r="O1716" s="176"/>
      <c r="P1716" s="173"/>
      <c r="Q1716" s="177"/>
      <c r="R1716" s="178"/>
      <c r="S1716" s="178"/>
      <c r="T1716" s="179"/>
      <c r="U1716" s="179"/>
      <c r="V1716" s="179"/>
      <c r="W1716" s="176"/>
      <c r="X1716" s="180"/>
      <c r="Y1716" s="170"/>
      <c r="Z1716" s="170"/>
    </row>
    <row r="1717" spans="1:26">
      <c r="A1717" s="170"/>
      <c r="B1717" s="171"/>
      <c r="C1717" s="170"/>
      <c r="D1717" s="172"/>
      <c r="E1717" s="172"/>
      <c r="F1717" s="173"/>
      <c r="G1717" s="172"/>
      <c r="H1717" s="172"/>
      <c r="I1717" s="174"/>
      <c r="J1717" s="174"/>
      <c r="K1717" s="175"/>
      <c r="L1717" s="175"/>
      <c r="M1717" s="170"/>
      <c r="N1717" s="170"/>
      <c r="O1717" s="176"/>
      <c r="P1717" s="173"/>
      <c r="Q1717" s="177"/>
      <c r="R1717" s="178"/>
      <c r="S1717" s="178"/>
      <c r="T1717" s="179"/>
      <c r="U1717" s="179"/>
      <c r="V1717" s="179"/>
      <c r="W1717" s="176"/>
      <c r="X1717" s="180"/>
      <c r="Y1717" s="170"/>
      <c r="Z1717" s="170"/>
    </row>
    <row r="1718" spans="1:26">
      <c r="A1718" s="170"/>
      <c r="B1718" s="171"/>
      <c r="C1718" s="170"/>
      <c r="D1718" s="172"/>
      <c r="E1718" s="172"/>
      <c r="F1718" s="173"/>
      <c r="G1718" s="172"/>
      <c r="H1718" s="172"/>
      <c r="I1718" s="174"/>
      <c r="J1718" s="174"/>
      <c r="K1718" s="175"/>
      <c r="L1718" s="175"/>
      <c r="M1718" s="170"/>
      <c r="N1718" s="170"/>
      <c r="O1718" s="176"/>
      <c r="P1718" s="173"/>
      <c r="Q1718" s="177"/>
      <c r="R1718" s="178"/>
      <c r="S1718" s="178"/>
      <c r="T1718" s="179"/>
      <c r="U1718" s="179"/>
      <c r="V1718" s="179"/>
      <c r="W1718" s="176"/>
      <c r="X1718" s="180"/>
      <c r="Y1718" s="170"/>
      <c r="Z1718" s="170"/>
    </row>
    <row r="1719" spans="1:26">
      <c r="A1719" s="170"/>
      <c r="B1719" s="171"/>
      <c r="C1719" s="170"/>
      <c r="D1719" s="172"/>
      <c r="E1719" s="172"/>
      <c r="F1719" s="173"/>
      <c r="G1719" s="172"/>
      <c r="H1719" s="172"/>
      <c r="I1719" s="174"/>
      <c r="J1719" s="174"/>
      <c r="K1719" s="175"/>
      <c r="L1719" s="175"/>
      <c r="M1719" s="170"/>
      <c r="N1719" s="170"/>
      <c r="O1719" s="176"/>
      <c r="P1719" s="173"/>
      <c r="Q1719" s="177"/>
      <c r="R1719" s="178"/>
      <c r="S1719" s="178"/>
      <c r="T1719" s="179"/>
      <c r="U1719" s="179"/>
      <c r="V1719" s="179"/>
      <c r="W1719" s="176"/>
      <c r="X1719" s="180"/>
      <c r="Y1719" s="170"/>
      <c r="Z1719" s="170"/>
    </row>
    <row r="1720" spans="1:26">
      <c r="A1720" s="170"/>
      <c r="B1720" s="171"/>
      <c r="C1720" s="170"/>
      <c r="D1720" s="172"/>
      <c r="E1720" s="172"/>
      <c r="F1720" s="173"/>
      <c r="G1720" s="172"/>
      <c r="H1720" s="172"/>
      <c r="I1720" s="174"/>
      <c r="J1720" s="174"/>
      <c r="K1720" s="175"/>
      <c r="L1720" s="175"/>
      <c r="M1720" s="170"/>
      <c r="N1720" s="170"/>
      <c r="O1720" s="176"/>
      <c r="P1720" s="173"/>
      <c r="Q1720" s="177"/>
      <c r="R1720" s="178"/>
      <c r="S1720" s="178"/>
      <c r="T1720" s="179"/>
      <c r="U1720" s="179"/>
      <c r="V1720" s="179"/>
      <c r="W1720" s="176"/>
      <c r="X1720" s="180"/>
      <c r="Y1720" s="170"/>
      <c r="Z1720" s="170"/>
    </row>
    <row r="1721" spans="1:26">
      <c r="A1721" s="170"/>
      <c r="B1721" s="171"/>
      <c r="C1721" s="170"/>
      <c r="D1721" s="172"/>
      <c r="E1721" s="172"/>
      <c r="F1721" s="173"/>
      <c r="G1721" s="172"/>
      <c r="H1721" s="172"/>
      <c r="I1721" s="174"/>
      <c r="J1721" s="174"/>
      <c r="K1721" s="175"/>
      <c r="L1721" s="175"/>
      <c r="M1721" s="170"/>
      <c r="N1721" s="170"/>
      <c r="O1721" s="176"/>
      <c r="P1721" s="173"/>
      <c r="Q1721" s="177"/>
      <c r="R1721" s="178"/>
      <c r="S1721" s="178"/>
      <c r="T1721" s="179"/>
      <c r="U1721" s="179"/>
      <c r="V1721" s="179"/>
      <c r="W1721" s="176"/>
      <c r="X1721" s="180"/>
      <c r="Y1721" s="170"/>
      <c r="Z1721" s="170"/>
    </row>
    <row r="1722" spans="1:26">
      <c r="A1722" s="170"/>
      <c r="B1722" s="171"/>
      <c r="C1722" s="170"/>
      <c r="D1722" s="172"/>
      <c r="E1722" s="172"/>
      <c r="F1722" s="173"/>
      <c r="G1722" s="172"/>
      <c r="H1722" s="172"/>
      <c r="I1722" s="174"/>
      <c r="J1722" s="174"/>
      <c r="K1722" s="175"/>
      <c r="L1722" s="175"/>
      <c r="M1722" s="170"/>
      <c r="N1722" s="170"/>
      <c r="O1722" s="176"/>
      <c r="P1722" s="173"/>
      <c r="Q1722" s="177"/>
      <c r="R1722" s="178"/>
      <c r="S1722" s="178"/>
      <c r="T1722" s="179"/>
      <c r="U1722" s="179"/>
      <c r="V1722" s="179"/>
      <c r="W1722" s="176"/>
      <c r="X1722" s="180"/>
      <c r="Y1722" s="170"/>
      <c r="Z1722" s="170"/>
    </row>
    <row r="1723" spans="1:26">
      <c r="A1723" s="170"/>
      <c r="B1723" s="171"/>
      <c r="C1723" s="170"/>
      <c r="D1723" s="172"/>
      <c r="E1723" s="172"/>
      <c r="F1723" s="173"/>
      <c r="G1723" s="172"/>
      <c r="H1723" s="172"/>
      <c r="I1723" s="174"/>
      <c r="J1723" s="174"/>
      <c r="K1723" s="175"/>
      <c r="L1723" s="175"/>
      <c r="M1723" s="170"/>
      <c r="N1723" s="170"/>
      <c r="O1723" s="176"/>
      <c r="P1723" s="173"/>
      <c r="Q1723" s="177"/>
      <c r="R1723" s="178"/>
      <c r="S1723" s="178"/>
      <c r="T1723" s="179"/>
      <c r="U1723" s="179"/>
      <c r="V1723" s="179"/>
      <c r="W1723" s="176"/>
      <c r="X1723" s="180"/>
      <c r="Y1723" s="170"/>
      <c r="Z1723" s="170"/>
    </row>
    <row r="1724" spans="1:26">
      <c r="A1724" s="170"/>
      <c r="B1724" s="171"/>
      <c r="C1724" s="170"/>
      <c r="D1724" s="172"/>
      <c r="E1724" s="172"/>
      <c r="F1724" s="173"/>
      <c r="G1724" s="172"/>
      <c r="H1724" s="172"/>
      <c r="I1724" s="174"/>
      <c r="J1724" s="174"/>
      <c r="K1724" s="175"/>
      <c r="L1724" s="175"/>
      <c r="M1724" s="170"/>
      <c r="N1724" s="170"/>
      <c r="O1724" s="176"/>
      <c r="P1724" s="173"/>
      <c r="Q1724" s="177"/>
      <c r="R1724" s="178"/>
      <c r="S1724" s="178"/>
      <c r="T1724" s="179"/>
      <c r="U1724" s="179"/>
      <c r="V1724" s="179"/>
      <c r="W1724" s="176"/>
      <c r="X1724" s="180"/>
      <c r="Y1724" s="170"/>
      <c r="Z1724" s="170"/>
    </row>
    <row r="1725" spans="1:26">
      <c r="A1725" s="170"/>
      <c r="B1725" s="171"/>
      <c r="C1725" s="170"/>
      <c r="D1725" s="172"/>
      <c r="E1725" s="172"/>
      <c r="F1725" s="173"/>
      <c r="G1725" s="172"/>
      <c r="H1725" s="172"/>
      <c r="I1725" s="174"/>
      <c r="J1725" s="174"/>
      <c r="K1725" s="175"/>
      <c r="L1725" s="175"/>
      <c r="M1725" s="170"/>
      <c r="N1725" s="170"/>
      <c r="O1725" s="176"/>
      <c r="P1725" s="173"/>
      <c r="Q1725" s="177"/>
      <c r="R1725" s="178"/>
      <c r="S1725" s="178"/>
      <c r="T1725" s="179"/>
      <c r="U1725" s="179"/>
      <c r="V1725" s="179"/>
      <c r="W1725" s="176"/>
      <c r="X1725" s="180"/>
      <c r="Y1725" s="170"/>
      <c r="Z1725" s="170"/>
    </row>
    <row r="1726" spans="1:26">
      <c r="A1726" s="170"/>
      <c r="B1726" s="171"/>
      <c r="C1726" s="170"/>
      <c r="D1726" s="172"/>
      <c r="E1726" s="172"/>
      <c r="F1726" s="173"/>
      <c r="G1726" s="172"/>
      <c r="H1726" s="172"/>
      <c r="I1726" s="174"/>
      <c r="J1726" s="174"/>
      <c r="K1726" s="175"/>
      <c r="L1726" s="175"/>
      <c r="M1726" s="170"/>
      <c r="N1726" s="170"/>
      <c r="O1726" s="176"/>
      <c r="P1726" s="173"/>
      <c r="Q1726" s="177"/>
      <c r="R1726" s="178"/>
      <c r="S1726" s="178"/>
      <c r="T1726" s="179"/>
      <c r="U1726" s="179"/>
      <c r="V1726" s="179"/>
      <c r="W1726" s="176"/>
      <c r="X1726" s="180"/>
      <c r="Y1726" s="170"/>
      <c r="Z1726" s="170"/>
    </row>
    <row r="1727" spans="1:26">
      <c r="A1727" s="170"/>
      <c r="B1727" s="171"/>
      <c r="C1727" s="170"/>
      <c r="D1727" s="172"/>
      <c r="E1727" s="172"/>
      <c r="F1727" s="173"/>
      <c r="G1727" s="172"/>
      <c r="H1727" s="172"/>
      <c r="I1727" s="174"/>
      <c r="J1727" s="174"/>
      <c r="K1727" s="175"/>
      <c r="L1727" s="175"/>
      <c r="M1727" s="170"/>
      <c r="N1727" s="170"/>
      <c r="O1727" s="176"/>
      <c r="P1727" s="173"/>
      <c r="Q1727" s="177"/>
      <c r="R1727" s="178"/>
      <c r="S1727" s="178"/>
      <c r="T1727" s="179"/>
      <c r="U1727" s="179"/>
      <c r="V1727" s="179"/>
      <c r="W1727" s="176"/>
      <c r="X1727" s="180"/>
      <c r="Y1727" s="170"/>
      <c r="Z1727" s="170"/>
    </row>
    <row r="1728" spans="1:26">
      <c r="A1728" s="170"/>
      <c r="B1728" s="171"/>
      <c r="C1728" s="170"/>
      <c r="D1728" s="172"/>
      <c r="E1728" s="172"/>
      <c r="F1728" s="173"/>
      <c r="G1728" s="172"/>
      <c r="H1728" s="172"/>
      <c r="I1728" s="174"/>
      <c r="J1728" s="174"/>
      <c r="K1728" s="175"/>
      <c r="L1728" s="175"/>
      <c r="M1728" s="170"/>
      <c r="N1728" s="170"/>
      <c r="O1728" s="176"/>
      <c r="P1728" s="173"/>
      <c r="Q1728" s="177"/>
      <c r="R1728" s="178"/>
      <c r="S1728" s="178"/>
      <c r="T1728" s="179"/>
      <c r="U1728" s="179"/>
      <c r="V1728" s="179"/>
      <c r="W1728" s="176"/>
      <c r="X1728" s="180"/>
      <c r="Y1728" s="170"/>
      <c r="Z1728" s="170"/>
    </row>
    <row r="1729" spans="1:26">
      <c r="A1729" s="170"/>
      <c r="B1729" s="171"/>
      <c r="C1729" s="170"/>
      <c r="D1729" s="172"/>
      <c r="E1729" s="172"/>
      <c r="F1729" s="173"/>
      <c r="G1729" s="172"/>
      <c r="H1729" s="172"/>
      <c r="I1729" s="174"/>
      <c r="J1729" s="174"/>
      <c r="K1729" s="175"/>
      <c r="L1729" s="175"/>
      <c r="M1729" s="170"/>
      <c r="N1729" s="170"/>
      <c r="O1729" s="176"/>
      <c r="P1729" s="173"/>
      <c r="Q1729" s="177"/>
      <c r="R1729" s="178"/>
      <c r="S1729" s="178"/>
      <c r="T1729" s="179"/>
      <c r="U1729" s="179"/>
      <c r="V1729" s="179"/>
      <c r="W1729" s="176"/>
      <c r="X1729" s="180"/>
      <c r="Y1729" s="170"/>
      <c r="Z1729" s="170"/>
    </row>
    <row r="1730" spans="1:26">
      <c r="A1730" s="170"/>
      <c r="B1730" s="171"/>
      <c r="C1730" s="170"/>
      <c r="D1730" s="172"/>
      <c r="E1730" s="172"/>
      <c r="F1730" s="173"/>
      <c r="G1730" s="172"/>
      <c r="H1730" s="172"/>
      <c r="I1730" s="174"/>
      <c r="J1730" s="174"/>
      <c r="K1730" s="175"/>
      <c r="L1730" s="175"/>
      <c r="M1730" s="170"/>
      <c r="N1730" s="170"/>
      <c r="O1730" s="176"/>
      <c r="P1730" s="173"/>
      <c r="Q1730" s="177"/>
      <c r="R1730" s="178"/>
      <c r="S1730" s="178"/>
      <c r="T1730" s="179"/>
      <c r="U1730" s="179"/>
      <c r="V1730" s="179"/>
      <c r="W1730" s="176"/>
      <c r="X1730" s="180"/>
      <c r="Y1730" s="170"/>
      <c r="Z1730" s="170"/>
    </row>
    <row r="1731" spans="1:26">
      <c r="A1731" s="170"/>
      <c r="B1731" s="171"/>
      <c r="C1731" s="170"/>
      <c r="D1731" s="172"/>
      <c r="E1731" s="172"/>
      <c r="F1731" s="173"/>
      <c r="G1731" s="172"/>
      <c r="H1731" s="172"/>
      <c r="I1731" s="174"/>
      <c r="J1731" s="174"/>
      <c r="K1731" s="175"/>
      <c r="L1731" s="175"/>
      <c r="M1731" s="170"/>
      <c r="N1731" s="170"/>
      <c r="O1731" s="176"/>
      <c r="P1731" s="173"/>
      <c r="Q1731" s="177"/>
      <c r="R1731" s="178"/>
      <c r="S1731" s="178"/>
      <c r="T1731" s="179"/>
      <c r="U1731" s="179"/>
      <c r="V1731" s="179"/>
      <c r="W1731" s="176"/>
      <c r="X1731" s="180"/>
      <c r="Y1731" s="170"/>
      <c r="Z1731" s="170"/>
    </row>
    <row r="1732" spans="1:26">
      <c r="A1732" s="170"/>
      <c r="B1732" s="171"/>
      <c r="C1732" s="170"/>
      <c r="D1732" s="172"/>
      <c r="E1732" s="172"/>
      <c r="F1732" s="173"/>
      <c r="G1732" s="172"/>
      <c r="H1732" s="172"/>
      <c r="I1732" s="174"/>
      <c r="J1732" s="174"/>
      <c r="K1732" s="175"/>
      <c r="L1732" s="175"/>
      <c r="M1732" s="170"/>
      <c r="N1732" s="170"/>
      <c r="O1732" s="176"/>
      <c r="P1732" s="173"/>
      <c r="Q1732" s="177"/>
      <c r="R1732" s="178"/>
      <c r="S1732" s="178"/>
      <c r="T1732" s="179"/>
      <c r="U1732" s="179"/>
      <c r="V1732" s="179"/>
      <c r="W1732" s="176"/>
      <c r="X1732" s="180"/>
      <c r="Y1732" s="170"/>
      <c r="Z1732" s="170"/>
    </row>
    <row r="1733" spans="1:26">
      <c r="A1733" s="170"/>
      <c r="B1733" s="171"/>
      <c r="C1733" s="170"/>
      <c r="D1733" s="172"/>
      <c r="E1733" s="172"/>
      <c r="F1733" s="173"/>
      <c r="G1733" s="172"/>
      <c r="H1733" s="172"/>
      <c r="I1733" s="174"/>
      <c r="J1733" s="174"/>
      <c r="K1733" s="175"/>
      <c r="L1733" s="175"/>
      <c r="M1733" s="170"/>
      <c r="N1733" s="170"/>
      <c r="O1733" s="176"/>
      <c r="P1733" s="173"/>
      <c r="Q1733" s="177"/>
      <c r="R1733" s="178"/>
      <c r="S1733" s="178"/>
      <c r="T1733" s="179"/>
      <c r="U1733" s="179"/>
      <c r="V1733" s="179"/>
      <c r="W1733" s="176"/>
      <c r="X1733" s="180"/>
      <c r="Y1733" s="170"/>
      <c r="Z1733" s="170"/>
    </row>
    <row r="1734" spans="1:26">
      <c r="A1734" s="170"/>
      <c r="B1734" s="171"/>
      <c r="C1734" s="170"/>
      <c r="D1734" s="172"/>
      <c r="E1734" s="172"/>
      <c r="F1734" s="173"/>
      <c r="G1734" s="172"/>
      <c r="H1734" s="172"/>
      <c r="I1734" s="174"/>
      <c r="J1734" s="174"/>
      <c r="K1734" s="175"/>
      <c r="L1734" s="175"/>
      <c r="M1734" s="170"/>
      <c r="N1734" s="170"/>
      <c r="O1734" s="176"/>
      <c r="P1734" s="173"/>
      <c r="Q1734" s="177"/>
      <c r="R1734" s="178"/>
      <c r="S1734" s="178"/>
      <c r="T1734" s="179"/>
      <c r="U1734" s="179"/>
      <c r="V1734" s="179"/>
      <c r="W1734" s="176"/>
      <c r="X1734" s="180"/>
      <c r="Y1734" s="170"/>
      <c r="Z1734" s="170"/>
    </row>
    <row r="1735" spans="1:26">
      <c r="A1735" s="170"/>
      <c r="B1735" s="171"/>
      <c r="C1735" s="170"/>
      <c r="D1735" s="172"/>
      <c r="E1735" s="172"/>
      <c r="F1735" s="173"/>
      <c r="G1735" s="172"/>
      <c r="H1735" s="172"/>
      <c r="I1735" s="174"/>
      <c r="J1735" s="174"/>
      <c r="K1735" s="175"/>
      <c r="L1735" s="175"/>
      <c r="M1735" s="170"/>
      <c r="N1735" s="170"/>
      <c r="O1735" s="176"/>
      <c r="P1735" s="173"/>
      <c r="Q1735" s="177"/>
      <c r="R1735" s="178"/>
      <c r="S1735" s="178"/>
      <c r="T1735" s="179"/>
      <c r="U1735" s="179"/>
      <c r="V1735" s="179"/>
      <c r="W1735" s="176"/>
      <c r="X1735" s="180"/>
      <c r="Y1735" s="170"/>
      <c r="Z1735" s="170"/>
    </row>
    <row r="1736" spans="1:26">
      <c r="A1736" s="170"/>
      <c r="B1736" s="171"/>
      <c r="C1736" s="170"/>
      <c r="D1736" s="172"/>
      <c r="E1736" s="172"/>
      <c r="F1736" s="173"/>
      <c r="G1736" s="172"/>
      <c r="H1736" s="172"/>
      <c r="I1736" s="174"/>
      <c r="J1736" s="174"/>
      <c r="K1736" s="175"/>
      <c r="L1736" s="175"/>
      <c r="M1736" s="170"/>
      <c r="N1736" s="170"/>
      <c r="O1736" s="176"/>
      <c r="P1736" s="173"/>
      <c r="Q1736" s="177"/>
      <c r="R1736" s="178"/>
      <c r="S1736" s="178"/>
      <c r="T1736" s="179"/>
      <c r="U1736" s="179"/>
      <c r="V1736" s="179"/>
      <c r="W1736" s="176"/>
      <c r="X1736" s="180"/>
      <c r="Y1736" s="170"/>
      <c r="Z1736" s="170"/>
    </row>
    <row r="1737" spans="1:26">
      <c r="A1737" s="170"/>
      <c r="B1737" s="171"/>
      <c r="C1737" s="170"/>
      <c r="D1737" s="172"/>
      <c r="E1737" s="172"/>
      <c r="F1737" s="173"/>
      <c r="G1737" s="172"/>
      <c r="H1737" s="172"/>
      <c r="I1737" s="174"/>
      <c r="J1737" s="174"/>
      <c r="K1737" s="175"/>
      <c r="L1737" s="175"/>
      <c r="M1737" s="170"/>
      <c r="N1737" s="170"/>
      <c r="O1737" s="176"/>
      <c r="P1737" s="173"/>
      <c r="Q1737" s="177"/>
      <c r="R1737" s="178"/>
      <c r="S1737" s="178"/>
      <c r="T1737" s="179"/>
      <c r="U1737" s="179"/>
      <c r="V1737" s="179"/>
      <c r="W1737" s="176"/>
      <c r="X1737" s="180"/>
      <c r="Y1737" s="170"/>
      <c r="Z1737" s="170"/>
    </row>
    <row r="1738" spans="1:26">
      <c r="A1738" s="170"/>
      <c r="B1738" s="171"/>
      <c r="C1738" s="170"/>
      <c r="D1738" s="172"/>
      <c r="E1738" s="172"/>
      <c r="F1738" s="173"/>
      <c r="G1738" s="172"/>
      <c r="H1738" s="172"/>
      <c r="I1738" s="174"/>
      <c r="J1738" s="174"/>
      <c r="K1738" s="175"/>
      <c r="L1738" s="175"/>
      <c r="M1738" s="170"/>
      <c r="N1738" s="170"/>
      <c r="O1738" s="176"/>
      <c r="P1738" s="173"/>
      <c r="Q1738" s="177"/>
      <c r="R1738" s="178"/>
      <c r="S1738" s="178"/>
      <c r="T1738" s="179"/>
      <c r="U1738" s="179"/>
      <c r="V1738" s="179"/>
      <c r="W1738" s="176"/>
      <c r="X1738" s="180"/>
      <c r="Y1738" s="170"/>
      <c r="Z1738" s="170"/>
    </row>
    <row r="1739" spans="1:26">
      <c r="A1739" s="170"/>
      <c r="B1739" s="171"/>
      <c r="C1739" s="170"/>
      <c r="D1739" s="172"/>
      <c r="E1739" s="172"/>
      <c r="F1739" s="173"/>
      <c r="G1739" s="172"/>
      <c r="H1739" s="172"/>
      <c r="I1739" s="174"/>
      <c r="J1739" s="174"/>
      <c r="K1739" s="175"/>
      <c r="L1739" s="175"/>
      <c r="M1739" s="170"/>
      <c r="N1739" s="170"/>
      <c r="O1739" s="176"/>
      <c r="P1739" s="173"/>
      <c r="Q1739" s="177"/>
      <c r="R1739" s="178"/>
      <c r="S1739" s="178"/>
      <c r="T1739" s="179"/>
      <c r="U1739" s="179"/>
      <c r="V1739" s="179"/>
      <c r="W1739" s="176"/>
      <c r="X1739" s="180"/>
      <c r="Y1739" s="170"/>
      <c r="Z1739" s="170"/>
    </row>
    <row r="1740" spans="1:26">
      <c r="A1740" s="170"/>
      <c r="B1740" s="171"/>
      <c r="C1740" s="170"/>
      <c r="D1740" s="172"/>
      <c r="E1740" s="172"/>
      <c r="F1740" s="173"/>
      <c r="G1740" s="172"/>
      <c r="H1740" s="172"/>
      <c r="I1740" s="174"/>
      <c r="J1740" s="174"/>
      <c r="K1740" s="175"/>
      <c r="L1740" s="175"/>
      <c r="M1740" s="170"/>
      <c r="N1740" s="170"/>
      <c r="O1740" s="176"/>
      <c r="P1740" s="173"/>
      <c r="Q1740" s="177"/>
      <c r="R1740" s="178"/>
      <c r="S1740" s="178"/>
      <c r="T1740" s="179"/>
      <c r="U1740" s="179"/>
      <c r="V1740" s="179"/>
      <c r="W1740" s="176"/>
      <c r="X1740" s="180"/>
      <c r="Y1740" s="170"/>
      <c r="Z1740" s="170"/>
    </row>
    <row r="1741" spans="1:26">
      <c r="A1741" s="170"/>
      <c r="B1741" s="171"/>
      <c r="C1741" s="170"/>
      <c r="D1741" s="172"/>
      <c r="E1741" s="172"/>
      <c r="F1741" s="173"/>
      <c r="G1741" s="172"/>
      <c r="H1741" s="172"/>
      <c r="I1741" s="174"/>
      <c r="J1741" s="174"/>
      <c r="K1741" s="175"/>
      <c r="L1741" s="175"/>
      <c r="M1741" s="170"/>
      <c r="N1741" s="170"/>
      <c r="O1741" s="176"/>
      <c r="P1741" s="173"/>
      <c r="Q1741" s="177"/>
      <c r="R1741" s="178"/>
      <c r="S1741" s="178"/>
      <c r="T1741" s="179"/>
      <c r="U1741" s="179"/>
      <c r="V1741" s="179"/>
      <c r="W1741" s="176"/>
      <c r="X1741" s="180"/>
      <c r="Y1741" s="170"/>
      <c r="Z1741" s="170"/>
    </row>
    <row r="1742" spans="1:26">
      <c r="A1742" s="170"/>
      <c r="B1742" s="171"/>
      <c r="C1742" s="170"/>
      <c r="D1742" s="172"/>
      <c r="E1742" s="172"/>
      <c r="F1742" s="173"/>
      <c r="G1742" s="172"/>
      <c r="H1742" s="172"/>
      <c r="I1742" s="174"/>
      <c r="J1742" s="174"/>
      <c r="K1742" s="175"/>
      <c r="L1742" s="175"/>
      <c r="M1742" s="170"/>
      <c r="N1742" s="170"/>
      <c r="O1742" s="176"/>
      <c r="P1742" s="173"/>
      <c r="Q1742" s="177"/>
      <c r="R1742" s="178"/>
      <c r="S1742" s="178"/>
      <c r="T1742" s="179"/>
      <c r="U1742" s="179"/>
      <c r="V1742" s="179"/>
      <c r="W1742" s="176"/>
      <c r="X1742" s="180"/>
      <c r="Y1742" s="170"/>
      <c r="Z1742" s="170"/>
    </row>
    <row r="1743" spans="1:26">
      <c r="A1743" s="170"/>
      <c r="B1743" s="171"/>
      <c r="C1743" s="170"/>
      <c r="D1743" s="172"/>
      <c r="E1743" s="172"/>
      <c r="F1743" s="173"/>
      <c r="G1743" s="172"/>
      <c r="H1743" s="172"/>
      <c r="I1743" s="174"/>
      <c r="J1743" s="174"/>
      <c r="K1743" s="175"/>
      <c r="L1743" s="175"/>
      <c r="M1743" s="170"/>
      <c r="N1743" s="170"/>
      <c r="O1743" s="176"/>
      <c r="P1743" s="173"/>
      <c r="Q1743" s="177"/>
      <c r="R1743" s="178"/>
      <c r="S1743" s="178"/>
      <c r="T1743" s="179"/>
      <c r="U1743" s="179"/>
      <c r="V1743" s="179"/>
      <c r="W1743" s="176"/>
      <c r="X1743" s="180"/>
      <c r="Y1743" s="170"/>
      <c r="Z1743" s="170"/>
    </row>
    <row r="1744" spans="1:26">
      <c r="A1744" s="170"/>
      <c r="B1744" s="171"/>
      <c r="C1744" s="170"/>
      <c r="D1744" s="172"/>
      <c r="E1744" s="172"/>
      <c r="F1744" s="173"/>
      <c r="G1744" s="172"/>
      <c r="H1744" s="172"/>
      <c r="I1744" s="174"/>
      <c r="J1744" s="174"/>
      <c r="K1744" s="175"/>
      <c r="L1744" s="175"/>
      <c r="M1744" s="170"/>
      <c r="N1744" s="170"/>
      <c r="O1744" s="176"/>
      <c r="P1744" s="173"/>
      <c r="Q1744" s="177"/>
      <c r="R1744" s="178"/>
      <c r="S1744" s="178"/>
      <c r="T1744" s="179"/>
      <c r="U1744" s="179"/>
      <c r="V1744" s="179"/>
      <c r="W1744" s="176"/>
      <c r="X1744" s="180"/>
      <c r="Y1744" s="170"/>
      <c r="Z1744" s="170"/>
    </row>
    <row r="1745" spans="1:26">
      <c r="A1745" s="170"/>
      <c r="B1745" s="171"/>
      <c r="C1745" s="170"/>
      <c r="D1745" s="172"/>
      <c r="E1745" s="172"/>
      <c r="F1745" s="173"/>
      <c r="G1745" s="172"/>
      <c r="H1745" s="172"/>
      <c r="I1745" s="174"/>
      <c r="J1745" s="174"/>
      <c r="K1745" s="175"/>
      <c r="L1745" s="175"/>
      <c r="M1745" s="170"/>
      <c r="N1745" s="170"/>
      <c r="O1745" s="176"/>
      <c r="P1745" s="173"/>
      <c r="Q1745" s="177"/>
      <c r="R1745" s="178"/>
      <c r="S1745" s="178"/>
      <c r="T1745" s="179"/>
      <c r="U1745" s="179"/>
      <c r="V1745" s="179"/>
      <c r="W1745" s="176"/>
      <c r="X1745" s="180"/>
      <c r="Y1745" s="170"/>
      <c r="Z1745" s="170"/>
    </row>
    <row r="1746" spans="1:26">
      <c r="A1746" s="170"/>
      <c r="B1746" s="171"/>
      <c r="C1746" s="170"/>
      <c r="D1746" s="172"/>
      <c r="E1746" s="172"/>
      <c r="F1746" s="173"/>
      <c r="G1746" s="172"/>
      <c r="H1746" s="172"/>
      <c r="I1746" s="174"/>
      <c r="J1746" s="174"/>
      <c r="K1746" s="175"/>
      <c r="L1746" s="175"/>
      <c r="M1746" s="170"/>
      <c r="N1746" s="170"/>
      <c r="O1746" s="176"/>
      <c r="P1746" s="173"/>
      <c r="Q1746" s="177"/>
      <c r="R1746" s="178"/>
      <c r="S1746" s="178"/>
      <c r="T1746" s="179"/>
      <c r="U1746" s="179"/>
      <c r="V1746" s="179"/>
      <c r="W1746" s="176"/>
      <c r="X1746" s="180"/>
      <c r="Y1746" s="170"/>
      <c r="Z1746" s="170"/>
    </row>
    <row r="1747" spans="1:26">
      <c r="A1747" s="170"/>
      <c r="B1747" s="171"/>
      <c r="C1747" s="170"/>
      <c r="D1747" s="172"/>
      <c r="E1747" s="172"/>
      <c r="F1747" s="173"/>
      <c r="G1747" s="172"/>
      <c r="H1747" s="172"/>
      <c r="I1747" s="174"/>
      <c r="J1747" s="174"/>
      <c r="K1747" s="175"/>
      <c r="L1747" s="175"/>
      <c r="M1747" s="170"/>
      <c r="N1747" s="170"/>
      <c r="O1747" s="176"/>
      <c r="P1747" s="173"/>
      <c r="Q1747" s="177"/>
      <c r="R1747" s="178"/>
      <c r="S1747" s="178"/>
      <c r="T1747" s="179"/>
      <c r="U1747" s="179"/>
      <c r="V1747" s="179"/>
      <c r="W1747" s="176"/>
      <c r="X1747" s="180"/>
      <c r="Y1747" s="170"/>
      <c r="Z1747" s="170"/>
    </row>
    <row r="1748" spans="1:26">
      <c r="A1748" s="170"/>
      <c r="B1748" s="171"/>
      <c r="C1748" s="170"/>
      <c r="D1748" s="172"/>
      <c r="E1748" s="172"/>
      <c r="F1748" s="173"/>
      <c r="G1748" s="172"/>
      <c r="H1748" s="172"/>
      <c r="I1748" s="174"/>
      <c r="J1748" s="174"/>
      <c r="K1748" s="175"/>
      <c r="L1748" s="175"/>
      <c r="M1748" s="170"/>
      <c r="N1748" s="170"/>
      <c r="O1748" s="176"/>
      <c r="P1748" s="173"/>
      <c r="Q1748" s="177"/>
      <c r="R1748" s="178"/>
      <c r="S1748" s="178"/>
      <c r="T1748" s="179"/>
      <c r="U1748" s="179"/>
      <c r="V1748" s="179"/>
      <c r="W1748" s="176"/>
      <c r="X1748" s="180"/>
      <c r="Y1748" s="170"/>
      <c r="Z1748" s="170"/>
    </row>
    <row r="1749" spans="1:26">
      <c r="A1749" s="170"/>
      <c r="B1749" s="171"/>
      <c r="C1749" s="170"/>
      <c r="D1749" s="172"/>
      <c r="E1749" s="172"/>
      <c r="F1749" s="173"/>
      <c r="G1749" s="172"/>
      <c r="H1749" s="172"/>
      <c r="I1749" s="174"/>
      <c r="J1749" s="174"/>
      <c r="K1749" s="175"/>
      <c r="L1749" s="175"/>
      <c r="M1749" s="170"/>
      <c r="N1749" s="170"/>
      <c r="O1749" s="176"/>
      <c r="P1749" s="173"/>
      <c r="Q1749" s="177"/>
      <c r="R1749" s="178"/>
      <c r="S1749" s="178"/>
      <c r="T1749" s="179"/>
      <c r="U1749" s="179"/>
      <c r="V1749" s="179"/>
      <c r="W1749" s="176"/>
      <c r="X1749" s="180"/>
      <c r="Y1749" s="170"/>
      <c r="Z1749" s="170"/>
    </row>
    <row r="1750" spans="1:26">
      <c r="A1750" s="170"/>
      <c r="B1750" s="171"/>
      <c r="C1750" s="170"/>
      <c r="D1750" s="172"/>
      <c r="E1750" s="172"/>
      <c r="F1750" s="173"/>
      <c r="G1750" s="172"/>
      <c r="H1750" s="172"/>
      <c r="I1750" s="174"/>
      <c r="J1750" s="174"/>
      <c r="K1750" s="175"/>
      <c r="L1750" s="175"/>
      <c r="M1750" s="170"/>
      <c r="N1750" s="170"/>
      <c r="O1750" s="176"/>
      <c r="P1750" s="173"/>
      <c r="Q1750" s="177"/>
      <c r="R1750" s="178"/>
      <c r="S1750" s="178"/>
      <c r="T1750" s="179"/>
      <c r="U1750" s="179"/>
      <c r="V1750" s="179"/>
      <c r="W1750" s="176"/>
      <c r="X1750" s="180"/>
      <c r="Y1750" s="170"/>
      <c r="Z1750" s="170"/>
    </row>
    <row r="1751" spans="1:26">
      <c r="A1751" s="170"/>
      <c r="B1751" s="171"/>
      <c r="C1751" s="170"/>
      <c r="D1751" s="172"/>
      <c r="E1751" s="172"/>
      <c r="F1751" s="173"/>
      <c r="G1751" s="172"/>
      <c r="H1751" s="172"/>
      <c r="I1751" s="174"/>
      <c r="J1751" s="174"/>
      <c r="K1751" s="175"/>
      <c r="L1751" s="175"/>
      <c r="M1751" s="170"/>
      <c r="N1751" s="170"/>
      <c r="O1751" s="176"/>
      <c r="P1751" s="173"/>
      <c r="Q1751" s="177"/>
      <c r="R1751" s="178"/>
      <c r="S1751" s="178"/>
      <c r="T1751" s="179"/>
      <c r="U1751" s="179"/>
      <c r="V1751" s="179"/>
      <c r="W1751" s="176"/>
      <c r="X1751" s="180"/>
      <c r="Y1751" s="170"/>
      <c r="Z1751" s="170"/>
    </row>
    <row r="1752" spans="1:26">
      <c r="A1752" s="170"/>
      <c r="B1752" s="171"/>
      <c r="C1752" s="170"/>
      <c r="D1752" s="172"/>
      <c r="E1752" s="172"/>
      <c r="F1752" s="173"/>
      <c r="G1752" s="172"/>
      <c r="H1752" s="172"/>
      <c r="I1752" s="174"/>
      <c r="J1752" s="174"/>
      <c r="K1752" s="175"/>
      <c r="L1752" s="175"/>
      <c r="M1752" s="170"/>
      <c r="N1752" s="170"/>
      <c r="O1752" s="176"/>
      <c r="P1752" s="173"/>
      <c r="Q1752" s="177"/>
      <c r="R1752" s="178"/>
      <c r="S1752" s="178"/>
      <c r="T1752" s="179"/>
      <c r="U1752" s="179"/>
      <c r="V1752" s="179"/>
      <c r="W1752" s="176"/>
      <c r="X1752" s="180"/>
      <c r="Y1752" s="170"/>
      <c r="Z1752" s="170"/>
    </row>
    <row r="1753" spans="1:26">
      <c r="A1753" s="170"/>
      <c r="B1753" s="171"/>
      <c r="C1753" s="170"/>
      <c r="D1753" s="172"/>
      <c r="E1753" s="172"/>
      <c r="F1753" s="173"/>
      <c r="G1753" s="172"/>
      <c r="H1753" s="172"/>
      <c r="I1753" s="174"/>
      <c r="J1753" s="174"/>
      <c r="K1753" s="175"/>
      <c r="L1753" s="175"/>
      <c r="M1753" s="170"/>
      <c r="N1753" s="170"/>
      <c r="O1753" s="176"/>
      <c r="P1753" s="173"/>
      <c r="Q1753" s="177"/>
      <c r="R1753" s="178"/>
      <c r="S1753" s="178"/>
      <c r="T1753" s="179"/>
      <c r="U1753" s="179"/>
      <c r="V1753" s="179"/>
      <c r="W1753" s="176"/>
      <c r="X1753" s="180"/>
      <c r="Y1753" s="170"/>
      <c r="Z1753" s="170"/>
    </row>
    <row r="1754" spans="1:26">
      <c r="A1754" s="170"/>
      <c r="B1754" s="171"/>
      <c r="C1754" s="170"/>
      <c r="D1754" s="172"/>
      <c r="E1754" s="172"/>
      <c r="F1754" s="173"/>
      <c r="G1754" s="172"/>
      <c r="H1754" s="172"/>
      <c r="I1754" s="174"/>
      <c r="J1754" s="174"/>
      <c r="K1754" s="175"/>
      <c r="L1754" s="175"/>
      <c r="M1754" s="170"/>
      <c r="N1754" s="170"/>
      <c r="O1754" s="176"/>
      <c r="P1754" s="173"/>
      <c r="Q1754" s="177"/>
      <c r="R1754" s="178"/>
      <c r="S1754" s="178"/>
      <c r="T1754" s="179"/>
      <c r="U1754" s="179"/>
      <c r="V1754" s="179"/>
      <c r="W1754" s="176"/>
      <c r="X1754" s="180"/>
      <c r="Y1754" s="170"/>
      <c r="Z1754" s="170"/>
    </row>
    <row r="1755" spans="1:26">
      <c r="A1755" s="170"/>
      <c r="B1755" s="171"/>
      <c r="C1755" s="170"/>
      <c r="D1755" s="172"/>
      <c r="E1755" s="172"/>
      <c r="F1755" s="173"/>
      <c r="G1755" s="172"/>
      <c r="H1755" s="172"/>
      <c r="I1755" s="174"/>
      <c r="J1755" s="174"/>
      <c r="K1755" s="175"/>
      <c r="L1755" s="175"/>
      <c r="M1755" s="170"/>
      <c r="N1755" s="170"/>
      <c r="O1755" s="176"/>
      <c r="P1755" s="173"/>
      <c r="Q1755" s="177"/>
      <c r="R1755" s="178"/>
      <c r="S1755" s="178"/>
      <c r="T1755" s="179"/>
      <c r="U1755" s="179"/>
      <c r="V1755" s="179"/>
      <c r="W1755" s="176"/>
      <c r="X1755" s="180"/>
      <c r="Y1755" s="170"/>
      <c r="Z1755" s="170"/>
    </row>
    <row r="1756" spans="1:26">
      <c r="A1756" s="170"/>
      <c r="B1756" s="171"/>
      <c r="C1756" s="170"/>
      <c r="D1756" s="172"/>
      <c r="E1756" s="172"/>
      <c r="F1756" s="173"/>
      <c r="G1756" s="172"/>
      <c r="H1756" s="172"/>
      <c r="I1756" s="174"/>
      <c r="J1756" s="174"/>
      <c r="K1756" s="175"/>
      <c r="L1756" s="175"/>
      <c r="M1756" s="170"/>
      <c r="N1756" s="170"/>
      <c r="O1756" s="176"/>
      <c r="P1756" s="173"/>
      <c r="Q1756" s="177"/>
      <c r="R1756" s="178"/>
      <c r="S1756" s="178"/>
      <c r="T1756" s="179"/>
      <c r="U1756" s="179"/>
      <c r="V1756" s="179"/>
      <c r="W1756" s="176"/>
      <c r="X1756" s="180"/>
      <c r="Y1756" s="170"/>
      <c r="Z1756" s="170"/>
    </row>
    <row r="1757" spans="1:26">
      <c r="A1757" s="170"/>
      <c r="B1757" s="171"/>
      <c r="C1757" s="170"/>
      <c r="D1757" s="172"/>
      <c r="E1757" s="172"/>
      <c r="F1757" s="173"/>
      <c r="G1757" s="172"/>
      <c r="H1757" s="172"/>
      <c r="I1757" s="174"/>
      <c r="J1757" s="174"/>
      <c r="K1757" s="175"/>
      <c r="L1757" s="175"/>
      <c r="M1757" s="170"/>
      <c r="N1757" s="170"/>
      <c r="O1757" s="176"/>
      <c r="P1757" s="173"/>
      <c r="Q1757" s="177"/>
      <c r="R1757" s="178"/>
      <c r="S1757" s="178"/>
      <c r="T1757" s="179"/>
      <c r="U1757" s="179"/>
      <c r="V1757" s="179"/>
      <c r="W1757" s="176"/>
      <c r="X1757" s="180"/>
      <c r="Y1757" s="170"/>
      <c r="Z1757" s="170"/>
    </row>
    <row r="1758" spans="1:26">
      <c r="A1758" s="170"/>
      <c r="B1758" s="171"/>
      <c r="C1758" s="170"/>
      <c r="D1758" s="172"/>
      <c r="E1758" s="172"/>
      <c r="F1758" s="173"/>
      <c r="G1758" s="172"/>
      <c r="H1758" s="172"/>
      <c r="I1758" s="174"/>
      <c r="J1758" s="174"/>
      <c r="K1758" s="175"/>
      <c r="L1758" s="175"/>
      <c r="M1758" s="170"/>
      <c r="N1758" s="170"/>
      <c r="O1758" s="176"/>
      <c r="P1758" s="173"/>
      <c r="Q1758" s="177"/>
      <c r="R1758" s="178"/>
      <c r="S1758" s="178"/>
      <c r="T1758" s="179"/>
      <c r="U1758" s="179"/>
      <c r="V1758" s="179"/>
      <c r="W1758" s="176"/>
      <c r="X1758" s="180"/>
      <c r="Y1758" s="170"/>
      <c r="Z1758" s="170"/>
    </row>
    <row r="1759" spans="1:26">
      <c r="A1759" s="170"/>
      <c r="B1759" s="171"/>
      <c r="C1759" s="170"/>
      <c r="D1759" s="172"/>
      <c r="E1759" s="172"/>
      <c r="F1759" s="173"/>
      <c r="G1759" s="172"/>
      <c r="H1759" s="172"/>
      <c r="I1759" s="174"/>
      <c r="J1759" s="174"/>
      <c r="K1759" s="175"/>
      <c r="L1759" s="175"/>
      <c r="M1759" s="170"/>
      <c r="N1759" s="170"/>
      <c r="O1759" s="176"/>
      <c r="P1759" s="173"/>
      <c r="Q1759" s="177"/>
      <c r="R1759" s="178"/>
      <c r="S1759" s="178"/>
      <c r="T1759" s="179"/>
      <c r="U1759" s="179"/>
      <c r="V1759" s="179"/>
      <c r="W1759" s="176"/>
      <c r="X1759" s="180"/>
      <c r="Y1759" s="170"/>
      <c r="Z1759" s="170"/>
    </row>
    <row r="1760" spans="1:26">
      <c r="A1760" s="170"/>
      <c r="B1760" s="171"/>
      <c r="C1760" s="170"/>
      <c r="D1760" s="172"/>
      <c r="E1760" s="172"/>
      <c r="F1760" s="173"/>
      <c r="G1760" s="172"/>
      <c r="H1760" s="172"/>
      <c r="I1760" s="174"/>
      <c r="J1760" s="174"/>
      <c r="K1760" s="175"/>
      <c r="L1760" s="175"/>
      <c r="M1760" s="170"/>
      <c r="N1760" s="170"/>
      <c r="O1760" s="176"/>
      <c r="P1760" s="173"/>
      <c r="Q1760" s="177"/>
      <c r="R1760" s="178"/>
      <c r="S1760" s="178"/>
      <c r="T1760" s="179"/>
      <c r="U1760" s="179"/>
      <c r="V1760" s="179"/>
      <c r="W1760" s="176"/>
      <c r="X1760" s="180"/>
      <c r="Y1760" s="170"/>
      <c r="Z1760" s="170"/>
    </row>
    <row r="1761" spans="1:26">
      <c r="A1761" s="170"/>
      <c r="B1761" s="171"/>
      <c r="C1761" s="170"/>
      <c r="D1761" s="172"/>
      <c r="E1761" s="172"/>
      <c r="F1761" s="173"/>
      <c r="G1761" s="172"/>
      <c r="H1761" s="172"/>
      <c r="I1761" s="174"/>
      <c r="J1761" s="174"/>
      <c r="K1761" s="175"/>
      <c r="L1761" s="175"/>
      <c r="M1761" s="170"/>
      <c r="N1761" s="170"/>
      <c r="O1761" s="176"/>
      <c r="P1761" s="173"/>
      <c r="Q1761" s="177"/>
      <c r="R1761" s="178"/>
      <c r="S1761" s="178"/>
      <c r="T1761" s="179"/>
      <c r="U1761" s="179"/>
      <c r="V1761" s="179"/>
      <c r="W1761" s="176"/>
      <c r="X1761" s="180"/>
      <c r="Y1761" s="170"/>
      <c r="Z1761" s="170"/>
    </row>
    <row r="1762" spans="1:26">
      <c r="A1762" s="170"/>
      <c r="B1762" s="171"/>
      <c r="C1762" s="170"/>
      <c r="D1762" s="172"/>
      <c r="E1762" s="172"/>
      <c r="F1762" s="173"/>
      <c r="G1762" s="172"/>
      <c r="H1762" s="172"/>
      <c r="I1762" s="174"/>
      <c r="J1762" s="174"/>
      <c r="K1762" s="175"/>
      <c r="L1762" s="175"/>
      <c r="M1762" s="170"/>
      <c r="N1762" s="170"/>
      <c r="O1762" s="176"/>
      <c r="P1762" s="173"/>
      <c r="Q1762" s="177"/>
      <c r="R1762" s="178"/>
      <c r="S1762" s="178"/>
      <c r="T1762" s="179"/>
      <c r="U1762" s="179"/>
      <c r="V1762" s="179"/>
      <c r="W1762" s="176"/>
      <c r="X1762" s="180"/>
      <c r="Y1762" s="170"/>
      <c r="Z1762" s="170"/>
    </row>
    <row r="1763" spans="1:26">
      <c r="A1763" s="170"/>
      <c r="B1763" s="171"/>
      <c r="C1763" s="170"/>
      <c r="D1763" s="172"/>
      <c r="E1763" s="172"/>
      <c r="F1763" s="173"/>
      <c r="G1763" s="172"/>
      <c r="H1763" s="172"/>
      <c r="I1763" s="174"/>
      <c r="J1763" s="174"/>
      <c r="K1763" s="175"/>
      <c r="L1763" s="175"/>
      <c r="M1763" s="170"/>
      <c r="N1763" s="170"/>
      <c r="O1763" s="176"/>
      <c r="P1763" s="173"/>
      <c r="Q1763" s="177"/>
      <c r="R1763" s="178"/>
      <c r="S1763" s="178"/>
      <c r="T1763" s="179"/>
      <c r="U1763" s="179"/>
      <c r="V1763" s="179"/>
      <c r="W1763" s="176"/>
      <c r="X1763" s="180"/>
      <c r="Y1763" s="170"/>
      <c r="Z1763" s="170"/>
    </row>
    <row r="1764" spans="1:26">
      <c r="A1764" s="170"/>
      <c r="B1764" s="171"/>
      <c r="C1764" s="170"/>
      <c r="D1764" s="172"/>
      <c r="E1764" s="172"/>
      <c r="F1764" s="173"/>
      <c r="G1764" s="172"/>
      <c r="H1764" s="172"/>
      <c r="I1764" s="174"/>
      <c r="J1764" s="174"/>
      <c r="K1764" s="175"/>
      <c r="L1764" s="175"/>
      <c r="M1764" s="170"/>
      <c r="N1764" s="170"/>
      <c r="O1764" s="176"/>
      <c r="P1764" s="173"/>
      <c r="Q1764" s="177"/>
      <c r="R1764" s="178"/>
      <c r="S1764" s="178"/>
      <c r="T1764" s="179"/>
      <c r="U1764" s="179"/>
      <c r="V1764" s="179"/>
      <c r="W1764" s="176"/>
      <c r="X1764" s="180"/>
      <c r="Y1764" s="170"/>
      <c r="Z1764" s="170"/>
    </row>
    <row r="1765" spans="1:26">
      <c r="A1765" s="170"/>
      <c r="B1765" s="171"/>
      <c r="C1765" s="170"/>
      <c r="D1765" s="172"/>
      <c r="E1765" s="172"/>
      <c r="F1765" s="173"/>
      <c r="G1765" s="172"/>
      <c r="H1765" s="172"/>
      <c r="I1765" s="174"/>
      <c r="J1765" s="174"/>
      <c r="K1765" s="175"/>
      <c r="L1765" s="175"/>
      <c r="M1765" s="170"/>
      <c r="N1765" s="170"/>
      <c r="O1765" s="176"/>
      <c r="P1765" s="173"/>
      <c r="Q1765" s="177"/>
      <c r="R1765" s="178"/>
      <c r="S1765" s="178"/>
      <c r="T1765" s="179"/>
      <c r="U1765" s="179"/>
      <c r="V1765" s="179"/>
      <c r="W1765" s="176"/>
      <c r="X1765" s="180"/>
      <c r="Y1765" s="170"/>
      <c r="Z1765" s="170"/>
    </row>
    <row r="1766" spans="1:26">
      <c r="A1766" s="170"/>
      <c r="B1766" s="171"/>
      <c r="C1766" s="170"/>
      <c r="D1766" s="172"/>
      <c r="E1766" s="172"/>
      <c r="F1766" s="173"/>
      <c r="G1766" s="172"/>
      <c r="H1766" s="172"/>
      <c r="I1766" s="174"/>
      <c r="J1766" s="174"/>
      <c r="K1766" s="175"/>
      <c r="L1766" s="175"/>
      <c r="M1766" s="170"/>
      <c r="N1766" s="170"/>
      <c r="O1766" s="176"/>
      <c r="P1766" s="173"/>
      <c r="Q1766" s="177"/>
      <c r="R1766" s="178"/>
      <c r="S1766" s="178"/>
      <c r="T1766" s="179"/>
      <c r="U1766" s="179"/>
      <c r="V1766" s="179"/>
      <c r="W1766" s="176"/>
      <c r="X1766" s="180"/>
      <c r="Y1766" s="170"/>
      <c r="Z1766" s="170"/>
    </row>
    <row r="1767" spans="1:26">
      <c r="A1767" s="170"/>
      <c r="B1767" s="171"/>
      <c r="C1767" s="170"/>
      <c r="D1767" s="172"/>
      <c r="E1767" s="172"/>
      <c r="F1767" s="173"/>
      <c r="G1767" s="172"/>
      <c r="H1767" s="172"/>
      <c r="I1767" s="174"/>
      <c r="J1767" s="174"/>
      <c r="K1767" s="175"/>
      <c r="L1767" s="175"/>
      <c r="M1767" s="170"/>
      <c r="N1767" s="170"/>
      <c r="O1767" s="176"/>
      <c r="P1767" s="173"/>
      <c r="Q1767" s="177"/>
      <c r="R1767" s="178"/>
      <c r="S1767" s="178"/>
      <c r="T1767" s="179"/>
      <c r="U1767" s="179"/>
      <c r="V1767" s="179"/>
      <c r="W1767" s="176"/>
      <c r="X1767" s="180"/>
      <c r="Y1767" s="170"/>
      <c r="Z1767" s="170"/>
    </row>
    <row r="1768" spans="1:26">
      <c r="A1768" s="170"/>
      <c r="B1768" s="171"/>
      <c r="C1768" s="170"/>
      <c r="D1768" s="172"/>
      <c r="E1768" s="172"/>
      <c r="F1768" s="173"/>
      <c r="G1768" s="172"/>
      <c r="H1768" s="172"/>
      <c r="I1768" s="174"/>
      <c r="J1768" s="174"/>
      <c r="K1768" s="175"/>
      <c r="L1768" s="175"/>
      <c r="M1768" s="170"/>
      <c r="N1768" s="170"/>
      <c r="O1768" s="176"/>
      <c r="P1768" s="173"/>
      <c r="Q1768" s="177"/>
      <c r="R1768" s="178"/>
      <c r="S1768" s="178"/>
      <c r="T1768" s="179"/>
      <c r="U1768" s="179"/>
      <c r="V1768" s="179"/>
      <c r="W1768" s="176"/>
      <c r="X1768" s="180"/>
      <c r="Y1768" s="170"/>
      <c r="Z1768" s="170"/>
    </row>
    <row r="1769" spans="1:26">
      <c r="A1769" s="170"/>
      <c r="B1769" s="171"/>
      <c r="C1769" s="170"/>
      <c r="D1769" s="172"/>
      <c r="E1769" s="172"/>
      <c r="F1769" s="173"/>
      <c r="G1769" s="172"/>
      <c r="H1769" s="172"/>
      <c r="I1769" s="174"/>
      <c r="J1769" s="174"/>
      <c r="K1769" s="175"/>
      <c r="L1769" s="175"/>
      <c r="M1769" s="170"/>
      <c r="N1769" s="170"/>
      <c r="O1769" s="176"/>
      <c r="P1769" s="173"/>
      <c r="Q1769" s="177"/>
      <c r="R1769" s="178"/>
      <c r="S1769" s="178"/>
      <c r="T1769" s="179"/>
      <c r="U1769" s="179"/>
      <c r="V1769" s="179"/>
      <c r="W1769" s="176"/>
      <c r="X1769" s="180"/>
      <c r="Y1769" s="170"/>
      <c r="Z1769" s="170"/>
    </row>
    <row r="1770" spans="1:26">
      <c r="A1770" s="170"/>
      <c r="B1770" s="171"/>
      <c r="C1770" s="170"/>
      <c r="D1770" s="172"/>
      <c r="E1770" s="172"/>
      <c r="F1770" s="173"/>
      <c r="G1770" s="172"/>
      <c r="H1770" s="172"/>
      <c r="I1770" s="174"/>
      <c r="J1770" s="174"/>
      <c r="K1770" s="175"/>
      <c r="L1770" s="175"/>
      <c r="M1770" s="170"/>
      <c r="N1770" s="170"/>
      <c r="O1770" s="176"/>
      <c r="P1770" s="173"/>
      <c r="Q1770" s="177"/>
      <c r="R1770" s="178"/>
      <c r="S1770" s="178"/>
      <c r="T1770" s="179"/>
      <c r="U1770" s="179"/>
      <c r="V1770" s="179"/>
      <c r="W1770" s="176"/>
      <c r="X1770" s="180"/>
      <c r="Y1770" s="170"/>
      <c r="Z1770" s="170"/>
    </row>
    <row r="1771" spans="1:26">
      <c r="A1771" s="170"/>
      <c r="B1771" s="171"/>
      <c r="C1771" s="170"/>
      <c r="D1771" s="172"/>
      <c r="E1771" s="172"/>
      <c r="F1771" s="173"/>
      <c r="G1771" s="172"/>
      <c r="H1771" s="172"/>
      <c r="I1771" s="174"/>
      <c r="J1771" s="174"/>
      <c r="K1771" s="175"/>
      <c r="L1771" s="175"/>
      <c r="M1771" s="170"/>
      <c r="N1771" s="170"/>
      <c r="O1771" s="176"/>
      <c r="P1771" s="173"/>
      <c r="Q1771" s="177"/>
      <c r="R1771" s="178"/>
      <c r="S1771" s="178"/>
      <c r="T1771" s="179"/>
      <c r="U1771" s="179"/>
      <c r="V1771" s="179"/>
      <c r="W1771" s="176"/>
      <c r="X1771" s="180"/>
      <c r="Y1771" s="170"/>
      <c r="Z1771" s="170"/>
    </row>
    <row r="1772" spans="1:26">
      <c r="A1772" s="170"/>
      <c r="B1772" s="171"/>
      <c r="C1772" s="170"/>
      <c r="D1772" s="172"/>
      <c r="E1772" s="172"/>
      <c r="F1772" s="173"/>
      <c r="G1772" s="172"/>
      <c r="H1772" s="172"/>
      <c r="I1772" s="174"/>
      <c r="J1772" s="174"/>
      <c r="K1772" s="175"/>
      <c r="L1772" s="175"/>
      <c r="M1772" s="170"/>
      <c r="N1772" s="170"/>
      <c r="O1772" s="176"/>
      <c r="P1772" s="173"/>
      <c r="Q1772" s="177"/>
      <c r="R1772" s="178"/>
      <c r="S1772" s="178"/>
      <c r="T1772" s="179"/>
      <c r="U1772" s="179"/>
      <c r="V1772" s="179"/>
      <c r="W1772" s="176"/>
      <c r="X1772" s="180"/>
      <c r="Y1772" s="170"/>
      <c r="Z1772" s="170"/>
    </row>
    <row r="1773" spans="1:26">
      <c r="A1773" s="170"/>
      <c r="B1773" s="171"/>
      <c r="C1773" s="170"/>
      <c r="D1773" s="172"/>
      <c r="E1773" s="172"/>
      <c r="F1773" s="173"/>
      <c r="G1773" s="172"/>
      <c r="H1773" s="172"/>
      <c r="I1773" s="174"/>
      <c r="J1773" s="174"/>
      <c r="K1773" s="175"/>
      <c r="L1773" s="175"/>
      <c r="M1773" s="170"/>
      <c r="N1773" s="170"/>
      <c r="O1773" s="176"/>
      <c r="P1773" s="173"/>
      <c r="Q1773" s="177"/>
      <c r="R1773" s="178"/>
      <c r="S1773" s="178"/>
      <c r="T1773" s="179"/>
      <c r="U1773" s="179"/>
      <c r="V1773" s="179"/>
      <c r="W1773" s="176"/>
      <c r="X1773" s="180"/>
      <c r="Y1773" s="170"/>
      <c r="Z1773" s="170"/>
    </row>
    <row r="1774" spans="1:26">
      <c r="A1774" s="170"/>
      <c r="B1774" s="171"/>
      <c r="C1774" s="170"/>
      <c r="D1774" s="172"/>
      <c r="E1774" s="172"/>
      <c r="F1774" s="173"/>
      <c r="G1774" s="172"/>
      <c r="H1774" s="172"/>
      <c r="I1774" s="174"/>
      <c r="J1774" s="174"/>
      <c r="K1774" s="175"/>
      <c r="L1774" s="175"/>
      <c r="M1774" s="170"/>
      <c r="N1774" s="170"/>
      <c r="O1774" s="176"/>
      <c r="P1774" s="173"/>
      <c r="Q1774" s="177"/>
      <c r="R1774" s="178"/>
      <c r="S1774" s="178"/>
      <c r="T1774" s="179"/>
      <c r="U1774" s="179"/>
      <c r="V1774" s="179"/>
      <c r="W1774" s="176"/>
      <c r="X1774" s="180"/>
      <c r="Y1774" s="170"/>
      <c r="Z1774" s="170"/>
    </row>
    <row r="1775" spans="1:26">
      <c r="A1775" s="170"/>
      <c r="B1775" s="171"/>
      <c r="C1775" s="170"/>
      <c r="D1775" s="172"/>
      <c r="E1775" s="172"/>
      <c r="F1775" s="173"/>
      <c r="G1775" s="172"/>
      <c r="H1775" s="172"/>
      <c r="I1775" s="174"/>
      <c r="J1775" s="174"/>
      <c r="K1775" s="175"/>
      <c r="L1775" s="175"/>
      <c r="M1775" s="170"/>
      <c r="N1775" s="170"/>
      <c r="O1775" s="176"/>
      <c r="P1775" s="173"/>
      <c r="Q1775" s="177"/>
      <c r="R1775" s="178"/>
      <c r="S1775" s="178"/>
      <c r="T1775" s="179"/>
      <c r="U1775" s="179"/>
      <c r="V1775" s="179"/>
      <c r="W1775" s="176"/>
      <c r="X1775" s="180"/>
      <c r="Y1775" s="170"/>
      <c r="Z1775" s="170"/>
    </row>
    <row r="1776" spans="1:26">
      <c r="A1776" s="170"/>
      <c r="B1776" s="171"/>
      <c r="C1776" s="170"/>
      <c r="D1776" s="172"/>
      <c r="E1776" s="172"/>
      <c r="F1776" s="173"/>
      <c r="G1776" s="172"/>
      <c r="H1776" s="172"/>
      <c r="I1776" s="174"/>
      <c r="J1776" s="174"/>
      <c r="K1776" s="175"/>
      <c r="L1776" s="175"/>
      <c r="M1776" s="170"/>
      <c r="N1776" s="170"/>
      <c r="O1776" s="176"/>
      <c r="P1776" s="173"/>
      <c r="Q1776" s="177"/>
      <c r="R1776" s="178"/>
      <c r="S1776" s="178"/>
      <c r="T1776" s="179"/>
      <c r="U1776" s="179"/>
      <c r="V1776" s="179"/>
      <c r="W1776" s="176"/>
      <c r="X1776" s="180"/>
      <c r="Y1776" s="170"/>
      <c r="Z1776" s="170"/>
    </row>
    <row r="1777" spans="1:26">
      <c r="A1777" s="170"/>
      <c r="B1777" s="171"/>
      <c r="C1777" s="170"/>
      <c r="D1777" s="172"/>
      <c r="E1777" s="172"/>
      <c r="F1777" s="173"/>
      <c r="G1777" s="172"/>
      <c r="H1777" s="172"/>
      <c r="I1777" s="174"/>
      <c r="J1777" s="174"/>
      <c r="K1777" s="175"/>
      <c r="L1777" s="175"/>
      <c r="M1777" s="170"/>
      <c r="N1777" s="170"/>
      <c r="O1777" s="176"/>
      <c r="P1777" s="173"/>
      <c r="Q1777" s="177"/>
      <c r="R1777" s="178"/>
      <c r="S1777" s="178"/>
      <c r="T1777" s="179"/>
      <c r="U1777" s="179"/>
      <c r="V1777" s="179"/>
      <c r="W1777" s="176"/>
      <c r="X1777" s="180"/>
      <c r="Y1777" s="170"/>
      <c r="Z1777" s="170"/>
    </row>
    <row r="1778" spans="1:26">
      <c r="A1778" s="170"/>
      <c r="B1778" s="171"/>
      <c r="C1778" s="170"/>
      <c r="D1778" s="172"/>
      <c r="E1778" s="172"/>
      <c r="F1778" s="173"/>
      <c r="G1778" s="172"/>
      <c r="H1778" s="172"/>
      <c r="I1778" s="174"/>
      <c r="J1778" s="174"/>
      <c r="K1778" s="175"/>
      <c r="L1778" s="175"/>
      <c r="M1778" s="170"/>
      <c r="N1778" s="170"/>
      <c r="O1778" s="176"/>
      <c r="P1778" s="173"/>
      <c r="Q1778" s="177"/>
      <c r="R1778" s="178"/>
      <c r="S1778" s="178"/>
      <c r="T1778" s="179"/>
      <c r="U1778" s="179"/>
      <c r="V1778" s="179"/>
      <c r="W1778" s="176"/>
      <c r="X1778" s="180"/>
      <c r="Y1778" s="170"/>
      <c r="Z1778" s="170"/>
    </row>
    <row r="1779" spans="1:26">
      <c r="A1779" s="170"/>
      <c r="B1779" s="171"/>
      <c r="C1779" s="170"/>
      <c r="D1779" s="172"/>
      <c r="E1779" s="172"/>
      <c r="F1779" s="173"/>
      <c r="G1779" s="172"/>
      <c r="H1779" s="172"/>
      <c r="I1779" s="174"/>
      <c r="J1779" s="174"/>
      <c r="K1779" s="175"/>
      <c r="L1779" s="175"/>
      <c r="M1779" s="170"/>
      <c r="N1779" s="170"/>
      <c r="O1779" s="176"/>
      <c r="P1779" s="173"/>
      <c r="Q1779" s="177"/>
      <c r="R1779" s="178"/>
      <c r="S1779" s="178"/>
      <c r="T1779" s="179"/>
      <c r="U1779" s="179"/>
      <c r="V1779" s="179"/>
      <c r="W1779" s="176"/>
      <c r="X1779" s="180"/>
      <c r="Y1779" s="170"/>
      <c r="Z1779" s="170"/>
    </row>
    <row r="1780" spans="1:26">
      <c r="A1780" s="170"/>
      <c r="B1780" s="171"/>
      <c r="C1780" s="170"/>
      <c r="D1780" s="172"/>
      <c r="E1780" s="172"/>
      <c r="F1780" s="173"/>
      <c r="G1780" s="172"/>
      <c r="H1780" s="172"/>
      <c r="I1780" s="174"/>
      <c r="J1780" s="174"/>
      <c r="K1780" s="175"/>
      <c r="L1780" s="175"/>
      <c r="M1780" s="170"/>
      <c r="N1780" s="170"/>
      <c r="O1780" s="176"/>
      <c r="P1780" s="173"/>
      <c r="Q1780" s="177"/>
      <c r="R1780" s="178"/>
      <c r="S1780" s="178"/>
      <c r="T1780" s="179"/>
      <c r="U1780" s="179"/>
      <c r="V1780" s="179"/>
      <c r="W1780" s="176"/>
      <c r="X1780" s="180"/>
      <c r="Y1780" s="170"/>
      <c r="Z1780" s="170"/>
    </row>
    <row r="1781" spans="1:26">
      <c r="A1781" s="170"/>
      <c r="B1781" s="171"/>
      <c r="C1781" s="170"/>
      <c r="D1781" s="172"/>
      <c r="E1781" s="172"/>
      <c r="F1781" s="173"/>
      <c r="G1781" s="172"/>
      <c r="H1781" s="172"/>
      <c r="I1781" s="174"/>
      <c r="J1781" s="174"/>
      <c r="K1781" s="175"/>
      <c r="L1781" s="175"/>
      <c r="M1781" s="170"/>
      <c r="N1781" s="170"/>
      <c r="O1781" s="176"/>
      <c r="P1781" s="173"/>
      <c r="Q1781" s="177"/>
      <c r="R1781" s="178"/>
      <c r="S1781" s="178"/>
      <c r="T1781" s="179"/>
      <c r="U1781" s="179"/>
      <c r="V1781" s="179"/>
      <c r="W1781" s="176"/>
      <c r="X1781" s="180"/>
      <c r="Y1781" s="170"/>
      <c r="Z1781" s="170"/>
    </row>
    <row r="1782" spans="1:26">
      <c r="A1782" s="170"/>
      <c r="B1782" s="171"/>
      <c r="C1782" s="170"/>
      <c r="D1782" s="172"/>
      <c r="E1782" s="172"/>
      <c r="F1782" s="173"/>
      <c r="G1782" s="172"/>
      <c r="H1782" s="172"/>
      <c r="I1782" s="174"/>
      <c r="J1782" s="174"/>
      <c r="K1782" s="175"/>
      <c r="L1782" s="175"/>
      <c r="M1782" s="170"/>
      <c r="N1782" s="170"/>
      <c r="O1782" s="176"/>
      <c r="P1782" s="173"/>
      <c r="Q1782" s="177"/>
      <c r="R1782" s="178"/>
      <c r="S1782" s="178"/>
      <c r="T1782" s="179"/>
      <c r="U1782" s="179"/>
      <c r="V1782" s="179"/>
      <c r="W1782" s="176"/>
      <c r="X1782" s="180"/>
      <c r="Y1782" s="170"/>
      <c r="Z1782" s="170"/>
    </row>
    <row r="1783" spans="1:26">
      <c r="A1783" s="170"/>
      <c r="B1783" s="171"/>
      <c r="C1783" s="170"/>
      <c r="D1783" s="172"/>
      <c r="E1783" s="172"/>
      <c r="F1783" s="173"/>
      <c r="G1783" s="172"/>
      <c r="H1783" s="172"/>
      <c r="I1783" s="174"/>
      <c r="J1783" s="174"/>
      <c r="K1783" s="175"/>
      <c r="L1783" s="175"/>
      <c r="M1783" s="170"/>
      <c r="N1783" s="170"/>
      <c r="O1783" s="176"/>
      <c r="P1783" s="173"/>
      <c r="Q1783" s="177"/>
      <c r="R1783" s="178"/>
      <c r="S1783" s="178"/>
      <c r="T1783" s="179"/>
      <c r="U1783" s="179"/>
      <c r="V1783" s="179"/>
      <c r="W1783" s="176"/>
      <c r="X1783" s="180"/>
      <c r="Y1783" s="170"/>
      <c r="Z1783" s="170"/>
    </row>
    <row r="1784" spans="1:26">
      <c r="A1784" s="170"/>
      <c r="B1784" s="171"/>
      <c r="C1784" s="170"/>
      <c r="D1784" s="172"/>
      <c r="E1784" s="172"/>
      <c r="F1784" s="173"/>
      <c r="G1784" s="172"/>
      <c r="H1784" s="172"/>
      <c r="I1784" s="174"/>
      <c r="J1784" s="174"/>
      <c r="K1784" s="175"/>
      <c r="L1784" s="175"/>
      <c r="M1784" s="170"/>
      <c r="N1784" s="170"/>
      <c r="O1784" s="176"/>
      <c r="P1784" s="173"/>
      <c r="Q1784" s="177"/>
      <c r="R1784" s="178"/>
      <c r="S1784" s="178"/>
      <c r="T1784" s="179"/>
      <c r="U1784" s="179"/>
      <c r="V1784" s="179"/>
      <c r="W1784" s="176"/>
      <c r="X1784" s="180"/>
      <c r="Y1784" s="170"/>
      <c r="Z1784" s="170"/>
    </row>
    <row r="1785" spans="1:26">
      <c r="A1785" s="170"/>
      <c r="B1785" s="171"/>
      <c r="C1785" s="170"/>
      <c r="D1785" s="172"/>
      <c r="E1785" s="172"/>
      <c r="F1785" s="173"/>
      <c r="G1785" s="172"/>
      <c r="H1785" s="172"/>
      <c r="I1785" s="174"/>
      <c r="J1785" s="174"/>
      <c r="K1785" s="175"/>
      <c r="L1785" s="175"/>
      <c r="M1785" s="170"/>
      <c r="N1785" s="170"/>
      <c r="O1785" s="176"/>
      <c r="P1785" s="173"/>
      <c r="Q1785" s="177"/>
      <c r="R1785" s="178"/>
      <c r="S1785" s="178"/>
      <c r="T1785" s="179"/>
      <c r="U1785" s="179"/>
      <c r="V1785" s="179"/>
      <c r="W1785" s="176"/>
      <c r="X1785" s="180"/>
      <c r="Y1785" s="170"/>
      <c r="Z1785" s="170"/>
    </row>
    <row r="1786" spans="1:26">
      <c r="A1786" s="170"/>
      <c r="B1786" s="171"/>
      <c r="C1786" s="170"/>
      <c r="D1786" s="172"/>
      <c r="E1786" s="172"/>
      <c r="F1786" s="173"/>
      <c r="G1786" s="172"/>
      <c r="H1786" s="172"/>
      <c r="I1786" s="174"/>
      <c r="J1786" s="174"/>
      <c r="K1786" s="175"/>
      <c r="L1786" s="175"/>
      <c r="M1786" s="170"/>
      <c r="N1786" s="170"/>
      <c r="O1786" s="176"/>
      <c r="P1786" s="173"/>
      <c r="Q1786" s="177"/>
      <c r="R1786" s="178"/>
      <c r="S1786" s="178"/>
      <c r="T1786" s="179"/>
      <c r="U1786" s="179"/>
      <c r="V1786" s="179"/>
      <c r="W1786" s="176"/>
      <c r="X1786" s="180"/>
      <c r="Y1786" s="170"/>
      <c r="Z1786" s="170"/>
    </row>
    <row r="1787" spans="1:26">
      <c r="A1787" s="170"/>
      <c r="B1787" s="171"/>
      <c r="C1787" s="170"/>
      <c r="D1787" s="172"/>
      <c r="E1787" s="172"/>
      <c r="F1787" s="173"/>
      <c r="G1787" s="172"/>
      <c r="H1787" s="172"/>
      <c r="I1787" s="174"/>
      <c r="J1787" s="174"/>
      <c r="K1787" s="175"/>
      <c r="L1787" s="175"/>
      <c r="M1787" s="170"/>
      <c r="N1787" s="170"/>
      <c r="O1787" s="176"/>
      <c r="P1787" s="173"/>
      <c r="Q1787" s="177"/>
      <c r="R1787" s="178"/>
      <c r="S1787" s="178"/>
      <c r="T1787" s="179"/>
      <c r="U1787" s="179"/>
      <c r="V1787" s="179"/>
      <c r="W1787" s="176"/>
      <c r="X1787" s="180"/>
      <c r="Y1787" s="170"/>
      <c r="Z1787" s="170"/>
    </row>
    <row r="1788" spans="1:26">
      <c r="A1788" s="170"/>
      <c r="B1788" s="171"/>
      <c r="C1788" s="170"/>
      <c r="D1788" s="172"/>
      <c r="E1788" s="172"/>
      <c r="F1788" s="173"/>
      <c r="G1788" s="172"/>
      <c r="H1788" s="172"/>
      <c r="I1788" s="174"/>
      <c r="J1788" s="174"/>
      <c r="K1788" s="175"/>
      <c r="L1788" s="175"/>
      <c r="M1788" s="170"/>
      <c r="N1788" s="170"/>
      <c r="O1788" s="176"/>
      <c r="P1788" s="173"/>
      <c r="Q1788" s="177"/>
      <c r="R1788" s="178"/>
      <c r="S1788" s="178"/>
      <c r="T1788" s="179"/>
      <c r="U1788" s="179"/>
      <c r="V1788" s="179"/>
      <c r="W1788" s="176"/>
      <c r="X1788" s="180"/>
      <c r="Y1788" s="170"/>
      <c r="Z1788" s="170"/>
    </row>
    <row r="1789" spans="1:26">
      <c r="A1789" s="170"/>
      <c r="B1789" s="171"/>
      <c r="C1789" s="170"/>
      <c r="D1789" s="172"/>
      <c r="E1789" s="172"/>
      <c r="F1789" s="173"/>
      <c r="G1789" s="172"/>
      <c r="H1789" s="172"/>
      <c r="I1789" s="174"/>
      <c r="J1789" s="174"/>
      <c r="K1789" s="175"/>
      <c r="L1789" s="175"/>
      <c r="M1789" s="170"/>
      <c r="N1789" s="170"/>
      <c r="O1789" s="176"/>
      <c r="P1789" s="173"/>
      <c r="Q1789" s="177"/>
      <c r="R1789" s="178"/>
      <c r="S1789" s="178"/>
      <c r="T1789" s="179"/>
      <c r="U1789" s="179"/>
      <c r="V1789" s="179"/>
      <c r="W1789" s="176"/>
      <c r="X1789" s="180"/>
      <c r="Y1789" s="170"/>
      <c r="Z1789" s="170"/>
    </row>
    <row r="1790" spans="1:26">
      <c r="A1790" s="170"/>
      <c r="B1790" s="171"/>
      <c r="C1790" s="170"/>
      <c r="D1790" s="172"/>
      <c r="E1790" s="172"/>
      <c r="F1790" s="173"/>
      <c r="G1790" s="172"/>
      <c r="H1790" s="172"/>
      <c r="I1790" s="174"/>
      <c r="J1790" s="174"/>
      <c r="K1790" s="175"/>
      <c r="L1790" s="175"/>
      <c r="M1790" s="170"/>
      <c r="N1790" s="170"/>
      <c r="O1790" s="176"/>
      <c r="P1790" s="173"/>
      <c r="Q1790" s="177"/>
      <c r="R1790" s="178"/>
      <c r="S1790" s="178"/>
      <c r="T1790" s="179"/>
      <c r="U1790" s="179"/>
      <c r="V1790" s="179"/>
      <c r="W1790" s="176"/>
      <c r="X1790" s="180"/>
      <c r="Y1790" s="170"/>
      <c r="Z1790" s="170"/>
    </row>
    <row r="1791" spans="1:26">
      <c r="A1791" s="170"/>
      <c r="B1791" s="171"/>
      <c r="C1791" s="170"/>
      <c r="D1791" s="172"/>
      <c r="E1791" s="172"/>
      <c r="F1791" s="173"/>
      <c r="G1791" s="172"/>
      <c r="H1791" s="172"/>
      <c r="I1791" s="174"/>
      <c r="J1791" s="174"/>
      <c r="K1791" s="175"/>
      <c r="L1791" s="175"/>
      <c r="M1791" s="170"/>
      <c r="N1791" s="170"/>
      <c r="O1791" s="176"/>
      <c r="P1791" s="173"/>
      <c r="Q1791" s="177"/>
      <c r="R1791" s="178"/>
      <c r="S1791" s="178"/>
      <c r="T1791" s="179"/>
      <c r="U1791" s="179"/>
      <c r="V1791" s="179"/>
      <c r="W1791" s="176"/>
      <c r="X1791" s="180"/>
      <c r="Y1791" s="170"/>
      <c r="Z1791" s="170"/>
    </row>
    <row r="1792" spans="1:26">
      <c r="A1792" s="170"/>
      <c r="B1792" s="171"/>
      <c r="C1792" s="170"/>
      <c r="D1792" s="172"/>
      <c r="E1792" s="172"/>
      <c r="F1792" s="173"/>
      <c r="G1792" s="172"/>
      <c r="H1792" s="172"/>
      <c r="I1792" s="174"/>
      <c r="J1792" s="174"/>
      <c r="K1792" s="175"/>
      <c r="L1792" s="175"/>
      <c r="M1792" s="170"/>
      <c r="N1792" s="170"/>
      <c r="O1792" s="176"/>
      <c r="P1792" s="173"/>
      <c r="Q1792" s="177"/>
      <c r="R1792" s="178"/>
      <c r="S1792" s="178"/>
      <c r="T1792" s="179"/>
      <c r="U1792" s="179"/>
      <c r="V1792" s="179"/>
      <c r="W1792" s="176"/>
      <c r="X1792" s="180"/>
      <c r="Y1792" s="170"/>
      <c r="Z1792" s="170"/>
    </row>
    <row r="1793" spans="1:26">
      <c r="A1793" s="170"/>
      <c r="B1793" s="171"/>
      <c r="C1793" s="170"/>
      <c r="D1793" s="172"/>
      <c r="E1793" s="172"/>
      <c r="F1793" s="173"/>
      <c r="G1793" s="172"/>
      <c r="H1793" s="172"/>
      <c r="I1793" s="174"/>
      <c r="J1793" s="174"/>
      <c r="K1793" s="175"/>
      <c r="L1793" s="175"/>
      <c r="M1793" s="170"/>
      <c r="N1793" s="170"/>
      <c r="O1793" s="176"/>
      <c r="P1793" s="173"/>
      <c r="Q1793" s="177"/>
      <c r="R1793" s="178"/>
      <c r="S1793" s="178"/>
      <c r="T1793" s="179"/>
      <c r="U1793" s="179"/>
      <c r="V1793" s="179"/>
      <c r="W1793" s="176"/>
      <c r="X1793" s="180"/>
      <c r="Y1793" s="170"/>
      <c r="Z1793" s="170"/>
    </row>
    <row r="1794" spans="1:26">
      <c r="A1794" s="170"/>
      <c r="B1794" s="171"/>
      <c r="C1794" s="170"/>
      <c r="D1794" s="172"/>
      <c r="E1794" s="172"/>
      <c r="F1794" s="173"/>
      <c r="G1794" s="172"/>
      <c r="H1794" s="172"/>
      <c r="I1794" s="174"/>
      <c r="J1794" s="174"/>
      <c r="K1794" s="175"/>
      <c r="L1794" s="175"/>
      <c r="M1794" s="170"/>
      <c r="N1794" s="170"/>
      <c r="O1794" s="176"/>
      <c r="P1794" s="173"/>
      <c r="Q1794" s="177"/>
      <c r="R1794" s="178"/>
      <c r="S1794" s="178"/>
      <c r="T1794" s="179"/>
      <c r="U1794" s="179"/>
      <c r="V1794" s="179"/>
      <c r="W1794" s="176"/>
      <c r="X1794" s="180"/>
      <c r="Y1794" s="170"/>
      <c r="Z1794" s="170"/>
    </row>
    <row r="1795" spans="1:26">
      <c r="A1795" s="170"/>
      <c r="B1795" s="171"/>
      <c r="C1795" s="170"/>
      <c r="D1795" s="172"/>
      <c r="E1795" s="172"/>
      <c r="F1795" s="173"/>
      <c r="G1795" s="172"/>
      <c r="H1795" s="172"/>
      <c r="I1795" s="174"/>
      <c r="J1795" s="174"/>
      <c r="K1795" s="175"/>
      <c r="L1795" s="175"/>
      <c r="M1795" s="170"/>
      <c r="N1795" s="170"/>
      <c r="O1795" s="176"/>
      <c r="P1795" s="173"/>
      <c r="Q1795" s="177"/>
      <c r="R1795" s="178"/>
      <c r="S1795" s="178"/>
      <c r="T1795" s="179"/>
      <c r="U1795" s="179"/>
      <c r="V1795" s="179"/>
      <c r="W1795" s="176"/>
      <c r="X1795" s="180"/>
      <c r="Y1795" s="170"/>
      <c r="Z1795" s="170"/>
    </row>
    <row r="1796" spans="1:26">
      <c r="A1796" s="170"/>
      <c r="B1796" s="171"/>
      <c r="C1796" s="170"/>
      <c r="D1796" s="172"/>
      <c r="E1796" s="172"/>
      <c r="F1796" s="173"/>
      <c r="G1796" s="172"/>
      <c r="H1796" s="172"/>
      <c r="I1796" s="174"/>
      <c r="J1796" s="174"/>
      <c r="K1796" s="175"/>
      <c r="L1796" s="175"/>
      <c r="M1796" s="170"/>
      <c r="N1796" s="170"/>
      <c r="O1796" s="176"/>
      <c r="P1796" s="173"/>
      <c r="Q1796" s="177"/>
      <c r="R1796" s="178"/>
      <c r="S1796" s="178"/>
      <c r="T1796" s="179"/>
      <c r="U1796" s="179"/>
      <c r="V1796" s="179"/>
      <c r="W1796" s="176"/>
      <c r="X1796" s="180"/>
      <c r="Y1796" s="170"/>
      <c r="Z1796" s="170"/>
    </row>
    <row r="1797" spans="1:26">
      <c r="A1797" s="170"/>
      <c r="B1797" s="171"/>
      <c r="C1797" s="170"/>
      <c r="D1797" s="172"/>
      <c r="E1797" s="172"/>
      <c r="F1797" s="173"/>
      <c r="G1797" s="172"/>
      <c r="H1797" s="172"/>
      <c r="I1797" s="174"/>
      <c r="J1797" s="174"/>
      <c r="K1797" s="175"/>
      <c r="L1797" s="175"/>
      <c r="M1797" s="170"/>
      <c r="N1797" s="170"/>
      <c r="O1797" s="176"/>
      <c r="P1797" s="173"/>
      <c r="Q1797" s="177"/>
      <c r="R1797" s="178"/>
      <c r="S1797" s="178"/>
      <c r="T1797" s="179"/>
      <c r="U1797" s="179"/>
      <c r="V1797" s="179"/>
      <c r="W1797" s="176"/>
      <c r="X1797" s="180"/>
      <c r="Y1797" s="170"/>
      <c r="Z1797" s="170"/>
    </row>
    <row r="1798" spans="1:26">
      <c r="A1798" s="170"/>
      <c r="B1798" s="171"/>
      <c r="C1798" s="170"/>
      <c r="D1798" s="172"/>
      <c r="E1798" s="172"/>
      <c r="F1798" s="173"/>
      <c r="G1798" s="172"/>
      <c r="H1798" s="172"/>
      <c r="I1798" s="174"/>
      <c r="J1798" s="174"/>
      <c r="K1798" s="175"/>
      <c r="L1798" s="175"/>
      <c r="M1798" s="170"/>
      <c r="N1798" s="170"/>
      <c r="O1798" s="176"/>
      <c r="P1798" s="173"/>
      <c r="Q1798" s="177"/>
      <c r="R1798" s="178"/>
      <c r="S1798" s="178"/>
      <c r="T1798" s="179"/>
      <c r="U1798" s="179"/>
      <c r="V1798" s="179"/>
      <c r="W1798" s="176"/>
      <c r="X1798" s="180"/>
      <c r="Y1798" s="170"/>
      <c r="Z1798" s="170"/>
    </row>
    <row r="1799" spans="1:26">
      <c r="A1799" s="170"/>
      <c r="B1799" s="171"/>
      <c r="C1799" s="170"/>
      <c r="D1799" s="172"/>
      <c r="E1799" s="172"/>
      <c r="F1799" s="173"/>
      <c r="G1799" s="172"/>
      <c r="H1799" s="172"/>
      <c r="I1799" s="174"/>
      <c r="J1799" s="174"/>
      <c r="K1799" s="175"/>
      <c r="L1799" s="175"/>
      <c r="M1799" s="170"/>
      <c r="N1799" s="170"/>
      <c r="O1799" s="176"/>
      <c r="P1799" s="173"/>
      <c r="Q1799" s="177"/>
      <c r="R1799" s="178"/>
      <c r="S1799" s="178"/>
      <c r="T1799" s="179"/>
      <c r="U1799" s="179"/>
      <c r="V1799" s="179"/>
      <c r="W1799" s="176"/>
      <c r="X1799" s="180"/>
      <c r="Y1799" s="170"/>
      <c r="Z1799" s="170"/>
    </row>
    <row r="1800" spans="1:26">
      <c r="A1800" s="170"/>
      <c r="B1800" s="171"/>
      <c r="C1800" s="170"/>
      <c r="D1800" s="172"/>
      <c r="E1800" s="172"/>
      <c r="F1800" s="173"/>
      <c r="G1800" s="172"/>
      <c r="H1800" s="172"/>
      <c r="I1800" s="174"/>
      <c r="J1800" s="174"/>
      <c r="K1800" s="175"/>
      <c r="L1800" s="175"/>
      <c r="M1800" s="170"/>
      <c r="N1800" s="170"/>
      <c r="O1800" s="176"/>
      <c r="P1800" s="173"/>
      <c r="Q1800" s="177"/>
      <c r="R1800" s="178"/>
      <c r="S1800" s="178"/>
      <c r="T1800" s="179"/>
      <c r="U1800" s="179"/>
      <c r="V1800" s="179"/>
      <c r="W1800" s="176"/>
      <c r="X1800" s="180"/>
      <c r="Y1800" s="170"/>
      <c r="Z1800" s="170"/>
    </row>
    <row r="1801" spans="1:26">
      <c r="A1801" s="170"/>
      <c r="B1801" s="171"/>
      <c r="C1801" s="170"/>
      <c r="D1801" s="172"/>
      <c r="E1801" s="172"/>
      <c r="F1801" s="173"/>
      <c r="G1801" s="172"/>
      <c r="H1801" s="172"/>
      <c r="I1801" s="174"/>
      <c r="J1801" s="174"/>
      <c r="K1801" s="175"/>
      <c r="L1801" s="175"/>
      <c r="M1801" s="170"/>
      <c r="N1801" s="170"/>
      <c r="O1801" s="176"/>
      <c r="P1801" s="173"/>
      <c r="Q1801" s="177"/>
      <c r="R1801" s="178"/>
      <c r="S1801" s="178"/>
      <c r="T1801" s="179"/>
      <c r="U1801" s="179"/>
      <c r="V1801" s="179"/>
      <c r="W1801" s="176"/>
      <c r="X1801" s="180"/>
      <c r="Y1801" s="170"/>
      <c r="Z1801" s="170"/>
    </row>
    <row r="1802" spans="1:26">
      <c r="A1802" s="170"/>
      <c r="B1802" s="171"/>
      <c r="C1802" s="170"/>
      <c r="D1802" s="172"/>
      <c r="E1802" s="172"/>
      <c r="F1802" s="173"/>
      <c r="G1802" s="172"/>
      <c r="H1802" s="172"/>
      <c r="I1802" s="174"/>
      <c r="J1802" s="174"/>
      <c r="K1802" s="175"/>
      <c r="L1802" s="175"/>
      <c r="M1802" s="170"/>
      <c r="N1802" s="170"/>
      <c r="O1802" s="176"/>
      <c r="P1802" s="173"/>
      <c r="Q1802" s="177"/>
      <c r="R1802" s="178"/>
      <c r="S1802" s="178"/>
      <c r="T1802" s="179"/>
      <c r="U1802" s="179"/>
      <c r="V1802" s="179"/>
      <c r="W1802" s="176"/>
      <c r="X1802" s="180"/>
      <c r="Y1802" s="170"/>
      <c r="Z1802" s="170"/>
    </row>
    <row r="1803" spans="1:26">
      <c r="A1803" s="170"/>
      <c r="B1803" s="171"/>
      <c r="C1803" s="170"/>
      <c r="D1803" s="172"/>
      <c r="E1803" s="172"/>
      <c r="F1803" s="173"/>
      <c r="G1803" s="172"/>
      <c r="H1803" s="172"/>
      <c r="I1803" s="174"/>
      <c r="J1803" s="174"/>
      <c r="K1803" s="175"/>
      <c r="L1803" s="175"/>
      <c r="M1803" s="170"/>
      <c r="N1803" s="170"/>
      <c r="O1803" s="176"/>
      <c r="P1803" s="173"/>
      <c r="Q1803" s="177"/>
      <c r="R1803" s="178"/>
      <c r="S1803" s="178"/>
      <c r="T1803" s="179"/>
      <c r="U1803" s="179"/>
      <c r="V1803" s="179"/>
      <c r="W1803" s="176"/>
      <c r="X1803" s="180"/>
      <c r="Y1803" s="170"/>
      <c r="Z1803" s="170"/>
    </row>
    <row r="1804" spans="1:26">
      <c r="A1804" s="170"/>
      <c r="B1804" s="171"/>
      <c r="C1804" s="170"/>
      <c r="D1804" s="172"/>
      <c r="E1804" s="172"/>
      <c r="F1804" s="173"/>
      <c r="G1804" s="172"/>
      <c r="H1804" s="172"/>
      <c r="I1804" s="174"/>
      <c r="J1804" s="174"/>
      <c r="K1804" s="175"/>
      <c r="L1804" s="175"/>
      <c r="M1804" s="170"/>
      <c r="N1804" s="170"/>
      <c r="O1804" s="176"/>
      <c r="P1804" s="173"/>
      <c r="Q1804" s="177"/>
      <c r="R1804" s="178"/>
      <c r="S1804" s="178"/>
      <c r="T1804" s="179"/>
      <c r="U1804" s="179"/>
      <c r="V1804" s="179"/>
      <c r="W1804" s="176"/>
      <c r="X1804" s="180"/>
      <c r="Y1804" s="170"/>
      <c r="Z1804" s="170"/>
    </row>
    <row r="1805" spans="1:26">
      <c r="A1805" s="170"/>
      <c r="B1805" s="171"/>
      <c r="C1805" s="170"/>
      <c r="D1805" s="172"/>
      <c r="E1805" s="172"/>
      <c r="F1805" s="173"/>
      <c r="G1805" s="172"/>
      <c r="H1805" s="172"/>
      <c r="I1805" s="174"/>
      <c r="J1805" s="174"/>
      <c r="K1805" s="175"/>
      <c r="L1805" s="175"/>
      <c r="M1805" s="170"/>
      <c r="N1805" s="170"/>
      <c r="O1805" s="176"/>
      <c r="P1805" s="173"/>
      <c r="Q1805" s="177"/>
      <c r="R1805" s="178"/>
      <c r="S1805" s="178"/>
      <c r="T1805" s="179"/>
      <c r="U1805" s="179"/>
      <c r="V1805" s="179"/>
      <c r="W1805" s="176"/>
      <c r="X1805" s="180"/>
      <c r="Y1805" s="170"/>
      <c r="Z1805" s="170"/>
    </row>
    <row r="1806" spans="1:26">
      <c r="A1806" s="170"/>
      <c r="B1806" s="171"/>
      <c r="C1806" s="170"/>
      <c r="D1806" s="172"/>
      <c r="E1806" s="172"/>
      <c r="F1806" s="173"/>
      <c r="G1806" s="172"/>
      <c r="H1806" s="172"/>
      <c r="I1806" s="174"/>
      <c r="J1806" s="174"/>
      <c r="K1806" s="175"/>
      <c r="L1806" s="175"/>
      <c r="M1806" s="170"/>
      <c r="N1806" s="170"/>
      <c r="O1806" s="176"/>
      <c r="P1806" s="173"/>
      <c r="Q1806" s="177"/>
      <c r="R1806" s="178"/>
      <c r="S1806" s="178"/>
      <c r="T1806" s="179"/>
      <c r="U1806" s="179"/>
      <c r="V1806" s="179"/>
      <c r="W1806" s="176"/>
      <c r="X1806" s="180"/>
      <c r="Y1806" s="170"/>
      <c r="Z1806" s="170"/>
    </row>
    <row r="1807" spans="1:26">
      <c r="A1807" s="170"/>
      <c r="B1807" s="171"/>
      <c r="C1807" s="170"/>
      <c r="D1807" s="172"/>
      <c r="E1807" s="172"/>
      <c r="F1807" s="173"/>
      <c r="G1807" s="172"/>
      <c r="H1807" s="172"/>
      <c r="I1807" s="174"/>
      <c r="J1807" s="174"/>
      <c r="K1807" s="175"/>
      <c r="L1807" s="175"/>
      <c r="M1807" s="170"/>
      <c r="N1807" s="170"/>
      <c r="O1807" s="176"/>
      <c r="P1807" s="173"/>
      <c r="Q1807" s="177"/>
      <c r="R1807" s="178"/>
      <c r="S1807" s="178"/>
      <c r="T1807" s="179"/>
      <c r="U1807" s="179"/>
      <c r="V1807" s="179"/>
      <c r="W1807" s="176"/>
      <c r="X1807" s="180"/>
      <c r="Y1807" s="170"/>
      <c r="Z1807" s="170"/>
    </row>
    <row r="1808" spans="1:26">
      <c r="A1808" s="170"/>
      <c r="B1808" s="171"/>
      <c r="C1808" s="170"/>
      <c r="D1808" s="172"/>
      <c r="E1808" s="172"/>
      <c r="F1808" s="173"/>
      <c r="G1808" s="172"/>
      <c r="H1808" s="172"/>
      <c r="I1808" s="174"/>
      <c r="J1808" s="174"/>
      <c r="K1808" s="175"/>
      <c r="L1808" s="175"/>
      <c r="M1808" s="170"/>
      <c r="N1808" s="170"/>
      <c r="O1808" s="176"/>
      <c r="P1808" s="173"/>
      <c r="Q1808" s="177"/>
      <c r="R1808" s="178"/>
      <c r="S1808" s="178"/>
      <c r="T1808" s="179"/>
      <c r="U1808" s="179"/>
      <c r="V1808" s="179"/>
      <c r="W1808" s="176"/>
      <c r="X1808" s="180"/>
      <c r="Y1808" s="170"/>
      <c r="Z1808" s="170"/>
    </row>
    <row r="1809" spans="1:26">
      <c r="A1809" s="170"/>
      <c r="B1809" s="171"/>
      <c r="C1809" s="170"/>
      <c r="D1809" s="172"/>
      <c r="E1809" s="172"/>
      <c r="F1809" s="173"/>
      <c r="G1809" s="172"/>
      <c r="H1809" s="172"/>
      <c r="I1809" s="174"/>
      <c r="J1809" s="174"/>
      <c r="K1809" s="175"/>
      <c r="L1809" s="175"/>
      <c r="M1809" s="170"/>
      <c r="N1809" s="170"/>
      <c r="O1809" s="176"/>
      <c r="P1809" s="173"/>
      <c r="Q1809" s="177"/>
      <c r="R1809" s="178"/>
      <c r="S1809" s="178"/>
      <c r="T1809" s="179"/>
      <c r="U1809" s="179"/>
      <c r="V1809" s="179"/>
      <c r="W1809" s="176"/>
      <c r="X1809" s="180"/>
      <c r="Y1809" s="170"/>
      <c r="Z1809" s="170"/>
    </row>
    <row r="1810" spans="1:26">
      <c r="A1810" s="170"/>
      <c r="B1810" s="171"/>
      <c r="C1810" s="170"/>
      <c r="D1810" s="172"/>
      <c r="E1810" s="172"/>
      <c r="F1810" s="173"/>
      <c r="G1810" s="172"/>
      <c r="H1810" s="172"/>
      <c r="I1810" s="174"/>
      <c r="J1810" s="174"/>
      <c r="K1810" s="175"/>
      <c r="L1810" s="175"/>
      <c r="M1810" s="170"/>
      <c r="N1810" s="170"/>
      <c r="O1810" s="176"/>
      <c r="P1810" s="173"/>
      <c r="Q1810" s="177"/>
      <c r="R1810" s="178"/>
      <c r="S1810" s="178"/>
      <c r="T1810" s="179"/>
      <c r="U1810" s="179"/>
      <c r="V1810" s="179"/>
      <c r="W1810" s="176"/>
      <c r="X1810" s="180"/>
      <c r="Y1810" s="170"/>
      <c r="Z1810" s="170"/>
    </row>
    <row r="1811" spans="1:26">
      <c r="A1811" s="170"/>
      <c r="B1811" s="171"/>
      <c r="C1811" s="170"/>
      <c r="D1811" s="172"/>
      <c r="E1811" s="172"/>
      <c r="F1811" s="173"/>
      <c r="G1811" s="172"/>
      <c r="H1811" s="172"/>
      <c r="I1811" s="174"/>
      <c r="J1811" s="174"/>
      <c r="K1811" s="175"/>
      <c r="L1811" s="175"/>
      <c r="M1811" s="170"/>
      <c r="N1811" s="170"/>
      <c r="O1811" s="176"/>
      <c r="P1811" s="173"/>
      <c r="Q1811" s="177"/>
      <c r="R1811" s="178"/>
      <c r="S1811" s="178"/>
      <c r="T1811" s="179"/>
      <c r="U1811" s="179"/>
      <c r="V1811" s="179"/>
      <c r="W1811" s="176"/>
      <c r="X1811" s="180"/>
      <c r="Y1811" s="170"/>
      <c r="Z1811" s="170"/>
    </row>
    <row r="1812" spans="1:26">
      <c r="A1812" s="170"/>
      <c r="B1812" s="171"/>
      <c r="C1812" s="170"/>
      <c r="D1812" s="172"/>
      <c r="E1812" s="172"/>
      <c r="F1812" s="173"/>
      <c r="G1812" s="172"/>
      <c r="H1812" s="172"/>
      <c r="I1812" s="174"/>
      <c r="J1812" s="174"/>
      <c r="K1812" s="175"/>
      <c r="L1812" s="175"/>
      <c r="M1812" s="170"/>
      <c r="N1812" s="170"/>
      <c r="O1812" s="176"/>
      <c r="P1812" s="173"/>
      <c r="Q1812" s="177"/>
      <c r="R1812" s="178"/>
      <c r="S1812" s="178"/>
      <c r="T1812" s="179"/>
      <c r="U1812" s="179"/>
      <c r="V1812" s="179"/>
      <c r="W1812" s="176"/>
      <c r="X1812" s="180"/>
      <c r="Y1812" s="170"/>
      <c r="Z1812" s="170"/>
    </row>
    <row r="1813" spans="1:26">
      <c r="A1813" s="170"/>
      <c r="B1813" s="171"/>
      <c r="C1813" s="170"/>
      <c r="D1813" s="172"/>
      <c r="E1813" s="172"/>
      <c r="F1813" s="173"/>
      <c r="G1813" s="172"/>
      <c r="H1813" s="172"/>
      <c r="I1813" s="174"/>
      <c r="J1813" s="174"/>
      <c r="K1813" s="175"/>
      <c r="L1813" s="175"/>
      <c r="M1813" s="170"/>
      <c r="N1813" s="170"/>
      <c r="O1813" s="176"/>
      <c r="P1813" s="173"/>
      <c r="Q1813" s="177"/>
      <c r="R1813" s="178"/>
      <c r="S1813" s="178"/>
      <c r="T1813" s="179"/>
      <c r="U1813" s="179"/>
      <c r="V1813" s="179"/>
      <c r="W1813" s="176"/>
      <c r="X1813" s="180"/>
      <c r="Y1813" s="170"/>
      <c r="Z1813" s="170"/>
    </row>
    <row r="1814" spans="1:26">
      <c r="A1814" s="170"/>
      <c r="B1814" s="171"/>
      <c r="C1814" s="170"/>
      <c r="D1814" s="172"/>
      <c r="E1814" s="172"/>
      <c r="F1814" s="173"/>
      <c r="G1814" s="172"/>
      <c r="H1814" s="172"/>
      <c r="I1814" s="174"/>
      <c r="J1814" s="174"/>
      <c r="K1814" s="175"/>
      <c r="L1814" s="175"/>
      <c r="M1814" s="170"/>
      <c r="N1814" s="170"/>
      <c r="O1814" s="176"/>
      <c r="P1814" s="173"/>
      <c r="Q1814" s="177"/>
      <c r="R1814" s="178"/>
      <c r="S1814" s="178"/>
      <c r="T1814" s="179"/>
      <c r="U1814" s="179"/>
      <c r="V1814" s="179"/>
      <c r="W1814" s="176"/>
      <c r="X1814" s="180"/>
      <c r="Y1814" s="170"/>
      <c r="Z1814" s="170"/>
    </row>
    <row r="1815" spans="1:26">
      <c r="A1815" s="170"/>
      <c r="B1815" s="171"/>
      <c r="C1815" s="170"/>
      <c r="D1815" s="172"/>
      <c r="E1815" s="172"/>
      <c r="F1815" s="173"/>
      <c r="G1815" s="172"/>
      <c r="H1815" s="172"/>
      <c r="I1815" s="174"/>
      <c r="J1815" s="174"/>
      <c r="K1815" s="175"/>
      <c r="L1815" s="175"/>
      <c r="M1815" s="170"/>
      <c r="N1815" s="170"/>
      <c r="O1815" s="176"/>
      <c r="P1815" s="173"/>
      <c r="Q1815" s="177"/>
      <c r="R1815" s="178"/>
      <c r="S1815" s="178"/>
      <c r="T1815" s="179"/>
      <c r="U1815" s="179"/>
      <c r="V1815" s="179"/>
      <c r="W1815" s="176"/>
      <c r="X1815" s="180"/>
      <c r="Y1815" s="170"/>
      <c r="Z1815" s="170"/>
    </row>
    <row r="1816" spans="1:26">
      <c r="A1816" s="170"/>
      <c r="B1816" s="171"/>
      <c r="C1816" s="170"/>
      <c r="D1816" s="172"/>
      <c r="E1816" s="172"/>
      <c r="F1816" s="173"/>
      <c r="G1816" s="172"/>
      <c r="H1816" s="172"/>
      <c r="I1816" s="174"/>
      <c r="J1816" s="174"/>
      <c r="K1816" s="175"/>
      <c r="L1816" s="175"/>
      <c r="M1816" s="170"/>
      <c r="N1816" s="170"/>
      <c r="O1816" s="176"/>
      <c r="P1816" s="173"/>
      <c r="Q1816" s="177"/>
      <c r="R1816" s="178"/>
      <c r="S1816" s="178"/>
      <c r="T1816" s="179"/>
      <c r="U1816" s="179"/>
      <c r="V1816" s="179"/>
      <c r="W1816" s="176"/>
      <c r="X1816" s="180"/>
      <c r="Y1816" s="170"/>
      <c r="Z1816" s="170"/>
    </row>
    <row r="1817" spans="1:26">
      <c r="A1817" s="170"/>
      <c r="B1817" s="171"/>
      <c r="C1817" s="170"/>
      <c r="D1817" s="172"/>
      <c r="E1817" s="172"/>
      <c r="F1817" s="173"/>
      <c r="G1817" s="172"/>
      <c r="H1817" s="172"/>
      <c r="I1817" s="174"/>
      <c r="J1817" s="174"/>
      <c r="K1817" s="175"/>
      <c r="L1817" s="175"/>
      <c r="M1817" s="170"/>
      <c r="N1817" s="170"/>
      <c r="O1817" s="176"/>
      <c r="P1817" s="173"/>
      <c r="Q1817" s="177"/>
      <c r="R1817" s="178"/>
      <c r="S1817" s="178"/>
      <c r="T1817" s="179"/>
      <c r="U1817" s="179"/>
      <c r="V1817" s="179"/>
      <c r="W1817" s="176"/>
      <c r="X1817" s="180"/>
      <c r="Y1817" s="170"/>
      <c r="Z1817" s="170"/>
    </row>
    <row r="1818" spans="1:26">
      <c r="A1818" s="170"/>
      <c r="B1818" s="171"/>
      <c r="C1818" s="170"/>
      <c r="D1818" s="172"/>
      <c r="E1818" s="172"/>
      <c r="F1818" s="173"/>
      <c r="G1818" s="172"/>
      <c r="H1818" s="172"/>
      <c r="I1818" s="174"/>
      <c r="J1818" s="174"/>
      <c r="K1818" s="175"/>
      <c r="L1818" s="175"/>
      <c r="M1818" s="170"/>
      <c r="N1818" s="170"/>
      <c r="O1818" s="176"/>
      <c r="P1818" s="173"/>
      <c r="Q1818" s="177"/>
      <c r="R1818" s="178"/>
      <c r="S1818" s="178"/>
      <c r="T1818" s="179"/>
      <c r="U1818" s="179"/>
      <c r="V1818" s="179"/>
      <c r="W1818" s="176"/>
      <c r="X1818" s="180"/>
      <c r="Y1818" s="170"/>
      <c r="Z1818" s="170"/>
    </row>
    <row r="1819" spans="1:26">
      <c r="A1819" s="170"/>
      <c r="B1819" s="171"/>
      <c r="C1819" s="170"/>
      <c r="D1819" s="172"/>
      <c r="E1819" s="172"/>
      <c r="F1819" s="173"/>
      <c r="G1819" s="172"/>
      <c r="H1819" s="172"/>
      <c r="I1819" s="174"/>
      <c r="J1819" s="174"/>
      <c r="K1819" s="175"/>
      <c r="L1819" s="175"/>
      <c r="M1819" s="170"/>
      <c r="N1819" s="170"/>
      <c r="O1819" s="176"/>
      <c r="P1819" s="173"/>
      <c r="Q1819" s="177"/>
      <c r="R1819" s="178"/>
      <c r="S1819" s="178"/>
      <c r="T1819" s="179"/>
      <c r="U1819" s="179"/>
      <c r="V1819" s="179"/>
      <c r="W1819" s="176"/>
      <c r="X1819" s="180"/>
      <c r="Y1819" s="170"/>
      <c r="Z1819" s="170"/>
    </row>
    <row r="1820" spans="1:26">
      <c r="A1820" s="170"/>
      <c r="B1820" s="171"/>
      <c r="C1820" s="170"/>
      <c r="D1820" s="172"/>
      <c r="E1820" s="172"/>
      <c r="F1820" s="173"/>
      <c r="G1820" s="172"/>
      <c r="H1820" s="172"/>
      <c r="I1820" s="174"/>
      <c r="J1820" s="174"/>
      <c r="K1820" s="175"/>
      <c r="L1820" s="175"/>
      <c r="M1820" s="170"/>
      <c r="N1820" s="170"/>
      <c r="O1820" s="176"/>
      <c r="P1820" s="173"/>
      <c r="Q1820" s="177"/>
      <c r="R1820" s="178"/>
      <c r="S1820" s="178"/>
      <c r="T1820" s="179"/>
      <c r="U1820" s="179"/>
      <c r="V1820" s="179"/>
      <c r="W1820" s="176"/>
      <c r="X1820" s="180"/>
      <c r="Y1820" s="170"/>
      <c r="Z1820" s="170"/>
    </row>
    <row r="1821" spans="1:26">
      <c r="A1821" s="170"/>
      <c r="B1821" s="171"/>
      <c r="C1821" s="170"/>
      <c r="D1821" s="172"/>
      <c r="E1821" s="172"/>
      <c r="F1821" s="173"/>
      <c r="G1821" s="172"/>
      <c r="H1821" s="172"/>
      <c r="I1821" s="174"/>
      <c r="J1821" s="174"/>
      <c r="K1821" s="175"/>
      <c r="L1821" s="175"/>
      <c r="M1821" s="170"/>
      <c r="N1821" s="170"/>
      <c r="O1821" s="176"/>
      <c r="P1821" s="173"/>
      <c r="Q1821" s="177"/>
      <c r="R1821" s="178"/>
      <c r="S1821" s="178"/>
      <c r="T1821" s="179"/>
      <c r="U1821" s="179"/>
      <c r="V1821" s="179"/>
      <c r="W1821" s="176"/>
      <c r="X1821" s="180"/>
      <c r="Y1821" s="170"/>
      <c r="Z1821" s="170"/>
    </row>
    <row r="1822" spans="1:26">
      <c r="A1822" s="170"/>
      <c r="B1822" s="171"/>
      <c r="C1822" s="170"/>
      <c r="D1822" s="172"/>
      <c r="E1822" s="172"/>
      <c r="F1822" s="173"/>
      <c r="G1822" s="172"/>
      <c r="H1822" s="172"/>
      <c r="I1822" s="174"/>
      <c r="J1822" s="174"/>
      <c r="K1822" s="175"/>
      <c r="L1822" s="175"/>
      <c r="M1822" s="170"/>
      <c r="N1822" s="170"/>
      <c r="O1822" s="176"/>
      <c r="P1822" s="173"/>
      <c r="Q1822" s="177"/>
      <c r="R1822" s="178"/>
      <c r="S1822" s="178"/>
      <c r="T1822" s="179"/>
      <c r="U1822" s="179"/>
      <c r="V1822" s="179"/>
      <c r="W1822" s="176"/>
      <c r="X1822" s="180"/>
      <c r="Y1822" s="170"/>
      <c r="Z1822" s="170"/>
    </row>
    <row r="1823" spans="1:26">
      <c r="A1823" s="170"/>
      <c r="B1823" s="171"/>
      <c r="C1823" s="170"/>
      <c r="D1823" s="172"/>
      <c r="E1823" s="172"/>
      <c r="F1823" s="173"/>
      <c r="G1823" s="172"/>
      <c r="H1823" s="172"/>
      <c r="I1823" s="174"/>
      <c r="J1823" s="174"/>
      <c r="K1823" s="175"/>
      <c r="L1823" s="175"/>
      <c r="M1823" s="170"/>
      <c r="N1823" s="170"/>
      <c r="O1823" s="176"/>
      <c r="P1823" s="173"/>
      <c r="Q1823" s="177"/>
      <c r="R1823" s="178"/>
      <c r="S1823" s="178"/>
      <c r="T1823" s="179"/>
      <c r="U1823" s="179"/>
      <c r="V1823" s="179"/>
      <c r="W1823" s="176"/>
      <c r="X1823" s="180"/>
      <c r="Y1823" s="170"/>
      <c r="Z1823" s="170"/>
    </row>
    <row r="1824" spans="1:26">
      <c r="A1824" s="170"/>
      <c r="B1824" s="171"/>
      <c r="C1824" s="170"/>
      <c r="D1824" s="172"/>
      <c r="E1824" s="172"/>
      <c r="F1824" s="173"/>
      <c r="G1824" s="172"/>
      <c r="H1824" s="172"/>
      <c r="I1824" s="174"/>
      <c r="J1824" s="174"/>
      <c r="K1824" s="175"/>
      <c r="L1824" s="175"/>
      <c r="M1824" s="170"/>
      <c r="N1824" s="170"/>
      <c r="O1824" s="176"/>
      <c r="P1824" s="173"/>
      <c r="Q1824" s="177"/>
      <c r="R1824" s="178"/>
      <c r="S1824" s="178"/>
      <c r="T1824" s="179"/>
      <c r="U1824" s="179"/>
      <c r="V1824" s="179"/>
      <c r="W1824" s="176"/>
      <c r="X1824" s="180"/>
      <c r="Y1824" s="170"/>
      <c r="Z1824" s="170"/>
    </row>
    <row r="1825" spans="1:26">
      <c r="A1825" s="170"/>
      <c r="B1825" s="171"/>
      <c r="C1825" s="170"/>
      <c r="D1825" s="172"/>
      <c r="E1825" s="172"/>
      <c r="F1825" s="173"/>
      <c r="G1825" s="172"/>
      <c r="H1825" s="172"/>
      <c r="I1825" s="174"/>
      <c r="J1825" s="174"/>
      <c r="K1825" s="175"/>
      <c r="L1825" s="175"/>
      <c r="M1825" s="170"/>
      <c r="N1825" s="170"/>
      <c r="O1825" s="176"/>
      <c r="P1825" s="173"/>
      <c r="Q1825" s="177"/>
      <c r="R1825" s="178"/>
      <c r="S1825" s="178"/>
      <c r="T1825" s="179"/>
      <c r="U1825" s="179"/>
      <c r="V1825" s="179"/>
      <c r="W1825" s="176"/>
      <c r="X1825" s="180"/>
      <c r="Y1825" s="170"/>
      <c r="Z1825" s="170"/>
    </row>
    <row r="1826" spans="1:26">
      <c r="A1826" s="170"/>
      <c r="B1826" s="171"/>
      <c r="C1826" s="170"/>
      <c r="D1826" s="172"/>
      <c r="E1826" s="172"/>
      <c r="F1826" s="173"/>
      <c r="G1826" s="172"/>
      <c r="H1826" s="172"/>
      <c r="I1826" s="174"/>
      <c r="J1826" s="174"/>
      <c r="K1826" s="175"/>
      <c r="L1826" s="175"/>
      <c r="M1826" s="170"/>
      <c r="N1826" s="170"/>
      <c r="O1826" s="176"/>
      <c r="P1826" s="173"/>
      <c r="Q1826" s="177"/>
      <c r="R1826" s="178"/>
      <c r="S1826" s="178"/>
      <c r="T1826" s="179"/>
      <c r="U1826" s="179"/>
      <c r="V1826" s="179"/>
      <c r="W1826" s="176"/>
      <c r="X1826" s="180"/>
      <c r="Y1826" s="170"/>
      <c r="Z1826" s="170"/>
    </row>
    <row r="1827" spans="1:26">
      <c r="A1827" s="170"/>
      <c r="B1827" s="171"/>
      <c r="C1827" s="170"/>
      <c r="D1827" s="172"/>
      <c r="E1827" s="172"/>
      <c r="F1827" s="173"/>
      <c r="G1827" s="172"/>
      <c r="H1827" s="172"/>
      <c r="I1827" s="174"/>
      <c r="J1827" s="174"/>
      <c r="K1827" s="175"/>
      <c r="L1827" s="175"/>
      <c r="M1827" s="170"/>
      <c r="N1827" s="170"/>
      <c r="O1827" s="176"/>
      <c r="P1827" s="173"/>
      <c r="Q1827" s="177"/>
      <c r="R1827" s="178"/>
      <c r="S1827" s="178"/>
      <c r="T1827" s="179"/>
      <c r="U1827" s="179"/>
      <c r="V1827" s="179"/>
      <c r="W1827" s="176"/>
      <c r="X1827" s="180"/>
      <c r="Y1827" s="170"/>
      <c r="Z1827" s="170"/>
    </row>
    <row r="1828" spans="1:26">
      <c r="A1828" s="170"/>
      <c r="B1828" s="171"/>
      <c r="C1828" s="170"/>
      <c r="D1828" s="172"/>
      <c r="E1828" s="172"/>
      <c r="F1828" s="173"/>
      <c r="G1828" s="172"/>
      <c r="H1828" s="172"/>
      <c r="I1828" s="174"/>
      <c r="J1828" s="174"/>
      <c r="K1828" s="175"/>
      <c r="L1828" s="175"/>
      <c r="M1828" s="170"/>
      <c r="N1828" s="170"/>
      <c r="O1828" s="176"/>
      <c r="P1828" s="173"/>
      <c r="Q1828" s="177"/>
      <c r="R1828" s="178"/>
      <c r="S1828" s="178"/>
      <c r="T1828" s="179"/>
      <c r="U1828" s="179"/>
      <c r="V1828" s="179"/>
      <c r="W1828" s="176"/>
      <c r="X1828" s="180"/>
      <c r="Y1828" s="170"/>
      <c r="Z1828" s="170"/>
    </row>
    <row r="1829" spans="1:26">
      <c r="A1829" s="170"/>
      <c r="B1829" s="171"/>
      <c r="C1829" s="170"/>
      <c r="D1829" s="172"/>
      <c r="E1829" s="172"/>
      <c r="F1829" s="173"/>
      <c r="G1829" s="172"/>
      <c r="H1829" s="172"/>
      <c r="I1829" s="174"/>
      <c r="J1829" s="174"/>
      <c r="K1829" s="175"/>
      <c r="L1829" s="175"/>
      <c r="M1829" s="170"/>
      <c r="N1829" s="170"/>
      <c r="O1829" s="176"/>
      <c r="P1829" s="173"/>
      <c r="Q1829" s="177"/>
      <c r="R1829" s="178"/>
      <c r="S1829" s="178"/>
      <c r="T1829" s="179"/>
      <c r="U1829" s="179"/>
      <c r="V1829" s="179"/>
      <c r="W1829" s="176"/>
      <c r="X1829" s="180"/>
      <c r="Y1829" s="170"/>
      <c r="Z1829" s="170"/>
    </row>
    <row r="1830" spans="1:26">
      <c r="A1830" s="170"/>
      <c r="B1830" s="171"/>
      <c r="C1830" s="170"/>
      <c r="D1830" s="172"/>
      <c r="E1830" s="172"/>
      <c r="F1830" s="173"/>
      <c r="G1830" s="172"/>
      <c r="H1830" s="172"/>
      <c r="I1830" s="174"/>
      <c r="J1830" s="174"/>
      <c r="K1830" s="175"/>
      <c r="L1830" s="175"/>
      <c r="M1830" s="170"/>
      <c r="N1830" s="170"/>
      <c r="O1830" s="176"/>
      <c r="P1830" s="173"/>
      <c r="Q1830" s="177"/>
      <c r="R1830" s="178"/>
      <c r="S1830" s="178"/>
      <c r="T1830" s="179"/>
      <c r="U1830" s="179"/>
      <c r="V1830" s="179"/>
      <c r="W1830" s="176"/>
      <c r="X1830" s="180"/>
      <c r="Y1830" s="170"/>
      <c r="Z1830" s="170"/>
    </row>
    <row r="1831" spans="1:26">
      <c r="A1831" s="170"/>
      <c r="B1831" s="171"/>
      <c r="C1831" s="170"/>
      <c r="D1831" s="172"/>
      <c r="E1831" s="172"/>
      <c r="F1831" s="173"/>
      <c r="G1831" s="172"/>
      <c r="H1831" s="172"/>
      <c r="I1831" s="174"/>
      <c r="J1831" s="174"/>
      <c r="K1831" s="175"/>
      <c r="L1831" s="175"/>
      <c r="M1831" s="170"/>
      <c r="N1831" s="170"/>
      <c r="O1831" s="176"/>
      <c r="P1831" s="173"/>
      <c r="Q1831" s="177"/>
      <c r="R1831" s="178"/>
      <c r="S1831" s="178"/>
      <c r="T1831" s="179"/>
      <c r="U1831" s="179"/>
      <c r="V1831" s="179"/>
      <c r="W1831" s="176"/>
      <c r="X1831" s="180"/>
      <c r="Y1831" s="170"/>
      <c r="Z1831" s="170"/>
    </row>
    <row r="1832" spans="1:26">
      <c r="A1832" s="170"/>
      <c r="B1832" s="171"/>
      <c r="C1832" s="170"/>
      <c r="D1832" s="172"/>
      <c r="E1832" s="172"/>
      <c r="F1832" s="173"/>
      <c r="G1832" s="172"/>
      <c r="H1832" s="172"/>
      <c r="I1832" s="174"/>
      <c r="J1832" s="174"/>
      <c r="K1832" s="175"/>
      <c r="L1832" s="175"/>
      <c r="M1832" s="170"/>
      <c r="N1832" s="170"/>
      <c r="O1832" s="176"/>
      <c r="P1832" s="173"/>
      <c r="Q1832" s="177"/>
      <c r="R1832" s="178"/>
      <c r="S1832" s="178"/>
      <c r="T1832" s="179"/>
      <c r="U1832" s="179"/>
      <c r="V1832" s="179"/>
      <c r="W1832" s="176"/>
      <c r="X1832" s="180"/>
      <c r="Y1832" s="170"/>
      <c r="Z1832" s="170"/>
    </row>
    <row r="1833" spans="1:26">
      <c r="A1833" s="170"/>
      <c r="B1833" s="171"/>
      <c r="C1833" s="170"/>
      <c r="D1833" s="172"/>
      <c r="E1833" s="172"/>
      <c r="F1833" s="173"/>
      <c r="G1833" s="172"/>
      <c r="H1833" s="172"/>
      <c r="I1833" s="174"/>
      <c r="J1833" s="174"/>
      <c r="K1833" s="175"/>
      <c r="L1833" s="175"/>
      <c r="M1833" s="170"/>
      <c r="N1833" s="170"/>
      <c r="O1833" s="176"/>
      <c r="P1833" s="173"/>
      <c r="Q1833" s="177"/>
      <c r="R1833" s="178"/>
      <c r="S1833" s="178"/>
      <c r="T1833" s="179"/>
      <c r="U1833" s="179"/>
      <c r="V1833" s="179"/>
      <c r="W1833" s="176"/>
      <c r="X1833" s="180"/>
      <c r="Y1833" s="170"/>
      <c r="Z1833" s="170"/>
    </row>
    <row r="1834" spans="1:26">
      <c r="A1834" s="170"/>
      <c r="B1834" s="171"/>
      <c r="C1834" s="170"/>
      <c r="D1834" s="172"/>
      <c r="E1834" s="172"/>
      <c r="F1834" s="173"/>
      <c r="G1834" s="172"/>
      <c r="H1834" s="172"/>
      <c r="I1834" s="174"/>
      <c r="J1834" s="174"/>
      <c r="K1834" s="175"/>
      <c r="L1834" s="175"/>
      <c r="M1834" s="170"/>
      <c r="N1834" s="170"/>
      <c r="O1834" s="176"/>
      <c r="P1834" s="173"/>
      <c r="Q1834" s="177"/>
      <c r="R1834" s="178"/>
      <c r="S1834" s="178"/>
      <c r="T1834" s="179"/>
      <c r="U1834" s="179"/>
      <c r="V1834" s="179"/>
      <c r="W1834" s="176"/>
      <c r="X1834" s="180"/>
      <c r="Y1834" s="170"/>
      <c r="Z1834" s="170"/>
    </row>
    <row r="1835" spans="1:26">
      <c r="A1835" s="170"/>
      <c r="B1835" s="171"/>
      <c r="C1835" s="170"/>
      <c r="D1835" s="172"/>
      <c r="E1835" s="172"/>
      <c r="F1835" s="173"/>
      <c r="G1835" s="172"/>
      <c r="H1835" s="172"/>
      <c r="I1835" s="174"/>
      <c r="J1835" s="174"/>
      <c r="K1835" s="175"/>
      <c r="L1835" s="175"/>
      <c r="M1835" s="170"/>
      <c r="N1835" s="170"/>
      <c r="O1835" s="176"/>
      <c r="P1835" s="173"/>
      <c r="Q1835" s="177"/>
      <c r="R1835" s="178"/>
      <c r="S1835" s="178"/>
      <c r="T1835" s="179"/>
      <c r="U1835" s="179"/>
      <c r="V1835" s="179"/>
      <c r="W1835" s="176"/>
      <c r="X1835" s="180"/>
      <c r="Y1835" s="170"/>
      <c r="Z1835" s="170"/>
    </row>
    <row r="1836" spans="1:26">
      <c r="A1836" s="170"/>
      <c r="B1836" s="171"/>
      <c r="C1836" s="170"/>
      <c r="D1836" s="172"/>
      <c r="E1836" s="172"/>
      <c r="F1836" s="173"/>
      <c r="G1836" s="172"/>
      <c r="H1836" s="172"/>
      <c r="I1836" s="174"/>
      <c r="J1836" s="174"/>
      <c r="K1836" s="175"/>
      <c r="L1836" s="175"/>
      <c r="M1836" s="170"/>
      <c r="N1836" s="170"/>
      <c r="O1836" s="176"/>
      <c r="P1836" s="173"/>
      <c r="Q1836" s="177"/>
      <c r="R1836" s="178"/>
      <c r="S1836" s="178"/>
      <c r="T1836" s="179"/>
      <c r="U1836" s="179"/>
      <c r="V1836" s="179"/>
      <c r="W1836" s="176"/>
      <c r="X1836" s="180"/>
      <c r="Y1836" s="170"/>
      <c r="Z1836" s="170"/>
    </row>
    <row r="1837" spans="1:26">
      <c r="A1837" s="170"/>
      <c r="B1837" s="171"/>
      <c r="C1837" s="170"/>
      <c r="D1837" s="172"/>
      <c r="E1837" s="172"/>
      <c r="F1837" s="173"/>
      <c r="G1837" s="172"/>
      <c r="H1837" s="172"/>
      <c r="I1837" s="174"/>
      <c r="J1837" s="174"/>
      <c r="K1837" s="175"/>
      <c r="L1837" s="175"/>
      <c r="M1837" s="170"/>
      <c r="N1837" s="170"/>
      <c r="O1837" s="176"/>
      <c r="P1837" s="173"/>
      <c r="Q1837" s="177"/>
      <c r="R1837" s="178"/>
      <c r="S1837" s="178"/>
      <c r="T1837" s="179"/>
      <c r="U1837" s="179"/>
      <c r="V1837" s="179"/>
      <c r="W1837" s="176"/>
      <c r="X1837" s="180"/>
      <c r="Y1837" s="170"/>
      <c r="Z1837" s="170"/>
    </row>
    <row r="1838" spans="1:26">
      <c r="A1838" s="170"/>
      <c r="B1838" s="171"/>
      <c r="C1838" s="170"/>
      <c r="D1838" s="172"/>
      <c r="E1838" s="172"/>
      <c r="F1838" s="173"/>
      <c r="G1838" s="172"/>
      <c r="H1838" s="172"/>
      <c r="I1838" s="174"/>
      <c r="J1838" s="174"/>
      <c r="K1838" s="175"/>
      <c r="L1838" s="175"/>
      <c r="M1838" s="170"/>
      <c r="N1838" s="170"/>
      <c r="O1838" s="176"/>
      <c r="P1838" s="173"/>
      <c r="Q1838" s="177"/>
      <c r="R1838" s="178"/>
      <c r="S1838" s="178"/>
      <c r="T1838" s="179"/>
      <c r="U1838" s="179"/>
      <c r="V1838" s="179"/>
      <c r="W1838" s="176"/>
      <c r="X1838" s="180"/>
      <c r="Y1838" s="170"/>
      <c r="Z1838" s="170"/>
    </row>
    <row r="1839" spans="1:26">
      <c r="A1839" s="170"/>
      <c r="B1839" s="171"/>
      <c r="C1839" s="170"/>
      <c r="D1839" s="172"/>
      <c r="E1839" s="172"/>
      <c r="F1839" s="173"/>
      <c r="G1839" s="172"/>
      <c r="H1839" s="172"/>
      <c r="I1839" s="174"/>
      <c r="J1839" s="174"/>
      <c r="K1839" s="175"/>
      <c r="L1839" s="175"/>
      <c r="M1839" s="170"/>
      <c r="N1839" s="170"/>
      <c r="O1839" s="176"/>
      <c r="P1839" s="173"/>
      <c r="Q1839" s="177"/>
      <c r="R1839" s="178"/>
      <c r="S1839" s="178"/>
      <c r="T1839" s="179"/>
      <c r="U1839" s="179"/>
      <c r="V1839" s="179"/>
      <c r="W1839" s="176"/>
      <c r="X1839" s="180"/>
      <c r="Y1839" s="170"/>
      <c r="Z1839" s="170"/>
    </row>
    <row r="1840" spans="1:26">
      <c r="A1840" s="170"/>
      <c r="B1840" s="171"/>
      <c r="C1840" s="170"/>
      <c r="D1840" s="172"/>
      <c r="E1840" s="172"/>
      <c r="F1840" s="173"/>
      <c r="G1840" s="172"/>
      <c r="H1840" s="172"/>
      <c r="I1840" s="174"/>
      <c r="J1840" s="174"/>
      <c r="K1840" s="175"/>
      <c r="L1840" s="175"/>
      <c r="M1840" s="170"/>
      <c r="N1840" s="170"/>
      <c r="O1840" s="176"/>
      <c r="P1840" s="173"/>
      <c r="Q1840" s="177"/>
      <c r="R1840" s="178"/>
      <c r="S1840" s="178"/>
      <c r="T1840" s="179"/>
      <c r="U1840" s="179"/>
      <c r="V1840" s="179"/>
      <c r="W1840" s="176"/>
      <c r="X1840" s="180"/>
      <c r="Y1840" s="170"/>
      <c r="Z1840" s="170"/>
    </row>
    <row r="1841" spans="1:26">
      <c r="A1841" s="170"/>
      <c r="B1841" s="171"/>
      <c r="C1841" s="170"/>
      <c r="D1841" s="172"/>
      <c r="E1841" s="172"/>
      <c r="F1841" s="173"/>
      <c r="G1841" s="172"/>
      <c r="H1841" s="172"/>
      <c r="I1841" s="174"/>
      <c r="J1841" s="174"/>
      <c r="K1841" s="175"/>
      <c r="L1841" s="175"/>
      <c r="M1841" s="170"/>
      <c r="N1841" s="170"/>
      <c r="O1841" s="176"/>
      <c r="P1841" s="173"/>
      <c r="Q1841" s="177"/>
      <c r="R1841" s="178"/>
      <c r="S1841" s="178"/>
      <c r="T1841" s="179"/>
      <c r="U1841" s="179"/>
      <c r="V1841" s="179"/>
      <c r="W1841" s="176"/>
      <c r="X1841" s="180"/>
      <c r="Y1841" s="170"/>
      <c r="Z1841" s="170"/>
    </row>
    <row r="1842" spans="1:26">
      <c r="A1842" s="170"/>
      <c r="B1842" s="171"/>
      <c r="C1842" s="170"/>
      <c r="D1842" s="172"/>
      <c r="E1842" s="172"/>
      <c r="F1842" s="173"/>
      <c r="G1842" s="172"/>
      <c r="H1842" s="172"/>
      <c r="I1842" s="174"/>
      <c r="J1842" s="174"/>
      <c r="K1842" s="175"/>
      <c r="L1842" s="175"/>
      <c r="M1842" s="170"/>
      <c r="N1842" s="170"/>
      <c r="O1842" s="176"/>
      <c r="P1842" s="173"/>
      <c r="Q1842" s="177"/>
      <c r="R1842" s="178"/>
      <c r="S1842" s="178"/>
      <c r="T1842" s="179"/>
      <c r="U1842" s="179"/>
      <c r="V1842" s="179"/>
      <c r="W1842" s="176"/>
      <c r="X1842" s="180"/>
      <c r="Y1842" s="170"/>
      <c r="Z1842" s="170"/>
    </row>
    <row r="1843" spans="1:26">
      <c r="A1843" s="170"/>
      <c r="B1843" s="171"/>
      <c r="C1843" s="170"/>
      <c r="D1843" s="172"/>
      <c r="E1843" s="172"/>
      <c r="F1843" s="173"/>
      <c r="G1843" s="172"/>
      <c r="H1843" s="172"/>
      <c r="I1843" s="174"/>
      <c r="J1843" s="174"/>
      <c r="K1843" s="175"/>
      <c r="L1843" s="175"/>
      <c r="M1843" s="170"/>
      <c r="N1843" s="170"/>
      <c r="O1843" s="176"/>
      <c r="P1843" s="173"/>
      <c r="Q1843" s="177"/>
      <c r="R1843" s="178"/>
      <c r="S1843" s="178"/>
      <c r="T1843" s="179"/>
      <c r="U1843" s="179"/>
      <c r="V1843" s="179"/>
      <c r="W1843" s="176"/>
      <c r="X1843" s="180"/>
      <c r="Y1843" s="170"/>
      <c r="Z1843" s="170"/>
    </row>
    <row r="1844" spans="1:26">
      <c r="A1844" s="170"/>
      <c r="B1844" s="171"/>
      <c r="C1844" s="170"/>
      <c r="D1844" s="172"/>
      <c r="E1844" s="172"/>
      <c r="F1844" s="173"/>
      <c r="G1844" s="172"/>
      <c r="H1844" s="172"/>
      <c r="I1844" s="174"/>
      <c r="J1844" s="174"/>
      <c r="K1844" s="175"/>
      <c r="L1844" s="175"/>
      <c r="M1844" s="170"/>
      <c r="N1844" s="170"/>
      <c r="O1844" s="176"/>
      <c r="P1844" s="173"/>
      <c r="Q1844" s="177"/>
      <c r="R1844" s="178"/>
      <c r="S1844" s="178"/>
      <c r="T1844" s="179"/>
      <c r="U1844" s="179"/>
      <c r="V1844" s="179"/>
      <c r="W1844" s="176"/>
      <c r="X1844" s="180"/>
      <c r="Y1844" s="170"/>
      <c r="Z1844" s="170"/>
    </row>
    <row r="1845" spans="1:26">
      <c r="A1845" s="170"/>
      <c r="B1845" s="171"/>
      <c r="C1845" s="170"/>
      <c r="D1845" s="172"/>
      <c r="E1845" s="172"/>
      <c r="F1845" s="173"/>
      <c r="G1845" s="172"/>
      <c r="H1845" s="172"/>
      <c r="I1845" s="174"/>
      <c r="J1845" s="174"/>
      <c r="K1845" s="175"/>
      <c r="L1845" s="175"/>
      <c r="M1845" s="170"/>
      <c r="N1845" s="170"/>
      <c r="O1845" s="176"/>
      <c r="P1845" s="173"/>
      <c r="Q1845" s="177"/>
      <c r="R1845" s="178"/>
      <c r="S1845" s="178"/>
      <c r="T1845" s="179"/>
      <c r="U1845" s="179"/>
      <c r="V1845" s="179"/>
      <c r="W1845" s="176"/>
      <c r="X1845" s="180"/>
      <c r="Y1845" s="170"/>
      <c r="Z1845" s="170"/>
    </row>
    <row r="1846" spans="1:26">
      <c r="A1846" s="170"/>
      <c r="B1846" s="171"/>
      <c r="C1846" s="170"/>
      <c r="D1846" s="172"/>
      <c r="E1846" s="172"/>
      <c r="F1846" s="173"/>
      <c r="G1846" s="172"/>
      <c r="H1846" s="172"/>
      <c r="I1846" s="174"/>
      <c r="J1846" s="174"/>
      <c r="K1846" s="175"/>
      <c r="L1846" s="175"/>
      <c r="M1846" s="170"/>
      <c r="N1846" s="170"/>
      <c r="O1846" s="176"/>
      <c r="P1846" s="173"/>
      <c r="Q1846" s="177"/>
      <c r="R1846" s="178"/>
      <c r="S1846" s="178"/>
      <c r="T1846" s="179"/>
      <c r="U1846" s="179"/>
      <c r="V1846" s="179"/>
      <c r="W1846" s="176"/>
      <c r="X1846" s="180"/>
      <c r="Y1846" s="170"/>
      <c r="Z1846" s="170"/>
    </row>
    <row r="1847" spans="1:26">
      <c r="A1847" s="170"/>
      <c r="B1847" s="171"/>
      <c r="C1847" s="170"/>
      <c r="D1847" s="172"/>
      <c r="E1847" s="172"/>
      <c r="F1847" s="173"/>
      <c r="G1847" s="172"/>
      <c r="H1847" s="172"/>
      <c r="I1847" s="174"/>
      <c r="J1847" s="174"/>
      <c r="K1847" s="175"/>
      <c r="L1847" s="175"/>
      <c r="M1847" s="170"/>
      <c r="N1847" s="170"/>
      <c r="O1847" s="176"/>
      <c r="P1847" s="173"/>
      <c r="Q1847" s="177"/>
      <c r="R1847" s="178"/>
      <c r="S1847" s="178"/>
      <c r="T1847" s="179"/>
      <c r="U1847" s="179"/>
      <c r="V1847" s="179"/>
      <c r="W1847" s="176"/>
      <c r="X1847" s="180"/>
      <c r="Y1847" s="170"/>
      <c r="Z1847" s="170"/>
    </row>
    <row r="1848" spans="1:26">
      <c r="A1848" s="170"/>
      <c r="B1848" s="171"/>
      <c r="C1848" s="170"/>
      <c r="D1848" s="172"/>
      <c r="E1848" s="172"/>
      <c r="F1848" s="173"/>
      <c r="G1848" s="172"/>
      <c r="H1848" s="172"/>
      <c r="I1848" s="174"/>
      <c r="J1848" s="174"/>
      <c r="K1848" s="175"/>
      <c r="L1848" s="175"/>
      <c r="M1848" s="170"/>
      <c r="N1848" s="170"/>
      <c r="O1848" s="176"/>
      <c r="P1848" s="173"/>
      <c r="Q1848" s="177"/>
      <c r="R1848" s="178"/>
      <c r="S1848" s="178"/>
      <c r="T1848" s="179"/>
      <c r="U1848" s="179"/>
      <c r="V1848" s="179"/>
      <c r="W1848" s="176"/>
      <c r="X1848" s="180"/>
      <c r="Y1848" s="170"/>
      <c r="Z1848" s="170"/>
    </row>
    <row r="1849" spans="1:26">
      <c r="A1849" s="170"/>
      <c r="B1849" s="171"/>
      <c r="C1849" s="170"/>
      <c r="D1849" s="172"/>
      <c r="E1849" s="172"/>
      <c r="F1849" s="173"/>
      <c r="G1849" s="172"/>
      <c r="H1849" s="172"/>
      <c r="I1849" s="174"/>
      <c r="J1849" s="174"/>
      <c r="K1849" s="175"/>
      <c r="L1849" s="175"/>
      <c r="M1849" s="170"/>
      <c r="N1849" s="170"/>
      <c r="O1849" s="176"/>
      <c r="P1849" s="173"/>
      <c r="Q1849" s="177"/>
      <c r="R1849" s="178"/>
      <c r="S1849" s="178"/>
      <c r="T1849" s="179"/>
      <c r="U1849" s="179"/>
      <c r="V1849" s="179"/>
      <c r="W1849" s="176"/>
      <c r="X1849" s="180"/>
      <c r="Y1849" s="170"/>
      <c r="Z1849" s="170"/>
    </row>
    <row r="1850" spans="1:26">
      <c r="A1850" s="170"/>
      <c r="B1850" s="171"/>
      <c r="C1850" s="170"/>
      <c r="D1850" s="172"/>
      <c r="E1850" s="172"/>
      <c r="F1850" s="173"/>
      <c r="G1850" s="172"/>
      <c r="H1850" s="172"/>
      <c r="I1850" s="174"/>
      <c r="J1850" s="174"/>
      <c r="K1850" s="175"/>
      <c r="L1850" s="175"/>
      <c r="M1850" s="170"/>
      <c r="N1850" s="170"/>
      <c r="O1850" s="176"/>
      <c r="P1850" s="173"/>
      <c r="Q1850" s="177"/>
      <c r="R1850" s="178"/>
      <c r="S1850" s="178"/>
      <c r="T1850" s="179"/>
      <c r="U1850" s="179"/>
      <c r="V1850" s="179"/>
      <c r="W1850" s="176"/>
      <c r="X1850" s="180"/>
      <c r="Y1850" s="170"/>
      <c r="Z1850" s="170"/>
    </row>
    <row r="1851" spans="1:26">
      <c r="A1851" s="170"/>
      <c r="B1851" s="171"/>
      <c r="C1851" s="170"/>
      <c r="D1851" s="172"/>
      <c r="E1851" s="172"/>
      <c r="F1851" s="173"/>
      <c r="G1851" s="172"/>
      <c r="H1851" s="172"/>
      <c r="I1851" s="174"/>
      <c r="J1851" s="174"/>
      <c r="K1851" s="175"/>
      <c r="L1851" s="175"/>
      <c r="M1851" s="170"/>
      <c r="N1851" s="170"/>
      <c r="O1851" s="176"/>
      <c r="P1851" s="173"/>
      <c r="Q1851" s="177"/>
      <c r="R1851" s="178"/>
      <c r="S1851" s="178"/>
      <c r="T1851" s="179"/>
      <c r="U1851" s="179"/>
      <c r="V1851" s="179"/>
      <c r="W1851" s="176"/>
      <c r="X1851" s="180"/>
      <c r="Y1851" s="170"/>
      <c r="Z1851" s="170"/>
    </row>
    <row r="1852" spans="1:26">
      <c r="A1852" s="170"/>
      <c r="B1852" s="171"/>
      <c r="C1852" s="170"/>
      <c r="D1852" s="172"/>
      <c r="E1852" s="172"/>
      <c r="F1852" s="173"/>
      <c r="G1852" s="172"/>
      <c r="H1852" s="172"/>
      <c r="I1852" s="174"/>
      <c r="J1852" s="174"/>
      <c r="K1852" s="175"/>
      <c r="L1852" s="175"/>
      <c r="M1852" s="170"/>
      <c r="N1852" s="170"/>
      <c r="O1852" s="176"/>
      <c r="P1852" s="173"/>
      <c r="Q1852" s="177"/>
      <c r="R1852" s="178"/>
      <c r="S1852" s="178"/>
      <c r="T1852" s="179"/>
      <c r="U1852" s="179"/>
      <c r="V1852" s="179"/>
      <c r="W1852" s="176"/>
      <c r="X1852" s="180"/>
      <c r="Y1852" s="170"/>
      <c r="Z1852" s="170"/>
    </row>
    <row r="1853" spans="1:26">
      <c r="A1853" s="170"/>
      <c r="B1853" s="171"/>
      <c r="C1853" s="170"/>
      <c r="D1853" s="172"/>
      <c r="E1853" s="172"/>
      <c r="F1853" s="173"/>
      <c r="G1853" s="172"/>
      <c r="H1853" s="172"/>
      <c r="I1853" s="174"/>
      <c r="J1853" s="174"/>
      <c r="K1853" s="175"/>
      <c r="L1853" s="175"/>
      <c r="M1853" s="170"/>
      <c r="N1853" s="170"/>
      <c r="O1853" s="176"/>
      <c r="P1853" s="173"/>
      <c r="Q1853" s="177"/>
      <c r="R1853" s="178"/>
      <c r="S1853" s="178"/>
      <c r="T1853" s="179"/>
      <c r="U1853" s="179"/>
      <c r="V1853" s="179"/>
      <c r="W1853" s="176"/>
      <c r="X1853" s="180"/>
      <c r="Y1853" s="170"/>
      <c r="Z1853" s="170"/>
    </row>
    <row r="1854" spans="1:26">
      <c r="A1854" s="170"/>
      <c r="B1854" s="171"/>
      <c r="C1854" s="170"/>
      <c r="D1854" s="172"/>
      <c r="E1854" s="172"/>
      <c r="F1854" s="173"/>
      <c r="G1854" s="172"/>
      <c r="H1854" s="172"/>
      <c r="I1854" s="174"/>
      <c r="J1854" s="174"/>
      <c r="K1854" s="175"/>
      <c r="L1854" s="175"/>
      <c r="M1854" s="170"/>
      <c r="N1854" s="170"/>
      <c r="O1854" s="176"/>
      <c r="P1854" s="173"/>
      <c r="Q1854" s="177"/>
      <c r="R1854" s="178"/>
      <c r="S1854" s="178"/>
      <c r="T1854" s="179"/>
      <c r="U1854" s="179"/>
      <c r="V1854" s="179"/>
      <c r="W1854" s="176"/>
      <c r="X1854" s="180"/>
      <c r="Y1854" s="170"/>
      <c r="Z1854" s="170"/>
    </row>
    <row r="1855" spans="1:26">
      <c r="A1855" s="170"/>
      <c r="B1855" s="171"/>
      <c r="C1855" s="170"/>
      <c r="D1855" s="172"/>
      <c r="E1855" s="172"/>
      <c r="F1855" s="173"/>
      <c r="G1855" s="172"/>
      <c r="H1855" s="172"/>
      <c r="I1855" s="174"/>
      <c r="J1855" s="174"/>
      <c r="K1855" s="175"/>
      <c r="L1855" s="175"/>
      <c r="M1855" s="170"/>
      <c r="N1855" s="170"/>
      <c r="O1855" s="176"/>
      <c r="P1855" s="173"/>
      <c r="Q1855" s="177"/>
      <c r="R1855" s="178"/>
      <c r="S1855" s="178"/>
      <c r="T1855" s="179"/>
      <c r="U1855" s="179"/>
      <c r="V1855" s="179"/>
      <c r="W1855" s="176"/>
      <c r="X1855" s="180"/>
      <c r="Y1855" s="170"/>
      <c r="Z1855" s="170"/>
    </row>
    <row r="1856" spans="1:26">
      <c r="A1856" s="170"/>
      <c r="B1856" s="171"/>
      <c r="C1856" s="170"/>
      <c r="D1856" s="172"/>
      <c r="E1856" s="172"/>
      <c r="F1856" s="173"/>
      <c r="G1856" s="172"/>
      <c r="H1856" s="172"/>
      <c r="I1856" s="174"/>
      <c r="J1856" s="174"/>
      <c r="K1856" s="175"/>
      <c r="L1856" s="175"/>
      <c r="M1856" s="170"/>
      <c r="N1856" s="170"/>
      <c r="O1856" s="176"/>
      <c r="P1856" s="173"/>
      <c r="Q1856" s="177"/>
      <c r="R1856" s="178"/>
      <c r="S1856" s="178"/>
      <c r="T1856" s="179"/>
      <c r="U1856" s="179"/>
      <c r="V1856" s="179"/>
      <c r="W1856" s="176"/>
      <c r="X1856" s="180"/>
      <c r="Y1856" s="170"/>
      <c r="Z1856" s="170"/>
    </row>
    <row r="1857" spans="1:26">
      <c r="A1857" s="170"/>
      <c r="B1857" s="171"/>
      <c r="C1857" s="170"/>
      <c r="D1857" s="172"/>
      <c r="E1857" s="172"/>
      <c r="F1857" s="173"/>
      <c r="G1857" s="172"/>
      <c r="H1857" s="172"/>
      <c r="I1857" s="174"/>
      <c r="J1857" s="174"/>
      <c r="K1857" s="175"/>
      <c r="L1857" s="175"/>
      <c r="M1857" s="170"/>
      <c r="N1857" s="170"/>
      <c r="O1857" s="176"/>
      <c r="P1857" s="173"/>
      <c r="Q1857" s="177"/>
      <c r="R1857" s="178"/>
      <c r="S1857" s="178"/>
      <c r="T1857" s="179"/>
      <c r="U1857" s="179"/>
      <c r="V1857" s="179"/>
      <c r="W1857" s="176"/>
      <c r="X1857" s="180"/>
      <c r="Y1857" s="170"/>
      <c r="Z1857" s="170"/>
    </row>
    <row r="1858" spans="1:26">
      <c r="A1858" s="170"/>
      <c r="B1858" s="171"/>
      <c r="C1858" s="170"/>
      <c r="D1858" s="172"/>
      <c r="E1858" s="172"/>
      <c r="F1858" s="173"/>
      <c r="G1858" s="172"/>
      <c r="H1858" s="172"/>
      <c r="I1858" s="174"/>
      <c r="J1858" s="174"/>
      <c r="K1858" s="175"/>
      <c r="L1858" s="175"/>
      <c r="M1858" s="170"/>
      <c r="N1858" s="170"/>
      <c r="O1858" s="176"/>
      <c r="P1858" s="173"/>
      <c r="Q1858" s="177"/>
      <c r="R1858" s="178"/>
      <c r="S1858" s="178"/>
      <c r="T1858" s="179"/>
      <c r="U1858" s="179"/>
      <c r="V1858" s="179"/>
      <c r="W1858" s="176"/>
      <c r="X1858" s="180"/>
      <c r="Y1858" s="170"/>
      <c r="Z1858" s="170"/>
    </row>
    <row r="1859" spans="1:26">
      <c r="A1859" s="170"/>
      <c r="B1859" s="171"/>
      <c r="C1859" s="170"/>
      <c r="D1859" s="172"/>
      <c r="E1859" s="172"/>
      <c r="F1859" s="173"/>
      <c r="G1859" s="172"/>
      <c r="H1859" s="172"/>
      <c r="I1859" s="174"/>
      <c r="J1859" s="174"/>
      <c r="K1859" s="175"/>
      <c r="L1859" s="175"/>
      <c r="M1859" s="170"/>
      <c r="N1859" s="170"/>
      <c r="O1859" s="176"/>
      <c r="P1859" s="173"/>
      <c r="Q1859" s="177"/>
      <c r="R1859" s="178"/>
      <c r="S1859" s="178"/>
      <c r="T1859" s="179"/>
      <c r="U1859" s="179"/>
      <c r="V1859" s="179"/>
      <c r="W1859" s="176"/>
      <c r="X1859" s="180"/>
      <c r="Y1859" s="170"/>
      <c r="Z1859" s="170"/>
    </row>
    <row r="1860" spans="1:26">
      <c r="A1860" s="170"/>
      <c r="B1860" s="171"/>
      <c r="C1860" s="170"/>
      <c r="D1860" s="172"/>
      <c r="E1860" s="172"/>
      <c r="F1860" s="173"/>
      <c r="G1860" s="172"/>
      <c r="H1860" s="172"/>
      <c r="I1860" s="174"/>
      <c r="J1860" s="174"/>
      <c r="K1860" s="175"/>
      <c r="L1860" s="175"/>
      <c r="M1860" s="170"/>
      <c r="N1860" s="170"/>
      <c r="O1860" s="176"/>
      <c r="P1860" s="173"/>
      <c r="Q1860" s="177"/>
      <c r="R1860" s="178"/>
      <c r="S1860" s="178"/>
      <c r="T1860" s="179"/>
      <c r="U1860" s="179"/>
      <c r="V1860" s="179"/>
      <c r="W1860" s="176"/>
      <c r="X1860" s="180"/>
      <c r="Y1860" s="170"/>
      <c r="Z1860" s="170"/>
    </row>
    <row r="1861" spans="1:26">
      <c r="A1861" s="170"/>
      <c r="B1861" s="171"/>
      <c r="C1861" s="170"/>
      <c r="D1861" s="172"/>
      <c r="E1861" s="172"/>
      <c r="F1861" s="173"/>
      <c r="G1861" s="172"/>
      <c r="H1861" s="172"/>
      <c r="I1861" s="174"/>
      <c r="J1861" s="174"/>
      <c r="K1861" s="175"/>
      <c r="L1861" s="175"/>
      <c r="M1861" s="170"/>
      <c r="N1861" s="170"/>
      <c r="O1861" s="176"/>
      <c r="P1861" s="173"/>
      <c r="Q1861" s="177"/>
      <c r="R1861" s="178"/>
      <c r="S1861" s="178"/>
      <c r="T1861" s="179"/>
      <c r="U1861" s="179"/>
      <c r="V1861" s="179"/>
      <c r="W1861" s="176"/>
      <c r="X1861" s="180"/>
      <c r="Y1861" s="170"/>
      <c r="Z1861" s="170"/>
    </row>
    <row r="1862" spans="1:26">
      <c r="A1862" s="170"/>
      <c r="B1862" s="171"/>
      <c r="C1862" s="170"/>
      <c r="D1862" s="172"/>
      <c r="E1862" s="172"/>
      <c r="F1862" s="173"/>
      <c r="G1862" s="172"/>
      <c r="H1862" s="172"/>
      <c r="I1862" s="174"/>
      <c r="J1862" s="174"/>
      <c r="K1862" s="175"/>
      <c r="L1862" s="175"/>
      <c r="M1862" s="170"/>
      <c r="N1862" s="170"/>
      <c r="O1862" s="176"/>
      <c r="P1862" s="173"/>
      <c r="Q1862" s="177"/>
      <c r="R1862" s="178"/>
      <c r="S1862" s="178"/>
      <c r="T1862" s="179"/>
      <c r="U1862" s="179"/>
      <c r="V1862" s="179"/>
      <c r="W1862" s="176"/>
      <c r="X1862" s="180"/>
      <c r="Y1862" s="170"/>
      <c r="Z1862" s="170"/>
    </row>
    <row r="1863" spans="1:26">
      <c r="A1863" s="170"/>
      <c r="B1863" s="171"/>
      <c r="C1863" s="170"/>
      <c r="D1863" s="172"/>
      <c r="E1863" s="172"/>
      <c r="F1863" s="173"/>
      <c r="G1863" s="172"/>
      <c r="H1863" s="172"/>
      <c r="I1863" s="174"/>
      <c r="J1863" s="174"/>
      <c r="K1863" s="175"/>
      <c r="L1863" s="175"/>
      <c r="M1863" s="170"/>
      <c r="N1863" s="170"/>
      <c r="O1863" s="176"/>
      <c r="P1863" s="173"/>
      <c r="Q1863" s="177"/>
      <c r="R1863" s="178"/>
      <c r="S1863" s="178"/>
      <c r="T1863" s="179"/>
      <c r="U1863" s="179"/>
      <c r="V1863" s="179"/>
      <c r="W1863" s="176"/>
      <c r="X1863" s="180"/>
      <c r="Y1863" s="170"/>
      <c r="Z1863" s="170"/>
    </row>
    <row r="1864" spans="1:26">
      <c r="A1864" s="170"/>
      <c r="B1864" s="171"/>
      <c r="C1864" s="170"/>
      <c r="D1864" s="172"/>
      <c r="E1864" s="172"/>
      <c r="F1864" s="173"/>
      <c r="G1864" s="172"/>
      <c r="H1864" s="172"/>
      <c r="I1864" s="174"/>
      <c r="J1864" s="174"/>
      <c r="K1864" s="175"/>
      <c r="L1864" s="175"/>
      <c r="M1864" s="170"/>
      <c r="N1864" s="170"/>
      <c r="O1864" s="176"/>
      <c r="P1864" s="173"/>
      <c r="Q1864" s="177"/>
      <c r="R1864" s="178"/>
      <c r="S1864" s="178"/>
      <c r="T1864" s="179"/>
      <c r="U1864" s="179"/>
      <c r="V1864" s="179"/>
      <c r="W1864" s="176"/>
      <c r="X1864" s="180"/>
      <c r="Y1864" s="170"/>
      <c r="Z1864" s="170"/>
    </row>
    <row r="1865" spans="1:26">
      <c r="A1865" s="170"/>
      <c r="B1865" s="171"/>
      <c r="C1865" s="170"/>
      <c r="D1865" s="172"/>
      <c r="E1865" s="172"/>
      <c r="F1865" s="173"/>
      <c r="G1865" s="172"/>
      <c r="H1865" s="172"/>
      <c r="I1865" s="174"/>
      <c r="J1865" s="174"/>
      <c r="K1865" s="175"/>
      <c r="L1865" s="175"/>
      <c r="M1865" s="170"/>
      <c r="N1865" s="170"/>
      <c r="O1865" s="176"/>
      <c r="P1865" s="173"/>
      <c r="Q1865" s="177"/>
      <c r="R1865" s="178"/>
      <c r="S1865" s="178"/>
      <c r="T1865" s="179"/>
      <c r="U1865" s="179"/>
      <c r="V1865" s="179"/>
      <c r="W1865" s="176"/>
      <c r="X1865" s="180"/>
      <c r="Y1865" s="170"/>
      <c r="Z1865" s="170"/>
    </row>
    <row r="1866" spans="1:26">
      <c r="A1866" s="170"/>
      <c r="B1866" s="171"/>
      <c r="C1866" s="170"/>
      <c r="D1866" s="172"/>
      <c r="E1866" s="172"/>
      <c r="F1866" s="173"/>
      <c r="G1866" s="172"/>
      <c r="H1866" s="172"/>
      <c r="I1866" s="174"/>
      <c r="J1866" s="174"/>
      <c r="K1866" s="175"/>
      <c r="L1866" s="175"/>
      <c r="M1866" s="170"/>
      <c r="N1866" s="170"/>
      <c r="O1866" s="176"/>
      <c r="P1866" s="173"/>
      <c r="Q1866" s="177"/>
      <c r="R1866" s="178"/>
      <c r="S1866" s="178"/>
      <c r="T1866" s="179"/>
      <c r="U1866" s="179"/>
      <c r="V1866" s="179"/>
      <c r="W1866" s="176"/>
      <c r="X1866" s="180"/>
      <c r="Y1866" s="170"/>
      <c r="Z1866" s="170"/>
    </row>
    <row r="1867" spans="1:26">
      <c r="A1867" s="170"/>
      <c r="B1867" s="171"/>
      <c r="C1867" s="170"/>
      <c r="D1867" s="172"/>
      <c r="E1867" s="172"/>
      <c r="F1867" s="173"/>
      <c r="G1867" s="172"/>
      <c r="H1867" s="172"/>
      <c r="I1867" s="174"/>
      <c r="J1867" s="174"/>
      <c r="K1867" s="175"/>
      <c r="L1867" s="175"/>
      <c r="M1867" s="170"/>
      <c r="N1867" s="170"/>
      <c r="O1867" s="176"/>
      <c r="P1867" s="173"/>
      <c r="Q1867" s="177"/>
      <c r="R1867" s="178"/>
      <c r="S1867" s="178"/>
      <c r="T1867" s="179"/>
      <c r="U1867" s="179"/>
      <c r="V1867" s="179"/>
      <c r="W1867" s="176"/>
      <c r="X1867" s="180"/>
      <c r="Y1867" s="170"/>
      <c r="Z1867" s="170"/>
    </row>
    <row r="1868" spans="1:26">
      <c r="A1868" s="170"/>
      <c r="B1868" s="171"/>
      <c r="C1868" s="170"/>
      <c r="D1868" s="172"/>
      <c r="E1868" s="172"/>
      <c r="F1868" s="173"/>
      <c r="G1868" s="172"/>
      <c r="H1868" s="172"/>
      <c r="I1868" s="174"/>
      <c r="J1868" s="174"/>
      <c r="K1868" s="175"/>
      <c r="L1868" s="175"/>
      <c r="M1868" s="170"/>
      <c r="N1868" s="170"/>
      <c r="O1868" s="176"/>
      <c r="P1868" s="173"/>
      <c r="Q1868" s="177"/>
      <c r="R1868" s="178"/>
      <c r="S1868" s="178"/>
      <c r="T1868" s="179"/>
      <c r="U1868" s="179"/>
      <c r="V1868" s="179"/>
      <c r="W1868" s="176"/>
      <c r="X1868" s="180"/>
      <c r="Y1868" s="170"/>
      <c r="Z1868" s="170"/>
    </row>
    <row r="1869" spans="1:26">
      <c r="A1869" s="170"/>
      <c r="B1869" s="171"/>
      <c r="C1869" s="170"/>
      <c r="D1869" s="172"/>
      <c r="E1869" s="172"/>
      <c r="F1869" s="173"/>
      <c r="G1869" s="172"/>
      <c r="H1869" s="172"/>
      <c r="I1869" s="174"/>
      <c r="J1869" s="174"/>
      <c r="K1869" s="175"/>
      <c r="L1869" s="175"/>
      <c r="M1869" s="170"/>
      <c r="N1869" s="170"/>
      <c r="O1869" s="176"/>
      <c r="P1869" s="173"/>
      <c r="Q1869" s="177"/>
      <c r="R1869" s="178"/>
      <c r="S1869" s="178"/>
      <c r="T1869" s="179"/>
      <c r="U1869" s="179"/>
      <c r="V1869" s="179"/>
      <c r="W1869" s="176"/>
      <c r="X1869" s="180"/>
      <c r="Y1869" s="170"/>
      <c r="Z1869" s="170"/>
    </row>
    <row r="1870" spans="1:26">
      <c r="A1870" s="170"/>
      <c r="B1870" s="171"/>
      <c r="C1870" s="170"/>
      <c r="D1870" s="172"/>
      <c r="E1870" s="172"/>
      <c r="F1870" s="173"/>
      <c r="G1870" s="172"/>
      <c r="H1870" s="172"/>
      <c r="I1870" s="174"/>
      <c r="J1870" s="174"/>
      <c r="K1870" s="175"/>
      <c r="L1870" s="175"/>
      <c r="M1870" s="170"/>
      <c r="N1870" s="170"/>
      <c r="O1870" s="176"/>
      <c r="P1870" s="173"/>
      <c r="Q1870" s="177"/>
      <c r="R1870" s="178"/>
      <c r="S1870" s="178"/>
      <c r="T1870" s="179"/>
      <c r="U1870" s="179"/>
      <c r="V1870" s="179"/>
      <c r="W1870" s="176"/>
      <c r="X1870" s="180"/>
      <c r="Y1870" s="170"/>
      <c r="Z1870" s="170"/>
    </row>
    <row r="1871" spans="1:26">
      <c r="A1871" s="170"/>
      <c r="B1871" s="171"/>
      <c r="C1871" s="170"/>
      <c r="D1871" s="172"/>
      <c r="E1871" s="172"/>
      <c r="F1871" s="173"/>
      <c r="G1871" s="172"/>
      <c r="H1871" s="172"/>
      <c r="I1871" s="174"/>
      <c r="J1871" s="174"/>
      <c r="K1871" s="175"/>
      <c r="L1871" s="175"/>
      <c r="M1871" s="170"/>
      <c r="N1871" s="170"/>
      <c r="O1871" s="176"/>
      <c r="P1871" s="173"/>
      <c r="Q1871" s="177"/>
      <c r="R1871" s="178"/>
      <c r="S1871" s="178"/>
      <c r="T1871" s="179"/>
      <c r="U1871" s="179"/>
      <c r="V1871" s="179"/>
      <c r="W1871" s="176"/>
      <c r="X1871" s="180"/>
      <c r="Y1871" s="170"/>
      <c r="Z1871" s="170"/>
    </row>
    <row r="1872" spans="1:26">
      <c r="A1872" s="170"/>
      <c r="B1872" s="171"/>
      <c r="C1872" s="170"/>
      <c r="D1872" s="172"/>
      <c r="E1872" s="172"/>
      <c r="F1872" s="173"/>
      <c r="G1872" s="172"/>
      <c r="H1872" s="172"/>
      <c r="I1872" s="174"/>
      <c r="J1872" s="174"/>
      <c r="K1872" s="175"/>
      <c r="L1872" s="175"/>
      <c r="M1872" s="170"/>
      <c r="N1872" s="170"/>
      <c r="O1872" s="176"/>
      <c r="P1872" s="173"/>
      <c r="Q1872" s="177"/>
      <c r="R1872" s="178"/>
      <c r="S1872" s="178"/>
      <c r="T1872" s="179"/>
      <c r="U1872" s="179"/>
      <c r="V1872" s="179"/>
      <c r="W1872" s="176"/>
      <c r="X1872" s="180"/>
      <c r="Y1872" s="170"/>
      <c r="Z1872" s="170"/>
    </row>
    <row r="1873" spans="1:26">
      <c r="A1873" s="170"/>
      <c r="B1873" s="171"/>
      <c r="C1873" s="170"/>
      <c r="D1873" s="172"/>
      <c r="E1873" s="172"/>
      <c r="F1873" s="173"/>
      <c r="G1873" s="172"/>
      <c r="H1873" s="172"/>
      <c r="I1873" s="174"/>
      <c r="J1873" s="174"/>
      <c r="K1873" s="175"/>
      <c r="L1873" s="175"/>
      <c r="M1873" s="170"/>
      <c r="N1873" s="170"/>
      <c r="O1873" s="176"/>
      <c r="P1873" s="173"/>
      <c r="Q1873" s="177"/>
      <c r="R1873" s="178"/>
      <c r="S1873" s="178"/>
      <c r="T1873" s="179"/>
      <c r="U1873" s="179"/>
      <c r="V1873" s="179"/>
      <c r="W1873" s="176"/>
      <c r="X1873" s="180"/>
      <c r="Y1873" s="170"/>
      <c r="Z1873" s="170"/>
    </row>
    <row r="1874" spans="1:26">
      <c r="A1874" s="170"/>
      <c r="B1874" s="171"/>
      <c r="C1874" s="170"/>
      <c r="D1874" s="172"/>
      <c r="E1874" s="172"/>
      <c r="F1874" s="173"/>
      <c r="G1874" s="172"/>
      <c r="H1874" s="172"/>
      <c r="I1874" s="174"/>
      <c r="J1874" s="174"/>
      <c r="K1874" s="175"/>
      <c r="L1874" s="175"/>
      <c r="M1874" s="170"/>
      <c r="N1874" s="170"/>
      <c r="O1874" s="176"/>
      <c r="P1874" s="173"/>
      <c r="Q1874" s="177"/>
      <c r="R1874" s="178"/>
      <c r="S1874" s="178"/>
      <c r="T1874" s="179"/>
      <c r="U1874" s="179"/>
      <c r="V1874" s="179"/>
      <c r="W1874" s="176"/>
      <c r="X1874" s="180"/>
      <c r="Y1874" s="170"/>
      <c r="Z1874" s="170"/>
    </row>
    <row r="1875" spans="1:26">
      <c r="A1875" s="170"/>
      <c r="B1875" s="171"/>
      <c r="C1875" s="170"/>
      <c r="D1875" s="172"/>
      <c r="E1875" s="172"/>
      <c r="F1875" s="173"/>
      <c r="G1875" s="172"/>
      <c r="H1875" s="172"/>
      <c r="I1875" s="174"/>
      <c r="J1875" s="174"/>
      <c r="K1875" s="175"/>
      <c r="L1875" s="175"/>
      <c r="M1875" s="170"/>
      <c r="N1875" s="170"/>
      <c r="O1875" s="176"/>
      <c r="P1875" s="173"/>
      <c r="Q1875" s="177"/>
      <c r="R1875" s="178"/>
      <c r="S1875" s="178"/>
      <c r="T1875" s="179"/>
      <c r="U1875" s="179"/>
      <c r="V1875" s="179"/>
      <c r="W1875" s="176"/>
      <c r="X1875" s="180"/>
      <c r="Y1875" s="170"/>
      <c r="Z1875" s="170"/>
    </row>
    <row r="1876" spans="1:26">
      <c r="A1876" s="170"/>
      <c r="B1876" s="171"/>
      <c r="C1876" s="170"/>
      <c r="D1876" s="172"/>
      <c r="E1876" s="172"/>
      <c r="F1876" s="173"/>
      <c r="G1876" s="172"/>
      <c r="H1876" s="172"/>
      <c r="I1876" s="174"/>
      <c r="J1876" s="174"/>
      <c r="K1876" s="175"/>
      <c r="L1876" s="175"/>
      <c r="M1876" s="170"/>
      <c r="N1876" s="170"/>
      <c r="O1876" s="176"/>
      <c r="P1876" s="173"/>
      <c r="Q1876" s="177"/>
      <c r="R1876" s="178"/>
      <c r="S1876" s="178"/>
      <c r="T1876" s="179"/>
      <c r="U1876" s="179"/>
      <c r="V1876" s="179"/>
      <c r="W1876" s="176"/>
      <c r="X1876" s="180"/>
      <c r="Y1876" s="170"/>
      <c r="Z1876" s="170"/>
    </row>
    <row r="1877" spans="1:26">
      <c r="A1877" s="170"/>
      <c r="B1877" s="171"/>
      <c r="C1877" s="170"/>
      <c r="D1877" s="172"/>
      <c r="E1877" s="172"/>
      <c r="F1877" s="173"/>
      <c r="G1877" s="172"/>
      <c r="H1877" s="172"/>
      <c r="I1877" s="174"/>
      <c r="J1877" s="174"/>
      <c r="K1877" s="175"/>
      <c r="L1877" s="175"/>
      <c r="M1877" s="170"/>
      <c r="N1877" s="170"/>
      <c r="O1877" s="176"/>
      <c r="P1877" s="173"/>
      <c r="Q1877" s="177"/>
      <c r="R1877" s="178"/>
      <c r="S1877" s="178"/>
      <c r="T1877" s="179"/>
      <c r="U1877" s="179"/>
      <c r="V1877" s="179"/>
      <c r="W1877" s="176"/>
      <c r="X1877" s="180"/>
      <c r="Y1877" s="170"/>
      <c r="Z1877" s="170"/>
    </row>
    <row r="1878" spans="1:26">
      <c r="A1878" s="170"/>
      <c r="B1878" s="171"/>
      <c r="C1878" s="170"/>
      <c r="D1878" s="172"/>
      <c r="E1878" s="172"/>
      <c r="F1878" s="173"/>
      <c r="G1878" s="172"/>
      <c r="H1878" s="172"/>
      <c r="I1878" s="174"/>
      <c r="J1878" s="174"/>
      <c r="K1878" s="175"/>
      <c r="L1878" s="175"/>
      <c r="M1878" s="170"/>
      <c r="N1878" s="170"/>
      <c r="O1878" s="176"/>
      <c r="P1878" s="173"/>
      <c r="Q1878" s="177"/>
      <c r="R1878" s="178"/>
      <c r="S1878" s="178"/>
      <c r="T1878" s="179"/>
      <c r="U1878" s="179"/>
      <c r="V1878" s="179"/>
      <c r="W1878" s="176"/>
      <c r="X1878" s="180"/>
      <c r="Y1878" s="170"/>
      <c r="Z1878" s="170"/>
    </row>
    <row r="1879" spans="1:26">
      <c r="A1879" s="170"/>
      <c r="B1879" s="171"/>
      <c r="C1879" s="170"/>
      <c r="D1879" s="172"/>
      <c r="E1879" s="172"/>
      <c r="F1879" s="173"/>
      <c r="G1879" s="172"/>
      <c r="H1879" s="172"/>
      <c r="I1879" s="174"/>
      <c r="J1879" s="174"/>
      <c r="K1879" s="175"/>
      <c r="L1879" s="175"/>
      <c r="M1879" s="170"/>
      <c r="N1879" s="170"/>
      <c r="O1879" s="176"/>
      <c r="P1879" s="173"/>
      <c r="Q1879" s="177"/>
      <c r="R1879" s="178"/>
      <c r="S1879" s="178"/>
      <c r="T1879" s="179"/>
      <c r="U1879" s="179"/>
      <c r="V1879" s="179"/>
      <c r="W1879" s="176"/>
      <c r="X1879" s="180"/>
      <c r="Y1879" s="170"/>
      <c r="Z1879" s="170"/>
    </row>
    <row r="1880" spans="1:26">
      <c r="A1880" s="170"/>
      <c r="B1880" s="171"/>
      <c r="C1880" s="170"/>
      <c r="D1880" s="172"/>
      <c r="E1880" s="172"/>
      <c r="F1880" s="173"/>
      <c r="G1880" s="172"/>
      <c r="H1880" s="172"/>
      <c r="I1880" s="174"/>
      <c r="J1880" s="174"/>
      <c r="K1880" s="175"/>
      <c r="L1880" s="175"/>
      <c r="M1880" s="170"/>
      <c r="N1880" s="170"/>
      <c r="O1880" s="176"/>
      <c r="P1880" s="173"/>
      <c r="Q1880" s="177"/>
      <c r="R1880" s="178"/>
      <c r="S1880" s="178"/>
      <c r="T1880" s="179"/>
      <c r="U1880" s="179"/>
      <c r="V1880" s="179"/>
      <c r="W1880" s="176"/>
      <c r="X1880" s="180"/>
      <c r="Y1880" s="170"/>
      <c r="Z1880" s="170"/>
    </row>
    <row r="1881" spans="1:26">
      <c r="A1881" s="170"/>
      <c r="B1881" s="171"/>
      <c r="C1881" s="170"/>
      <c r="D1881" s="172"/>
      <c r="E1881" s="172"/>
      <c r="F1881" s="173"/>
      <c r="G1881" s="172"/>
      <c r="H1881" s="172"/>
      <c r="I1881" s="174"/>
      <c r="J1881" s="174"/>
      <c r="K1881" s="175"/>
      <c r="L1881" s="175"/>
      <c r="M1881" s="170"/>
      <c r="N1881" s="170"/>
      <c r="O1881" s="176"/>
      <c r="P1881" s="173"/>
      <c r="Q1881" s="177"/>
      <c r="R1881" s="178"/>
      <c r="S1881" s="178"/>
      <c r="T1881" s="179"/>
      <c r="U1881" s="179"/>
      <c r="V1881" s="179"/>
      <c r="W1881" s="176"/>
      <c r="X1881" s="180"/>
      <c r="Y1881" s="170"/>
      <c r="Z1881" s="170"/>
    </row>
    <row r="1882" spans="1:26">
      <c r="A1882" s="170"/>
      <c r="B1882" s="171"/>
      <c r="C1882" s="170"/>
      <c r="D1882" s="172"/>
      <c r="E1882" s="172"/>
      <c r="F1882" s="173"/>
      <c r="G1882" s="172"/>
      <c r="H1882" s="172"/>
      <c r="I1882" s="174"/>
      <c r="J1882" s="174"/>
      <c r="K1882" s="175"/>
      <c r="L1882" s="175"/>
      <c r="M1882" s="170"/>
      <c r="N1882" s="170"/>
      <c r="O1882" s="176"/>
      <c r="P1882" s="173"/>
      <c r="Q1882" s="177"/>
      <c r="R1882" s="178"/>
      <c r="S1882" s="178"/>
      <c r="T1882" s="179"/>
      <c r="U1882" s="179"/>
      <c r="V1882" s="179"/>
      <c r="W1882" s="176"/>
      <c r="X1882" s="180"/>
      <c r="Y1882" s="170"/>
      <c r="Z1882" s="170"/>
    </row>
    <row r="1883" spans="1:26">
      <c r="A1883" s="170"/>
      <c r="B1883" s="171"/>
      <c r="C1883" s="170"/>
      <c r="D1883" s="172"/>
      <c r="E1883" s="172"/>
      <c r="F1883" s="173"/>
      <c r="G1883" s="172"/>
      <c r="H1883" s="172"/>
      <c r="I1883" s="174"/>
      <c r="J1883" s="174"/>
      <c r="K1883" s="175"/>
      <c r="L1883" s="175"/>
      <c r="M1883" s="170"/>
      <c r="N1883" s="170"/>
      <c r="O1883" s="176"/>
      <c r="P1883" s="173"/>
      <c r="Q1883" s="177"/>
      <c r="R1883" s="178"/>
      <c r="S1883" s="178"/>
      <c r="T1883" s="179"/>
      <c r="U1883" s="179"/>
      <c r="V1883" s="179"/>
      <c r="W1883" s="176"/>
      <c r="X1883" s="180"/>
      <c r="Y1883" s="170"/>
      <c r="Z1883" s="170"/>
    </row>
    <row r="1884" spans="1:26">
      <c r="A1884" s="170"/>
      <c r="B1884" s="171"/>
      <c r="C1884" s="170"/>
      <c r="D1884" s="172"/>
      <c r="E1884" s="172"/>
      <c r="F1884" s="173"/>
      <c r="G1884" s="172"/>
      <c r="H1884" s="172"/>
      <c r="I1884" s="174"/>
      <c r="J1884" s="174"/>
      <c r="K1884" s="175"/>
      <c r="L1884" s="175"/>
      <c r="M1884" s="170"/>
      <c r="N1884" s="170"/>
      <c r="O1884" s="176"/>
      <c r="P1884" s="173"/>
      <c r="Q1884" s="177"/>
      <c r="R1884" s="178"/>
      <c r="S1884" s="178"/>
      <c r="T1884" s="179"/>
      <c r="U1884" s="179"/>
      <c r="V1884" s="179"/>
      <c r="W1884" s="176"/>
      <c r="X1884" s="180"/>
      <c r="Y1884" s="170"/>
      <c r="Z1884" s="170"/>
    </row>
    <row r="1885" spans="1:26">
      <c r="A1885" s="170"/>
      <c r="B1885" s="171"/>
      <c r="C1885" s="170"/>
      <c r="D1885" s="172"/>
      <c r="E1885" s="172"/>
      <c r="F1885" s="173"/>
      <c r="G1885" s="172"/>
      <c r="H1885" s="172"/>
      <c r="I1885" s="174"/>
      <c r="J1885" s="174"/>
      <c r="K1885" s="175"/>
      <c r="L1885" s="175"/>
      <c r="M1885" s="170"/>
      <c r="N1885" s="170"/>
      <c r="O1885" s="176"/>
      <c r="P1885" s="173"/>
      <c r="Q1885" s="177"/>
      <c r="R1885" s="178"/>
      <c r="S1885" s="178"/>
      <c r="T1885" s="179"/>
      <c r="U1885" s="179"/>
      <c r="V1885" s="179"/>
      <c r="W1885" s="176"/>
      <c r="X1885" s="180"/>
      <c r="Y1885" s="170"/>
      <c r="Z1885" s="170"/>
    </row>
    <row r="1886" spans="1:26">
      <c r="A1886" s="170"/>
      <c r="B1886" s="171"/>
      <c r="C1886" s="170"/>
      <c r="D1886" s="172"/>
      <c r="E1886" s="172"/>
      <c r="F1886" s="173"/>
      <c r="G1886" s="172"/>
      <c r="H1886" s="172"/>
      <c r="I1886" s="174"/>
      <c r="J1886" s="174"/>
      <c r="K1886" s="175"/>
      <c r="L1886" s="175"/>
      <c r="M1886" s="170"/>
      <c r="N1886" s="170"/>
      <c r="O1886" s="176"/>
      <c r="P1886" s="173"/>
      <c r="Q1886" s="177"/>
      <c r="R1886" s="178"/>
      <c r="S1886" s="178"/>
      <c r="T1886" s="179"/>
      <c r="U1886" s="179"/>
      <c r="V1886" s="179"/>
      <c r="W1886" s="176"/>
      <c r="X1886" s="180"/>
      <c r="Y1886" s="170"/>
      <c r="Z1886" s="170"/>
    </row>
    <row r="1887" spans="1:26">
      <c r="A1887" s="170"/>
      <c r="B1887" s="171"/>
      <c r="C1887" s="170"/>
      <c r="D1887" s="172"/>
      <c r="E1887" s="172"/>
      <c r="F1887" s="173"/>
      <c r="G1887" s="172"/>
      <c r="H1887" s="172"/>
      <c r="I1887" s="174"/>
      <c r="J1887" s="174"/>
      <c r="K1887" s="175"/>
      <c r="L1887" s="175"/>
      <c r="M1887" s="170"/>
      <c r="N1887" s="170"/>
      <c r="O1887" s="176"/>
      <c r="P1887" s="173"/>
      <c r="Q1887" s="177"/>
      <c r="R1887" s="178"/>
      <c r="S1887" s="178"/>
      <c r="T1887" s="179"/>
      <c r="U1887" s="179"/>
      <c r="V1887" s="179"/>
      <c r="W1887" s="176"/>
      <c r="X1887" s="180"/>
      <c r="Y1887" s="170"/>
      <c r="Z1887" s="170"/>
    </row>
    <row r="1888" spans="1:26">
      <c r="A1888" s="170"/>
      <c r="B1888" s="171"/>
      <c r="C1888" s="170"/>
      <c r="D1888" s="172"/>
      <c r="E1888" s="172"/>
      <c r="F1888" s="173"/>
      <c r="G1888" s="172"/>
      <c r="H1888" s="172"/>
      <c r="I1888" s="174"/>
      <c r="J1888" s="174"/>
      <c r="K1888" s="175"/>
      <c r="L1888" s="175"/>
      <c r="M1888" s="170"/>
      <c r="N1888" s="170"/>
      <c r="O1888" s="176"/>
      <c r="P1888" s="173"/>
      <c r="Q1888" s="177"/>
      <c r="R1888" s="178"/>
      <c r="S1888" s="178"/>
      <c r="T1888" s="179"/>
      <c r="U1888" s="179"/>
      <c r="V1888" s="179"/>
      <c r="W1888" s="176"/>
      <c r="X1888" s="180"/>
      <c r="Y1888" s="170"/>
      <c r="Z1888" s="170"/>
    </row>
    <row r="1889" spans="1:26">
      <c r="A1889" s="170"/>
      <c r="B1889" s="171"/>
      <c r="C1889" s="170"/>
      <c r="D1889" s="172"/>
      <c r="E1889" s="172"/>
      <c r="F1889" s="173"/>
      <c r="G1889" s="172"/>
      <c r="H1889" s="172"/>
      <c r="I1889" s="174"/>
      <c r="J1889" s="174"/>
      <c r="K1889" s="175"/>
      <c r="L1889" s="175"/>
      <c r="M1889" s="170"/>
      <c r="N1889" s="170"/>
      <c r="O1889" s="176"/>
      <c r="P1889" s="173"/>
      <c r="Q1889" s="177"/>
      <c r="R1889" s="178"/>
      <c r="S1889" s="178"/>
      <c r="T1889" s="179"/>
      <c r="U1889" s="179"/>
      <c r="V1889" s="179"/>
      <c r="W1889" s="176"/>
      <c r="X1889" s="180"/>
      <c r="Y1889" s="170"/>
      <c r="Z1889" s="170"/>
    </row>
    <row r="1890" spans="1:26">
      <c r="A1890" s="170"/>
      <c r="B1890" s="171"/>
      <c r="C1890" s="170"/>
      <c r="D1890" s="172"/>
      <c r="E1890" s="172"/>
      <c r="F1890" s="173"/>
      <c r="G1890" s="172"/>
      <c r="H1890" s="172"/>
      <c r="I1890" s="174"/>
      <c r="J1890" s="174"/>
      <c r="K1890" s="175"/>
      <c r="L1890" s="175"/>
      <c r="M1890" s="170"/>
      <c r="N1890" s="170"/>
      <c r="O1890" s="176"/>
      <c r="P1890" s="173"/>
      <c r="Q1890" s="177"/>
      <c r="R1890" s="178"/>
      <c r="S1890" s="178"/>
      <c r="T1890" s="179"/>
      <c r="U1890" s="179"/>
      <c r="V1890" s="179"/>
      <c r="W1890" s="176"/>
      <c r="X1890" s="180"/>
      <c r="Y1890" s="170"/>
      <c r="Z1890" s="170"/>
    </row>
    <row r="1891" spans="1:26">
      <c r="A1891" s="170"/>
      <c r="B1891" s="171"/>
      <c r="C1891" s="170"/>
      <c r="D1891" s="172"/>
      <c r="E1891" s="172"/>
      <c r="F1891" s="173"/>
      <c r="G1891" s="172"/>
      <c r="H1891" s="172"/>
      <c r="I1891" s="174"/>
      <c r="J1891" s="174"/>
      <c r="K1891" s="175"/>
      <c r="L1891" s="175"/>
      <c r="M1891" s="170"/>
      <c r="N1891" s="170"/>
      <c r="O1891" s="176"/>
      <c r="P1891" s="173"/>
      <c r="Q1891" s="177"/>
      <c r="R1891" s="178"/>
      <c r="S1891" s="178"/>
      <c r="T1891" s="179"/>
      <c r="U1891" s="179"/>
      <c r="V1891" s="179"/>
      <c r="W1891" s="176"/>
      <c r="X1891" s="180"/>
      <c r="Y1891" s="170"/>
      <c r="Z1891" s="170"/>
    </row>
    <row r="1892" spans="1:26">
      <c r="A1892" s="170"/>
      <c r="B1892" s="171"/>
      <c r="C1892" s="170"/>
      <c r="D1892" s="172"/>
      <c r="E1892" s="172"/>
      <c r="F1892" s="173"/>
      <c r="G1892" s="172"/>
      <c r="H1892" s="172"/>
      <c r="I1892" s="174"/>
      <c r="J1892" s="174"/>
      <c r="K1892" s="175"/>
      <c r="L1892" s="175"/>
      <c r="M1892" s="170"/>
      <c r="N1892" s="170"/>
      <c r="O1892" s="176"/>
      <c r="P1892" s="173"/>
      <c r="Q1892" s="177"/>
      <c r="R1892" s="178"/>
      <c r="S1892" s="178"/>
      <c r="T1892" s="179"/>
      <c r="U1892" s="179"/>
      <c r="V1892" s="179"/>
      <c r="W1892" s="176"/>
      <c r="X1892" s="180"/>
      <c r="Y1892" s="170"/>
      <c r="Z1892" s="170"/>
    </row>
    <row r="1893" spans="1:26">
      <c r="A1893" s="170"/>
      <c r="B1893" s="171"/>
      <c r="C1893" s="170"/>
      <c r="D1893" s="172"/>
      <c r="E1893" s="172"/>
      <c r="F1893" s="173"/>
      <c r="G1893" s="172"/>
      <c r="H1893" s="172"/>
      <c r="I1893" s="174"/>
      <c r="J1893" s="174"/>
      <c r="K1893" s="175"/>
      <c r="L1893" s="175"/>
      <c r="M1893" s="170"/>
      <c r="N1893" s="170"/>
      <c r="O1893" s="176"/>
      <c r="P1893" s="173"/>
      <c r="Q1893" s="177"/>
      <c r="R1893" s="178"/>
      <c r="S1893" s="178"/>
      <c r="T1893" s="179"/>
      <c r="U1893" s="179"/>
      <c r="V1893" s="179"/>
      <c r="W1893" s="176"/>
      <c r="X1893" s="180"/>
      <c r="Y1893" s="170"/>
      <c r="Z1893" s="170"/>
    </row>
    <row r="1894" spans="1:26">
      <c r="A1894" s="170"/>
      <c r="B1894" s="171"/>
      <c r="C1894" s="170"/>
      <c r="D1894" s="172"/>
      <c r="E1894" s="172"/>
      <c r="F1894" s="173"/>
      <c r="G1894" s="172"/>
      <c r="H1894" s="172"/>
      <c r="I1894" s="174"/>
      <c r="J1894" s="174"/>
      <c r="K1894" s="175"/>
      <c r="L1894" s="175"/>
      <c r="M1894" s="170"/>
      <c r="N1894" s="170"/>
      <c r="O1894" s="176"/>
      <c r="P1894" s="173"/>
      <c r="Q1894" s="177"/>
      <c r="R1894" s="178"/>
      <c r="S1894" s="178"/>
      <c r="T1894" s="179"/>
      <c r="U1894" s="179"/>
      <c r="V1894" s="179"/>
      <c r="W1894" s="176"/>
      <c r="X1894" s="180"/>
      <c r="Y1894" s="170"/>
      <c r="Z1894" s="170"/>
    </row>
    <row r="1895" spans="1:26">
      <c r="A1895" s="170"/>
      <c r="B1895" s="171"/>
      <c r="C1895" s="170"/>
      <c r="D1895" s="172"/>
      <c r="E1895" s="172"/>
      <c r="F1895" s="173"/>
      <c r="G1895" s="172"/>
      <c r="H1895" s="172"/>
      <c r="I1895" s="174"/>
      <c r="J1895" s="174"/>
      <c r="K1895" s="175"/>
      <c r="L1895" s="175"/>
      <c r="M1895" s="170"/>
      <c r="N1895" s="170"/>
      <c r="O1895" s="176"/>
      <c r="P1895" s="173"/>
      <c r="Q1895" s="177"/>
      <c r="R1895" s="178"/>
      <c r="S1895" s="178"/>
      <c r="T1895" s="179"/>
      <c r="U1895" s="179"/>
      <c r="V1895" s="179"/>
      <c r="W1895" s="176"/>
      <c r="X1895" s="180"/>
      <c r="Y1895" s="170"/>
      <c r="Z1895" s="170"/>
    </row>
    <row r="1896" spans="1:26">
      <c r="A1896" s="170"/>
      <c r="B1896" s="171"/>
      <c r="C1896" s="170"/>
      <c r="D1896" s="172"/>
      <c r="E1896" s="172"/>
      <c r="F1896" s="173"/>
      <c r="G1896" s="172"/>
      <c r="H1896" s="172"/>
      <c r="I1896" s="174"/>
      <c r="J1896" s="174"/>
      <c r="K1896" s="175"/>
      <c r="L1896" s="175"/>
      <c r="M1896" s="170"/>
      <c r="N1896" s="170"/>
      <c r="O1896" s="176"/>
      <c r="P1896" s="173"/>
      <c r="Q1896" s="177"/>
      <c r="R1896" s="178"/>
      <c r="S1896" s="178"/>
      <c r="T1896" s="179"/>
      <c r="U1896" s="179"/>
      <c r="V1896" s="179"/>
      <c r="W1896" s="176"/>
      <c r="X1896" s="180"/>
      <c r="Y1896" s="170"/>
      <c r="Z1896" s="170"/>
    </row>
    <row r="1897" spans="1:26">
      <c r="A1897" s="170"/>
      <c r="B1897" s="171"/>
      <c r="C1897" s="170"/>
      <c r="D1897" s="172"/>
      <c r="E1897" s="172"/>
      <c r="F1897" s="173"/>
      <c r="G1897" s="172"/>
      <c r="H1897" s="172"/>
      <c r="I1897" s="174"/>
      <c r="J1897" s="174"/>
      <c r="K1897" s="175"/>
      <c r="L1897" s="175"/>
      <c r="M1897" s="170"/>
      <c r="N1897" s="170"/>
      <c r="O1897" s="176"/>
      <c r="P1897" s="173"/>
      <c r="Q1897" s="177"/>
      <c r="R1897" s="178"/>
      <c r="S1897" s="178"/>
      <c r="T1897" s="179"/>
      <c r="U1897" s="179"/>
      <c r="V1897" s="179"/>
      <c r="W1897" s="176"/>
      <c r="X1897" s="180"/>
      <c r="Y1897" s="170"/>
      <c r="Z1897" s="170"/>
    </row>
    <row r="1898" spans="1:26">
      <c r="A1898" s="170"/>
      <c r="B1898" s="171"/>
      <c r="C1898" s="170"/>
      <c r="D1898" s="172"/>
      <c r="E1898" s="172"/>
      <c r="F1898" s="173"/>
      <c r="G1898" s="172"/>
      <c r="H1898" s="172"/>
      <c r="I1898" s="174"/>
      <c r="J1898" s="174"/>
      <c r="K1898" s="175"/>
      <c r="L1898" s="175"/>
      <c r="M1898" s="170"/>
      <c r="N1898" s="170"/>
      <c r="O1898" s="176"/>
      <c r="P1898" s="173"/>
      <c r="Q1898" s="177"/>
      <c r="R1898" s="178"/>
      <c r="S1898" s="178"/>
      <c r="T1898" s="179"/>
      <c r="U1898" s="179"/>
      <c r="V1898" s="179"/>
      <c r="W1898" s="176"/>
      <c r="X1898" s="180"/>
      <c r="Y1898" s="170"/>
      <c r="Z1898" s="170"/>
    </row>
    <row r="1899" spans="1:26">
      <c r="A1899" s="170"/>
      <c r="B1899" s="171"/>
      <c r="C1899" s="170"/>
      <c r="D1899" s="172"/>
      <c r="E1899" s="172"/>
      <c r="F1899" s="173"/>
      <c r="G1899" s="172"/>
      <c r="H1899" s="172"/>
      <c r="I1899" s="174"/>
      <c r="J1899" s="174"/>
      <c r="K1899" s="175"/>
      <c r="L1899" s="175"/>
      <c r="M1899" s="170"/>
      <c r="N1899" s="170"/>
      <c r="O1899" s="176"/>
      <c r="P1899" s="173"/>
      <c r="Q1899" s="177"/>
      <c r="R1899" s="178"/>
      <c r="S1899" s="178"/>
      <c r="T1899" s="179"/>
      <c r="U1899" s="179"/>
      <c r="V1899" s="179"/>
      <c r="W1899" s="176"/>
      <c r="X1899" s="180"/>
      <c r="Y1899" s="170"/>
      <c r="Z1899" s="170"/>
    </row>
    <row r="1900" spans="1:26">
      <c r="A1900" s="170"/>
      <c r="B1900" s="171"/>
      <c r="C1900" s="170"/>
      <c r="D1900" s="172"/>
      <c r="E1900" s="172"/>
      <c r="F1900" s="173"/>
      <c r="G1900" s="172"/>
      <c r="H1900" s="172"/>
      <c r="I1900" s="174"/>
      <c r="J1900" s="174"/>
      <c r="K1900" s="175"/>
      <c r="L1900" s="175"/>
      <c r="M1900" s="170"/>
      <c r="N1900" s="170"/>
      <c r="O1900" s="176"/>
      <c r="P1900" s="173"/>
      <c r="Q1900" s="177"/>
      <c r="R1900" s="178"/>
      <c r="S1900" s="178"/>
      <c r="T1900" s="179"/>
      <c r="U1900" s="179"/>
      <c r="V1900" s="179"/>
      <c r="W1900" s="176"/>
      <c r="X1900" s="180"/>
      <c r="Y1900" s="170"/>
      <c r="Z1900" s="170"/>
    </row>
    <row r="1901" spans="1:26">
      <c r="A1901" s="170"/>
      <c r="B1901" s="171"/>
      <c r="C1901" s="170"/>
      <c r="D1901" s="172"/>
      <c r="E1901" s="172"/>
      <c r="F1901" s="173"/>
      <c r="G1901" s="172"/>
      <c r="H1901" s="172"/>
      <c r="I1901" s="174"/>
      <c r="J1901" s="174"/>
      <c r="K1901" s="175"/>
      <c r="L1901" s="175"/>
      <c r="M1901" s="170"/>
      <c r="N1901" s="170"/>
      <c r="O1901" s="176"/>
      <c r="P1901" s="173"/>
      <c r="Q1901" s="177"/>
      <c r="R1901" s="178"/>
      <c r="S1901" s="178"/>
      <c r="T1901" s="179"/>
      <c r="U1901" s="179"/>
      <c r="V1901" s="179"/>
      <c r="W1901" s="176"/>
      <c r="X1901" s="180"/>
      <c r="Y1901" s="170"/>
      <c r="Z1901" s="170"/>
    </row>
    <row r="1902" spans="1:26">
      <c r="A1902" s="170"/>
      <c r="B1902" s="171"/>
      <c r="C1902" s="170"/>
      <c r="D1902" s="172"/>
      <c r="E1902" s="172"/>
      <c r="F1902" s="173"/>
      <c r="G1902" s="172"/>
      <c r="H1902" s="172"/>
      <c r="I1902" s="174"/>
      <c r="J1902" s="174"/>
      <c r="K1902" s="175"/>
      <c r="L1902" s="175"/>
      <c r="M1902" s="170"/>
      <c r="N1902" s="170"/>
      <c r="O1902" s="176"/>
      <c r="P1902" s="173"/>
      <c r="Q1902" s="177"/>
      <c r="R1902" s="178"/>
      <c r="S1902" s="178"/>
      <c r="T1902" s="179"/>
      <c r="U1902" s="179"/>
      <c r="V1902" s="179"/>
      <c r="W1902" s="176"/>
      <c r="X1902" s="180"/>
      <c r="Y1902" s="170"/>
      <c r="Z1902" s="170"/>
    </row>
    <row r="1903" spans="1:26">
      <c r="A1903" s="170"/>
      <c r="B1903" s="171"/>
      <c r="C1903" s="170"/>
      <c r="D1903" s="172"/>
      <c r="E1903" s="172"/>
      <c r="F1903" s="173"/>
      <c r="G1903" s="172"/>
      <c r="H1903" s="172"/>
      <c r="I1903" s="174"/>
      <c r="J1903" s="174"/>
      <c r="K1903" s="175"/>
      <c r="L1903" s="175"/>
      <c r="M1903" s="170"/>
      <c r="N1903" s="170"/>
      <c r="O1903" s="176"/>
      <c r="P1903" s="173"/>
      <c r="Q1903" s="177"/>
      <c r="R1903" s="178"/>
      <c r="S1903" s="178"/>
      <c r="T1903" s="179"/>
      <c r="U1903" s="179"/>
      <c r="V1903" s="179"/>
      <c r="W1903" s="176"/>
      <c r="X1903" s="180"/>
      <c r="Y1903" s="170"/>
      <c r="Z1903" s="170"/>
    </row>
    <row r="1904" spans="1:26">
      <c r="A1904" s="170"/>
      <c r="B1904" s="171"/>
      <c r="C1904" s="170"/>
      <c r="D1904" s="172"/>
      <c r="E1904" s="172"/>
      <c r="F1904" s="173"/>
      <c r="G1904" s="172"/>
      <c r="H1904" s="172"/>
      <c r="I1904" s="174"/>
      <c r="J1904" s="174"/>
      <c r="K1904" s="175"/>
      <c r="L1904" s="175"/>
      <c r="M1904" s="170"/>
      <c r="N1904" s="170"/>
      <c r="O1904" s="176"/>
      <c r="P1904" s="173"/>
      <c r="Q1904" s="177"/>
      <c r="R1904" s="178"/>
      <c r="S1904" s="178"/>
      <c r="T1904" s="179"/>
      <c r="U1904" s="179"/>
      <c r="V1904" s="179"/>
      <c r="W1904" s="176"/>
      <c r="X1904" s="180"/>
      <c r="Y1904" s="170"/>
      <c r="Z1904" s="170"/>
    </row>
    <row r="1905" spans="1:26">
      <c r="A1905" s="170"/>
      <c r="B1905" s="171"/>
      <c r="C1905" s="170"/>
      <c r="D1905" s="172"/>
      <c r="E1905" s="172"/>
      <c r="F1905" s="173"/>
      <c r="G1905" s="172"/>
      <c r="H1905" s="172"/>
      <c r="I1905" s="174"/>
      <c r="J1905" s="174"/>
      <c r="K1905" s="175"/>
      <c r="L1905" s="175"/>
      <c r="M1905" s="170"/>
      <c r="N1905" s="170"/>
      <c r="O1905" s="176"/>
      <c r="P1905" s="173"/>
      <c r="Q1905" s="177"/>
      <c r="R1905" s="178"/>
      <c r="S1905" s="178"/>
      <c r="T1905" s="179"/>
      <c r="U1905" s="179"/>
      <c r="V1905" s="179"/>
      <c r="W1905" s="176"/>
      <c r="X1905" s="180"/>
      <c r="Y1905" s="170"/>
      <c r="Z1905" s="170"/>
    </row>
    <row r="1906" spans="1:26">
      <c r="A1906" s="170"/>
      <c r="B1906" s="171"/>
      <c r="C1906" s="170"/>
      <c r="D1906" s="172"/>
      <c r="E1906" s="172"/>
      <c r="F1906" s="173"/>
      <c r="G1906" s="172"/>
      <c r="H1906" s="172"/>
      <c r="I1906" s="174"/>
      <c r="J1906" s="174"/>
      <c r="K1906" s="175"/>
      <c r="L1906" s="175"/>
      <c r="M1906" s="170"/>
      <c r="N1906" s="170"/>
      <c r="O1906" s="176"/>
      <c r="P1906" s="173"/>
      <c r="Q1906" s="177"/>
      <c r="R1906" s="178"/>
      <c r="S1906" s="178"/>
      <c r="T1906" s="179"/>
      <c r="U1906" s="179"/>
      <c r="V1906" s="179"/>
      <c r="W1906" s="176"/>
      <c r="X1906" s="180"/>
      <c r="Y1906" s="170"/>
      <c r="Z1906" s="170"/>
    </row>
    <row r="1907" spans="1:26">
      <c r="A1907" s="170"/>
      <c r="B1907" s="171"/>
      <c r="C1907" s="170"/>
      <c r="D1907" s="172"/>
      <c r="E1907" s="172"/>
      <c r="F1907" s="173"/>
      <c r="G1907" s="172"/>
      <c r="H1907" s="172"/>
      <c r="I1907" s="174"/>
      <c r="J1907" s="174"/>
      <c r="K1907" s="175"/>
      <c r="L1907" s="175"/>
      <c r="M1907" s="170"/>
      <c r="N1907" s="170"/>
      <c r="O1907" s="176"/>
      <c r="P1907" s="173"/>
      <c r="Q1907" s="177"/>
      <c r="R1907" s="178"/>
      <c r="S1907" s="178"/>
      <c r="T1907" s="179"/>
      <c r="U1907" s="179"/>
      <c r="V1907" s="179"/>
      <c r="W1907" s="176"/>
      <c r="X1907" s="180"/>
      <c r="Y1907" s="170"/>
      <c r="Z1907" s="170"/>
    </row>
    <row r="1908" spans="1:26">
      <c r="A1908" s="170"/>
      <c r="B1908" s="171"/>
      <c r="C1908" s="170"/>
      <c r="D1908" s="172"/>
      <c r="E1908" s="172"/>
      <c r="F1908" s="173"/>
      <c r="G1908" s="172"/>
      <c r="H1908" s="172"/>
      <c r="I1908" s="174"/>
      <c r="J1908" s="174"/>
      <c r="K1908" s="175"/>
      <c r="L1908" s="175"/>
      <c r="M1908" s="170"/>
      <c r="N1908" s="170"/>
      <c r="O1908" s="176"/>
      <c r="P1908" s="173"/>
      <c r="Q1908" s="177"/>
      <c r="R1908" s="178"/>
      <c r="S1908" s="178"/>
      <c r="T1908" s="179"/>
      <c r="U1908" s="179"/>
      <c r="V1908" s="179"/>
      <c r="W1908" s="176"/>
      <c r="X1908" s="180"/>
      <c r="Y1908" s="170"/>
      <c r="Z1908" s="170"/>
    </row>
    <row r="1909" spans="1:26">
      <c r="A1909" s="170"/>
      <c r="B1909" s="171"/>
      <c r="C1909" s="170"/>
      <c r="D1909" s="172"/>
      <c r="E1909" s="172"/>
      <c r="F1909" s="173"/>
      <c r="G1909" s="172"/>
      <c r="H1909" s="172"/>
      <c r="I1909" s="174"/>
      <c r="J1909" s="174"/>
      <c r="K1909" s="175"/>
      <c r="L1909" s="175"/>
      <c r="M1909" s="170"/>
      <c r="N1909" s="170"/>
      <c r="O1909" s="176"/>
      <c r="P1909" s="173"/>
      <c r="Q1909" s="177"/>
      <c r="R1909" s="178"/>
      <c r="S1909" s="178"/>
      <c r="T1909" s="179"/>
      <c r="U1909" s="179"/>
      <c r="V1909" s="179"/>
      <c r="W1909" s="176"/>
      <c r="X1909" s="180"/>
      <c r="Y1909" s="170"/>
      <c r="Z1909" s="170"/>
    </row>
    <row r="1910" spans="1:26">
      <c r="A1910" s="170"/>
      <c r="B1910" s="171"/>
      <c r="C1910" s="170"/>
      <c r="D1910" s="172"/>
      <c r="E1910" s="172"/>
      <c r="F1910" s="173"/>
      <c r="G1910" s="172"/>
      <c r="H1910" s="172"/>
      <c r="I1910" s="174"/>
      <c r="J1910" s="174"/>
      <c r="K1910" s="175"/>
      <c r="L1910" s="175"/>
      <c r="M1910" s="170"/>
      <c r="N1910" s="170"/>
      <c r="O1910" s="176"/>
      <c r="P1910" s="173"/>
      <c r="Q1910" s="177"/>
      <c r="R1910" s="178"/>
      <c r="S1910" s="178"/>
      <c r="T1910" s="179"/>
      <c r="U1910" s="179"/>
      <c r="V1910" s="179"/>
      <c r="W1910" s="176"/>
      <c r="X1910" s="180"/>
      <c r="Y1910" s="170"/>
      <c r="Z1910" s="170"/>
    </row>
    <row r="1911" spans="1:26">
      <c r="A1911" s="170"/>
      <c r="B1911" s="171"/>
      <c r="C1911" s="170"/>
      <c r="D1911" s="172"/>
      <c r="E1911" s="172"/>
      <c r="F1911" s="173"/>
      <c r="G1911" s="172"/>
      <c r="H1911" s="172"/>
      <c r="I1911" s="174"/>
      <c r="J1911" s="174"/>
      <c r="K1911" s="175"/>
      <c r="L1911" s="175"/>
      <c r="M1911" s="170"/>
      <c r="N1911" s="170"/>
      <c r="O1911" s="176"/>
      <c r="P1911" s="173"/>
      <c r="Q1911" s="177"/>
      <c r="R1911" s="178"/>
      <c r="S1911" s="178"/>
      <c r="T1911" s="179"/>
      <c r="U1911" s="179"/>
      <c r="V1911" s="179"/>
      <c r="W1911" s="176"/>
      <c r="X1911" s="180"/>
      <c r="Y1911" s="170"/>
      <c r="Z1911" s="170"/>
    </row>
    <row r="1912" spans="1:26">
      <c r="A1912" s="170"/>
      <c r="B1912" s="171"/>
      <c r="C1912" s="170"/>
      <c r="D1912" s="172"/>
      <c r="E1912" s="172"/>
      <c r="F1912" s="173"/>
      <c r="G1912" s="172"/>
      <c r="H1912" s="172"/>
      <c r="I1912" s="174"/>
      <c r="J1912" s="174"/>
      <c r="K1912" s="175"/>
      <c r="L1912" s="175"/>
      <c r="M1912" s="170"/>
      <c r="N1912" s="170"/>
      <c r="O1912" s="176"/>
      <c r="P1912" s="173"/>
      <c r="Q1912" s="177"/>
      <c r="R1912" s="178"/>
      <c r="S1912" s="178"/>
      <c r="T1912" s="179"/>
      <c r="U1912" s="179"/>
      <c r="V1912" s="179"/>
      <c r="W1912" s="176"/>
      <c r="X1912" s="180"/>
      <c r="Y1912" s="170"/>
      <c r="Z1912" s="170"/>
    </row>
    <row r="1913" spans="1:26">
      <c r="A1913" s="170"/>
      <c r="B1913" s="171"/>
      <c r="C1913" s="170"/>
      <c r="D1913" s="172"/>
      <c r="E1913" s="172"/>
      <c r="F1913" s="173"/>
      <c r="G1913" s="172"/>
      <c r="H1913" s="172"/>
      <c r="I1913" s="174"/>
      <c r="J1913" s="174"/>
      <c r="K1913" s="175"/>
      <c r="L1913" s="175"/>
      <c r="M1913" s="170"/>
      <c r="N1913" s="170"/>
      <c r="O1913" s="176"/>
      <c r="P1913" s="173"/>
      <c r="Q1913" s="177"/>
      <c r="R1913" s="178"/>
      <c r="S1913" s="178"/>
      <c r="T1913" s="179"/>
      <c r="U1913" s="179"/>
      <c r="V1913" s="179"/>
      <c r="W1913" s="176"/>
      <c r="X1913" s="180"/>
      <c r="Y1913" s="170"/>
      <c r="Z1913" s="170"/>
    </row>
    <row r="1914" spans="1:26">
      <c r="A1914" s="170"/>
      <c r="B1914" s="171"/>
      <c r="C1914" s="170"/>
      <c r="D1914" s="172"/>
      <c r="E1914" s="172"/>
      <c r="F1914" s="173"/>
      <c r="G1914" s="172"/>
      <c r="H1914" s="172"/>
      <c r="I1914" s="174"/>
      <c r="J1914" s="174"/>
      <c r="K1914" s="175"/>
      <c r="L1914" s="175"/>
      <c r="M1914" s="170"/>
      <c r="N1914" s="170"/>
      <c r="O1914" s="176"/>
      <c r="P1914" s="173"/>
      <c r="Q1914" s="177"/>
      <c r="R1914" s="178"/>
      <c r="S1914" s="178"/>
      <c r="T1914" s="179"/>
      <c r="U1914" s="179"/>
      <c r="V1914" s="179"/>
      <c r="W1914" s="176"/>
      <c r="X1914" s="180"/>
      <c r="Y1914" s="170"/>
      <c r="Z1914" s="170"/>
    </row>
    <row r="1915" spans="1:26">
      <c r="A1915" s="170"/>
      <c r="B1915" s="171"/>
      <c r="C1915" s="170"/>
      <c r="D1915" s="172"/>
      <c r="E1915" s="172"/>
      <c r="F1915" s="173"/>
      <c r="G1915" s="172"/>
      <c r="H1915" s="172"/>
      <c r="I1915" s="174"/>
      <c r="J1915" s="174"/>
      <c r="K1915" s="175"/>
      <c r="L1915" s="175"/>
      <c r="M1915" s="170"/>
      <c r="N1915" s="170"/>
      <c r="O1915" s="176"/>
      <c r="P1915" s="173"/>
      <c r="Q1915" s="177"/>
      <c r="R1915" s="178"/>
      <c r="S1915" s="178"/>
      <c r="T1915" s="179"/>
      <c r="U1915" s="179"/>
      <c r="V1915" s="179"/>
      <c r="W1915" s="176"/>
      <c r="X1915" s="180"/>
      <c r="Y1915" s="170"/>
      <c r="Z1915" s="170"/>
    </row>
    <row r="1916" spans="1:26">
      <c r="A1916" s="170"/>
      <c r="B1916" s="171"/>
      <c r="C1916" s="170"/>
      <c r="D1916" s="172"/>
      <c r="E1916" s="172"/>
      <c r="F1916" s="173"/>
      <c r="G1916" s="172"/>
      <c r="H1916" s="172"/>
      <c r="I1916" s="174"/>
      <c r="J1916" s="174"/>
      <c r="K1916" s="175"/>
      <c r="L1916" s="175"/>
      <c r="M1916" s="170"/>
      <c r="N1916" s="170"/>
      <c r="O1916" s="176"/>
      <c r="P1916" s="173"/>
      <c r="Q1916" s="177"/>
      <c r="R1916" s="178"/>
      <c r="S1916" s="178"/>
      <c r="T1916" s="179"/>
      <c r="U1916" s="179"/>
      <c r="V1916" s="179"/>
      <c r="W1916" s="176"/>
      <c r="X1916" s="180"/>
      <c r="Y1916" s="170"/>
      <c r="Z1916" s="170"/>
    </row>
    <row r="1917" spans="1:26">
      <c r="A1917" s="170"/>
      <c r="B1917" s="171"/>
      <c r="C1917" s="170"/>
      <c r="D1917" s="172"/>
      <c r="E1917" s="172"/>
      <c r="F1917" s="173"/>
      <c r="G1917" s="172"/>
      <c r="H1917" s="172"/>
      <c r="I1917" s="174"/>
      <c r="J1917" s="174"/>
      <c r="K1917" s="175"/>
      <c r="L1917" s="175"/>
      <c r="M1917" s="170"/>
      <c r="N1917" s="170"/>
      <c r="O1917" s="176"/>
      <c r="P1917" s="173"/>
      <c r="Q1917" s="177"/>
      <c r="R1917" s="178"/>
      <c r="S1917" s="178"/>
      <c r="T1917" s="179"/>
      <c r="U1917" s="179"/>
      <c r="V1917" s="179"/>
      <c r="W1917" s="176"/>
      <c r="X1917" s="180"/>
      <c r="Y1917" s="170"/>
      <c r="Z1917" s="170"/>
    </row>
    <row r="1918" spans="1:26">
      <c r="A1918" s="170"/>
      <c r="B1918" s="171"/>
      <c r="C1918" s="170"/>
      <c r="D1918" s="172"/>
      <c r="E1918" s="172"/>
      <c r="F1918" s="173"/>
      <c r="G1918" s="172"/>
      <c r="H1918" s="172"/>
      <c r="I1918" s="174"/>
      <c r="J1918" s="174"/>
      <c r="K1918" s="175"/>
      <c r="L1918" s="175"/>
      <c r="M1918" s="170"/>
      <c r="N1918" s="170"/>
      <c r="O1918" s="176"/>
      <c r="P1918" s="173"/>
      <c r="Q1918" s="177"/>
      <c r="R1918" s="178"/>
      <c r="S1918" s="178"/>
      <c r="T1918" s="179"/>
      <c r="U1918" s="179"/>
      <c r="V1918" s="179"/>
      <c r="W1918" s="176"/>
      <c r="X1918" s="180"/>
      <c r="Y1918" s="170"/>
      <c r="Z1918" s="170"/>
    </row>
    <row r="1919" spans="1:26">
      <c r="A1919" s="170"/>
      <c r="B1919" s="171"/>
      <c r="C1919" s="170"/>
      <c r="D1919" s="172"/>
      <c r="E1919" s="172"/>
      <c r="F1919" s="173"/>
      <c r="G1919" s="172"/>
      <c r="H1919" s="172"/>
      <c r="I1919" s="174"/>
      <c r="J1919" s="174"/>
      <c r="K1919" s="175"/>
      <c r="L1919" s="175"/>
      <c r="M1919" s="170"/>
      <c r="N1919" s="170"/>
      <c r="O1919" s="176"/>
      <c r="P1919" s="173"/>
      <c r="Q1919" s="177"/>
      <c r="R1919" s="178"/>
      <c r="S1919" s="178"/>
      <c r="T1919" s="179"/>
      <c r="U1919" s="179"/>
      <c r="V1919" s="179"/>
      <c r="W1919" s="176"/>
      <c r="X1919" s="180"/>
      <c r="Y1919" s="170"/>
      <c r="Z1919" s="170"/>
    </row>
    <row r="1920" spans="1:26">
      <c r="A1920" s="170"/>
      <c r="B1920" s="171"/>
      <c r="C1920" s="170"/>
      <c r="D1920" s="172"/>
      <c r="E1920" s="172"/>
      <c r="F1920" s="173"/>
      <c r="G1920" s="172"/>
      <c r="H1920" s="172"/>
      <c r="I1920" s="174"/>
      <c r="J1920" s="174"/>
      <c r="K1920" s="175"/>
      <c r="L1920" s="175"/>
      <c r="M1920" s="170"/>
      <c r="N1920" s="170"/>
      <c r="O1920" s="176"/>
      <c r="P1920" s="173"/>
      <c r="Q1920" s="177"/>
      <c r="R1920" s="178"/>
      <c r="S1920" s="178"/>
      <c r="T1920" s="179"/>
      <c r="U1920" s="179"/>
      <c r="V1920" s="179"/>
      <c r="W1920" s="176"/>
      <c r="X1920" s="180"/>
      <c r="Y1920" s="170"/>
      <c r="Z1920" s="170"/>
    </row>
    <row r="1921" spans="1:26">
      <c r="A1921" s="170"/>
      <c r="B1921" s="171"/>
      <c r="C1921" s="170"/>
      <c r="D1921" s="172"/>
      <c r="E1921" s="172"/>
      <c r="F1921" s="173"/>
      <c r="G1921" s="172"/>
      <c r="H1921" s="172"/>
      <c r="I1921" s="174"/>
      <c r="J1921" s="174"/>
      <c r="K1921" s="175"/>
      <c r="L1921" s="175"/>
      <c r="M1921" s="170"/>
      <c r="N1921" s="170"/>
      <c r="O1921" s="176"/>
      <c r="P1921" s="173"/>
      <c r="Q1921" s="177"/>
      <c r="R1921" s="178"/>
      <c r="S1921" s="178"/>
      <c r="T1921" s="179"/>
      <c r="U1921" s="179"/>
      <c r="V1921" s="179"/>
      <c r="W1921" s="176"/>
      <c r="X1921" s="180"/>
      <c r="Y1921" s="170"/>
      <c r="Z1921" s="170"/>
    </row>
    <row r="1922" spans="1:26">
      <c r="A1922" s="170"/>
      <c r="B1922" s="171"/>
      <c r="C1922" s="170"/>
      <c r="D1922" s="172"/>
      <c r="E1922" s="172"/>
      <c r="F1922" s="173"/>
      <c r="G1922" s="172"/>
      <c r="H1922" s="172"/>
      <c r="I1922" s="174"/>
      <c r="J1922" s="174"/>
      <c r="K1922" s="175"/>
      <c r="L1922" s="175"/>
      <c r="M1922" s="170"/>
      <c r="N1922" s="170"/>
      <c r="O1922" s="176"/>
      <c r="P1922" s="173"/>
      <c r="Q1922" s="177"/>
      <c r="R1922" s="178"/>
      <c r="S1922" s="178"/>
      <c r="T1922" s="179"/>
      <c r="U1922" s="179"/>
      <c r="V1922" s="179"/>
      <c r="W1922" s="176"/>
      <c r="X1922" s="180"/>
      <c r="Y1922" s="170"/>
      <c r="Z1922" s="170"/>
    </row>
    <row r="1923" spans="1:26">
      <c r="A1923" s="170"/>
      <c r="B1923" s="171"/>
      <c r="C1923" s="170"/>
      <c r="D1923" s="172"/>
      <c r="E1923" s="172"/>
      <c r="F1923" s="173"/>
      <c r="G1923" s="172"/>
      <c r="H1923" s="172"/>
      <c r="I1923" s="174"/>
      <c r="J1923" s="174"/>
      <c r="K1923" s="175"/>
      <c r="L1923" s="175"/>
      <c r="M1923" s="170"/>
      <c r="N1923" s="170"/>
      <c r="O1923" s="176"/>
      <c r="P1923" s="173"/>
      <c r="Q1923" s="177"/>
      <c r="R1923" s="178"/>
      <c r="S1923" s="178"/>
      <c r="T1923" s="179"/>
      <c r="U1923" s="179"/>
      <c r="V1923" s="179"/>
      <c r="W1923" s="176"/>
      <c r="X1923" s="180"/>
      <c r="Y1923" s="170"/>
      <c r="Z1923" s="170"/>
    </row>
    <row r="1924" spans="1:26">
      <c r="A1924" s="170"/>
      <c r="B1924" s="171"/>
      <c r="C1924" s="170"/>
      <c r="D1924" s="172"/>
      <c r="E1924" s="172"/>
      <c r="F1924" s="173"/>
      <c r="G1924" s="172"/>
      <c r="H1924" s="172"/>
      <c r="I1924" s="174"/>
      <c r="J1924" s="174"/>
      <c r="K1924" s="175"/>
      <c r="L1924" s="175"/>
      <c r="M1924" s="170"/>
      <c r="N1924" s="170"/>
      <c r="O1924" s="176"/>
      <c r="P1924" s="173"/>
      <c r="Q1924" s="177"/>
      <c r="R1924" s="178"/>
      <c r="S1924" s="178"/>
      <c r="T1924" s="179"/>
      <c r="U1924" s="179"/>
      <c r="V1924" s="179"/>
      <c r="W1924" s="176"/>
      <c r="X1924" s="180"/>
      <c r="Y1924" s="170"/>
      <c r="Z1924" s="170"/>
    </row>
    <row r="1925" spans="1:26">
      <c r="A1925" s="170"/>
      <c r="B1925" s="171"/>
      <c r="C1925" s="170"/>
      <c r="D1925" s="172"/>
      <c r="E1925" s="172"/>
      <c r="F1925" s="173"/>
      <c r="G1925" s="172"/>
      <c r="H1925" s="172"/>
      <c r="I1925" s="174"/>
      <c r="J1925" s="174"/>
      <c r="K1925" s="175"/>
      <c r="L1925" s="175"/>
      <c r="M1925" s="170"/>
      <c r="N1925" s="170"/>
      <c r="O1925" s="176"/>
      <c r="P1925" s="173"/>
      <c r="Q1925" s="177"/>
      <c r="R1925" s="178"/>
      <c r="S1925" s="178"/>
      <c r="T1925" s="179"/>
      <c r="U1925" s="179"/>
      <c r="V1925" s="179"/>
      <c r="W1925" s="176"/>
      <c r="X1925" s="180"/>
      <c r="Y1925" s="170"/>
      <c r="Z1925" s="170"/>
    </row>
    <row r="1926" spans="1:26">
      <c r="A1926" s="170"/>
      <c r="B1926" s="171"/>
      <c r="C1926" s="170"/>
      <c r="D1926" s="172"/>
      <c r="E1926" s="172"/>
      <c r="F1926" s="173"/>
      <c r="G1926" s="172"/>
      <c r="H1926" s="172"/>
      <c r="I1926" s="174"/>
      <c r="J1926" s="174"/>
      <c r="K1926" s="175"/>
      <c r="L1926" s="175"/>
      <c r="M1926" s="170"/>
      <c r="N1926" s="170"/>
      <c r="O1926" s="176"/>
      <c r="P1926" s="173"/>
      <c r="Q1926" s="177"/>
      <c r="R1926" s="178"/>
      <c r="S1926" s="178"/>
      <c r="T1926" s="179"/>
      <c r="U1926" s="179"/>
      <c r="V1926" s="179"/>
      <c r="W1926" s="176"/>
      <c r="X1926" s="180"/>
      <c r="Y1926" s="170"/>
      <c r="Z1926" s="170"/>
    </row>
    <row r="1927" spans="1:26">
      <c r="A1927" s="170"/>
      <c r="B1927" s="171"/>
      <c r="C1927" s="170"/>
      <c r="D1927" s="172"/>
      <c r="E1927" s="172"/>
      <c r="F1927" s="173"/>
      <c r="G1927" s="172"/>
      <c r="H1927" s="172"/>
      <c r="I1927" s="174"/>
      <c r="J1927" s="174"/>
      <c r="K1927" s="175"/>
      <c r="L1927" s="175"/>
      <c r="M1927" s="170"/>
      <c r="N1927" s="170"/>
      <c r="O1927" s="176"/>
      <c r="P1927" s="173"/>
      <c r="Q1927" s="177"/>
      <c r="R1927" s="178"/>
      <c r="S1927" s="178"/>
      <c r="T1927" s="179"/>
      <c r="U1927" s="179"/>
      <c r="V1927" s="179"/>
      <c r="W1927" s="176"/>
      <c r="X1927" s="180"/>
      <c r="Y1927" s="170"/>
      <c r="Z1927" s="170"/>
    </row>
    <row r="1928" spans="1:26">
      <c r="A1928" s="170"/>
      <c r="B1928" s="171"/>
      <c r="C1928" s="170"/>
      <c r="D1928" s="172"/>
      <c r="E1928" s="172"/>
      <c r="F1928" s="173"/>
      <c r="G1928" s="172"/>
      <c r="H1928" s="172"/>
      <c r="I1928" s="174"/>
      <c r="J1928" s="174"/>
      <c r="K1928" s="175"/>
      <c r="L1928" s="175"/>
      <c r="M1928" s="170"/>
      <c r="N1928" s="170"/>
      <c r="O1928" s="176"/>
      <c r="P1928" s="173"/>
      <c r="Q1928" s="177"/>
      <c r="R1928" s="178"/>
      <c r="S1928" s="178"/>
      <c r="T1928" s="179"/>
      <c r="U1928" s="179"/>
      <c r="V1928" s="179"/>
      <c r="W1928" s="176"/>
      <c r="X1928" s="180"/>
      <c r="Y1928" s="170"/>
      <c r="Z1928" s="170"/>
    </row>
    <row r="1929" spans="1:26">
      <c r="A1929" s="170"/>
      <c r="B1929" s="171"/>
      <c r="C1929" s="170"/>
      <c r="D1929" s="172"/>
      <c r="E1929" s="172"/>
      <c r="F1929" s="173"/>
      <c r="G1929" s="172"/>
      <c r="H1929" s="172"/>
      <c r="I1929" s="174"/>
      <c r="J1929" s="174"/>
      <c r="K1929" s="175"/>
      <c r="L1929" s="175"/>
      <c r="M1929" s="170"/>
      <c r="N1929" s="170"/>
      <c r="O1929" s="176"/>
      <c r="P1929" s="173"/>
      <c r="Q1929" s="177"/>
      <c r="R1929" s="178"/>
      <c r="S1929" s="178"/>
      <c r="T1929" s="179"/>
      <c r="U1929" s="179"/>
      <c r="V1929" s="179"/>
      <c r="W1929" s="176"/>
      <c r="X1929" s="180"/>
      <c r="Y1929" s="170"/>
      <c r="Z1929" s="170"/>
    </row>
    <row r="1930" spans="1:26">
      <c r="A1930" s="170"/>
      <c r="B1930" s="171"/>
      <c r="C1930" s="170"/>
      <c r="D1930" s="172"/>
      <c r="E1930" s="172"/>
      <c r="F1930" s="173"/>
      <c r="G1930" s="172"/>
      <c r="H1930" s="172"/>
      <c r="I1930" s="174"/>
      <c r="J1930" s="174"/>
      <c r="K1930" s="175"/>
      <c r="L1930" s="175"/>
      <c r="M1930" s="170"/>
      <c r="N1930" s="170"/>
      <c r="O1930" s="176"/>
      <c r="P1930" s="173"/>
      <c r="Q1930" s="177"/>
      <c r="R1930" s="178"/>
      <c r="S1930" s="178"/>
      <c r="T1930" s="179"/>
      <c r="U1930" s="179"/>
      <c r="V1930" s="179"/>
      <c r="W1930" s="176"/>
      <c r="X1930" s="180"/>
      <c r="Y1930" s="170"/>
      <c r="Z1930" s="170"/>
    </row>
    <row r="1931" spans="1:26">
      <c r="A1931" s="170"/>
      <c r="B1931" s="171"/>
      <c r="C1931" s="170"/>
      <c r="D1931" s="172"/>
      <c r="E1931" s="172"/>
      <c r="F1931" s="173"/>
      <c r="G1931" s="172"/>
      <c r="H1931" s="172"/>
      <c r="I1931" s="174"/>
      <c r="J1931" s="174"/>
      <c r="K1931" s="175"/>
      <c r="L1931" s="175"/>
      <c r="M1931" s="170"/>
      <c r="N1931" s="170"/>
      <c r="O1931" s="176"/>
      <c r="P1931" s="173"/>
      <c r="Q1931" s="177"/>
      <c r="R1931" s="178"/>
      <c r="S1931" s="178"/>
      <c r="T1931" s="179"/>
      <c r="U1931" s="179"/>
      <c r="V1931" s="179"/>
      <c r="W1931" s="176"/>
      <c r="X1931" s="180"/>
      <c r="Y1931" s="170"/>
      <c r="Z1931" s="170"/>
    </row>
    <row r="1932" spans="1:26">
      <c r="A1932" s="170"/>
      <c r="B1932" s="171"/>
      <c r="C1932" s="170"/>
      <c r="D1932" s="172"/>
      <c r="E1932" s="172"/>
      <c r="F1932" s="173"/>
      <c r="G1932" s="172"/>
      <c r="H1932" s="172"/>
      <c r="I1932" s="174"/>
      <c r="J1932" s="174"/>
      <c r="K1932" s="175"/>
      <c r="L1932" s="175"/>
      <c r="M1932" s="170"/>
      <c r="N1932" s="170"/>
      <c r="O1932" s="176"/>
      <c r="P1932" s="173"/>
      <c r="Q1932" s="177"/>
      <c r="R1932" s="178"/>
      <c r="S1932" s="178"/>
      <c r="T1932" s="179"/>
      <c r="U1932" s="179"/>
      <c r="V1932" s="179"/>
      <c r="W1932" s="176"/>
      <c r="X1932" s="180"/>
      <c r="Y1932" s="170"/>
      <c r="Z1932" s="170"/>
    </row>
    <row r="1933" spans="1:26">
      <c r="A1933" s="170"/>
      <c r="B1933" s="171"/>
      <c r="C1933" s="170"/>
      <c r="D1933" s="172"/>
      <c r="E1933" s="172"/>
      <c r="F1933" s="173"/>
      <c r="G1933" s="172"/>
      <c r="H1933" s="172"/>
      <c r="I1933" s="174"/>
      <c r="J1933" s="174"/>
      <c r="K1933" s="175"/>
      <c r="L1933" s="175"/>
      <c r="M1933" s="170"/>
      <c r="N1933" s="170"/>
      <c r="O1933" s="176"/>
      <c r="P1933" s="173"/>
      <c r="Q1933" s="177"/>
      <c r="R1933" s="178"/>
      <c r="S1933" s="178"/>
      <c r="T1933" s="179"/>
      <c r="U1933" s="179"/>
      <c r="V1933" s="179"/>
      <c r="W1933" s="176"/>
      <c r="X1933" s="180"/>
      <c r="Y1933" s="170"/>
      <c r="Z1933" s="170"/>
    </row>
    <row r="1934" spans="1:26">
      <c r="A1934" s="170"/>
      <c r="B1934" s="171"/>
      <c r="C1934" s="170"/>
      <c r="D1934" s="172"/>
      <c r="E1934" s="172"/>
      <c r="F1934" s="173"/>
      <c r="G1934" s="172"/>
      <c r="H1934" s="172"/>
      <c r="I1934" s="174"/>
      <c r="J1934" s="174"/>
      <c r="K1934" s="175"/>
      <c r="L1934" s="175"/>
      <c r="M1934" s="170"/>
      <c r="N1934" s="170"/>
      <c r="O1934" s="176"/>
      <c r="P1934" s="173"/>
      <c r="Q1934" s="177"/>
      <c r="R1934" s="178"/>
      <c r="S1934" s="178"/>
      <c r="T1934" s="179"/>
      <c r="U1934" s="179"/>
      <c r="V1934" s="179"/>
      <c r="W1934" s="176"/>
      <c r="X1934" s="180"/>
      <c r="Y1934" s="170"/>
      <c r="Z1934" s="170"/>
    </row>
    <row r="1935" spans="1:26">
      <c r="A1935" s="170"/>
      <c r="B1935" s="171"/>
      <c r="C1935" s="170"/>
      <c r="D1935" s="172"/>
      <c r="E1935" s="172"/>
      <c r="F1935" s="173"/>
      <c r="G1935" s="172"/>
      <c r="H1935" s="172"/>
      <c r="I1935" s="174"/>
      <c r="J1935" s="174"/>
      <c r="K1935" s="175"/>
      <c r="L1935" s="175"/>
      <c r="M1935" s="170"/>
      <c r="N1935" s="170"/>
      <c r="O1935" s="176"/>
      <c r="P1935" s="173"/>
      <c r="Q1935" s="177"/>
      <c r="R1935" s="178"/>
      <c r="S1935" s="178"/>
      <c r="T1935" s="179"/>
      <c r="U1935" s="179"/>
      <c r="V1935" s="179"/>
      <c r="W1935" s="176"/>
      <c r="X1935" s="180"/>
      <c r="Y1935" s="170"/>
      <c r="Z1935" s="170"/>
    </row>
    <row r="1936" spans="1:26">
      <c r="A1936" s="170"/>
      <c r="B1936" s="171"/>
      <c r="C1936" s="170"/>
      <c r="D1936" s="172"/>
      <c r="E1936" s="172"/>
      <c r="F1936" s="173"/>
      <c r="G1936" s="172"/>
      <c r="H1936" s="172"/>
      <c r="I1936" s="174"/>
      <c r="J1936" s="174"/>
      <c r="K1936" s="175"/>
      <c r="L1936" s="175"/>
      <c r="M1936" s="170"/>
      <c r="N1936" s="170"/>
      <c r="O1936" s="176"/>
      <c r="P1936" s="173"/>
      <c r="Q1936" s="177"/>
      <c r="R1936" s="178"/>
      <c r="S1936" s="178"/>
      <c r="T1936" s="179"/>
      <c r="U1936" s="179"/>
      <c r="V1936" s="179"/>
      <c r="W1936" s="176"/>
      <c r="X1936" s="180"/>
      <c r="Y1936" s="170"/>
      <c r="Z1936" s="170"/>
    </row>
    <row r="1937" spans="1:26">
      <c r="A1937" s="170"/>
      <c r="B1937" s="171"/>
      <c r="C1937" s="170"/>
      <c r="D1937" s="172"/>
      <c r="E1937" s="172"/>
      <c r="F1937" s="173"/>
      <c r="G1937" s="172"/>
      <c r="H1937" s="172"/>
      <c r="I1937" s="174"/>
      <c r="J1937" s="174"/>
      <c r="K1937" s="175"/>
      <c r="L1937" s="175"/>
      <c r="M1937" s="170"/>
      <c r="N1937" s="170"/>
      <c r="O1937" s="176"/>
      <c r="P1937" s="173"/>
      <c r="Q1937" s="177"/>
      <c r="R1937" s="178"/>
      <c r="S1937" s="178"/>
      <c r="T1937" s="179"/>
      <c r="U1937" s="179"/>
      <c r="V1937" s="179"/>
      <c r="W1937" s="176"/>
      <c r="X1937" s="180"/>
      <c r="Y1937" s="170"/>
      <c r="Z1937" s="170"/>
    </row>
    <row r="1938" spans="1:26">
      <c r="A1938" s="170"/>
      <c r="B1938" s="171"/>
      <c r="C1938" s="170"/>
      <c r="D1938" s="172"/>
      <c r="E1938" s="172"/>
      <c r="F1938" s="173"/>
      <c r="G1938" s="172"/>
      <c r="H1938" s="172"/>
      <c r="I1938" s="174"/>
      <c r="J1938" s="174"/>
      <c r="K1938" s="175"/>
      <c r="L1938" s="175"/>
      <c r="M1938" s="170"/>
      <c r="N1938" s="170"/>
      <c r="O1938" s="176"/>
      <c r="P1938" s="173"/>
      <c r="Q1938" s="177"/>
      <c r="R1938" s="178"/>
      <c r="S1938" s="178"/>
      <c r="T1938" s="179"/>
      <c r="U1938" s="179"/>
      <c r="V1938" s="179"/>
      <c r="W1938" s="176"/>
      <c r="X1938" s="180"/>
      <c r="Y1938" s="170"/>
      <c r="Z1938" s="170"/>
    </row>
    <row r="1939" spans="1:26">
      <c r="A1939" s="170"/>
      <c r="B1939" s="171"/>
      <c r="C1939" s="170"/>
      <c r="D1939" s="172"/>
      <c r="E1939" s="172"/>
      <c r="F1939" s="173"/>
      <c r="G1939" s="172"/>
      <c r="H1939" s="172"/>
      <c r="I1939" s="174"/>
      <c r="J1939" s="174"/>
      <c r="K1939" s="175"/>
      <c r="L1939" s="175"/>
      <c r="M1939" s="170"/>
      <c r="N1939" s="170"/>
      <c r="O1939" s="176"/>
      <c r="P1939" s="173"/>
      <c r="Q1939" s="177"/>
      <c r="R1939" s="178"/>
      <c r="S1939" s="178"/>
      <c r="T1939" s="179"/>
      <c r="U1939" s="179"/>
      <c r="V1939" s="179"/>
      <c r="W1939" s="176"/>
      <c r="X1939" s="180"/>
      <c r="Y1939" s="170"/>
      <c r="Z1939" s="170"/>
    </row>
    <row r="1940" spans="1:26">
      <c r="A1940" s="170"/>
      <c r="B1940" s="171"/>
      <c r="C1940" s="170"/>
      <c r="D1940" s="172"/>
      <c r="E1940" s="172"/>
      <c r="F1940" s="173"/>
      <c r="G1940" s="172"/>
      <c r="H1940" s="172"/>
      <c r="I1940" s="174"/>
      <c r="J1940" s="174"/>
      <c r="K1940" s="175"/>
      <c r="L1940" s="175"/>
      <c r="M1940" s="170"/>
      <c r="N1940" s="170"/>
      <c r="O1940" s="176"/>
      <c r="P1940" s="173"/>
      <c r="Q1940" s="177"/>
      <c r="R1940" s="178"/>
      <c r="S1940" s="178"/>
      <c r="T1940" s="179"/>
      <c r="U1940" s="179"/>
      <c r="V1940" s="179"/>
      <c r="W1940" s="176"/>
      <c r="X1940" s="180"/>
      <c r="Y1940" s="170"/>
      <c r="Z1940" s="170"/>
    </row>
    <row r="1941" spans="1:26">
      <c r="A1941" s="170"/>
      <c r="B1941" s="171"/>
      <c r="C1941" s="170"/>
      <c r="D1941" s="172"/>
      <c r="E1941" s="172"/>
      <c r="F1941" s="173"/>
      <c r="G1941" s="172"/>
      <c r="H1941" s="172"/>
      <c r="I1941" s="174"/>
      <c r="J1941" s="174"/>
      <c r="K1941" s="175"/>
      <c r="L1941" s="175"/>
      <c r="M1941" s="170"/>
      <c r="N1941" s="170"/>
      <c r="O1941" s="176"/>
      <c r="P1941" s="173"/>
      <c r="Q1941" s="177"/>
      <c r="R1941" s="178"/>
      <c r="S1941" s="178"/>
      <c r="T1941" s="179"/>
      <c r="U1941" s="179"/>
      <c r="V1941" s="179"/>
      <c r="W1941" s="176"/>
      <c r="X1941" s="180"/>
      <c r="Y1941" s="170"/>
      <c r="Z1941" s="170"/>
    </row>
    <row r="1942" spans="1:26">
      <c r="A1942" s="170"/>
      <c r="B1942" s="171"/>
      <c r="C1942" s="170"/>
      <c r="D1942" s="172"/>
      <c r="E1942" s="172"/>
      <c r="F1942" s="173"/>
      <c r="G1942" s="172"/>
      <c r="H1942" s="172"/>
      <c r="I1942" s="174"/>
      <c r="J1942" s="174"/>
      <c r="K1942" s="175"/>
      <c r="L1942" s="175"/>
      <c r="M1942" s="170"/>
      <c r="N1942" s="170"/>
      <c r="O1942" s="176"/>
      <c r="P1942" s="173"/>
      <c r="Q1942" s="177"/>
      <c r="R1942" s="178"/>
      <c r="S1942" s="178"/>
      <c r="T1942" s="179"/>
      <c r="U1942" s="179"/>
      <c r="V1942" s="179"/>
      <c r="W1942" s="176"/>
      <c r="X1942" s="180"/>
      <c r="Y1942" s="170"/>
      <c r="Z1942" s="170"/>
    </row>
    <row r="1943" spans="1:26">
      <c r="A1943" s="170"/>
      <c r="B1943" s="171"/>
      <c r="C1943" s="170"/>
      <c r="D1943" s="172"/>
      <c r="E1943" s="172"/>
      <c r="F1943" s="173"/>
      <c r="G1943" s="172"/>
      <c r="H1943" s="172"/>
      <c r="I1943" s="174"/>
      <c r="J1943" s="174"/>
      <c r="K1943" s="175"/>
      <c r="L1943" s="175"/>
      <c r="M1943" s="170"/>
      <c r="N1943" s="170"/>
      <c r="O1943" s="176"/>
      <c r="P1943" s="173"/>
      <c r="Q1943" s="177"/>
      <c r="R1943" s="178"/>
      <c r="S1943" s="178"/>
      <c r="T1943" s="179"/>
      <c r="U1943" s="179"/>
      <c r="V1943" s="179"/>
      <c r="W1943" s="176"/>
      <c r="X1943" s="180"/>
      <c r="Y1943" s="170"/>
      <c r="Z1943" s="170"/>
    </row>
    <row r="1944" spans="1:26">
      <c r="A1944" s="170"/>
      <c r="B1944" s="171"/>
      <c r="C1944" s="170"/>
      <c r="D1944" s="172"/>
      <c r="E1944" s="172"/>
      <c r="F1944" s="173"/>
      <c r="G1944" s="172"/>
      <c r="H1944" s="172"/>
      <c r="I1944" s="174"/>
      <c r="J1944" s="174"/>
      <c r="K1944" s="175"/>
      <c r="L1944" s="175"/>
      <c r="M1944" s="170"/>
      <c r="N1944" s="170"/>
      <c r="O1944" s="176"/>
      <c r="P1944" s="173"/>
      <c r="Q1944" s="177"/>
      <c r="R1944" s="178"/>
      <c r="S1944" s="178"/>
      <c r="T1944" s="179"/>
      <c r="U1944" s="179"/>
      <c r="V1944" s="179"/>
      <c r="W1944" s="176"/>
      <c r="X1944" s="180"/>
      <c r="Y1944" s="170"/>
      <c r="Z1944" s="170"/>
    </row>
    <row r="1945" spans="1:26">
      <c r="A1945" s="170"/>
      <c r="B1945" s="171"/>
      <c r="C1945" s="170"/>
      <c r="D1945" s="172"/>
      <c r="E1945" s="172"/>
      <c r="F1945" s="173"/>
      <c r="G1945" s="172"/>
      <c r="H1945" s="172"/>
      <c r="I1945" s="174"/>
      <c r="J1945" s="174"/>
      <c r="K1945" s="175"/>
      <c r="L1945" s="175"/>
      <c r="M1945" s="170"/>
      <c r="N1945" s="170"/>
      <c r="O1945" s="176"/>
      <c r="P1945" s="173"/>
      <c r="Q1945" s="177"/>
      <c r="R1945" s="178"/>
      <c r="S1945" s="178"/>
      <c r="T1945" s="179"/>
      <c r="U1945" s="179"/>
      <c r="V1945" s="179"/>
      <c r="W1945" s="176"/>
      <c r="X1945" s="180"/>
      <c r="Y1945" s="170"/>
      <c r="Z1945" s="170"/>
    </row>
    <row r="1946" spans="1:26">
      <c r="A1946" s="170"/>
      <c r="B1946" s="171"/>
      <c r="C1946" s="170"/>
      <c r="D1946" s="172"/>
      <c r="E1946" s="172"/>
      <c r="F1946" s="173"/>
      <c r="G1946" s="172"/>
      <c r="H1946" s="172"/>
      <c r="I1946" s="174"/>
      <c r="J1946" s="174"/>
      <c r="K1946" s="175"/>
      <c r="L1946" s="175"/>
      <c r="M1946" s="170"/>
      <c r="N1946" s="170"/>
      <c r="O1946" s="176"/>
      <c r="P1946" s="173"/>
      <c r="Q1946" s="177"/>
      <c r="R1946" s="178"/>
      <c r="S1946" s="178"/>
      <c r="T1946" s="179"/>
      <c r="U1946" s="179"/>
      <c r="V1946" s="179"/>
      <c r="W1946" s="176"/>
      <c r="X1946" s="180"/>
      <c r="Y1946" s="170"/>
      <c r="Z1946" s="170"/>
    </row>
    <row r="1947" spans="1:26">
      <c r="A1947" s="170"/>
      <c r="B1947" s="171"/>
      <c r="C1947" s="170"/>
      <c r="D1947" s="172"/>
      <c r="E1947" s="172"/>
      <c r="F1947" s="173"/>
      <c r="G1947" s="172"/>
      <c r="H1947" s="172"/>
      <c r="I1947" s="174"/>
      <c r="J1947" s="174"/>
      <c r="K1947" s="175"/>
      <c r="L1947" s="175"/>
      <c r="M1947" s="170"/>
      <c r="N1947" s="170"/>
      <c r="O1947" s="176"/>
      <c r="P1947" s="173"/>
      <c r="Q1947" s="177"/>
      <c r="R1947" s="178"/>
      <c r="S1947" s="178"/>
      <c r="T1947" s="179"/>
      <c r="U1947" s="179"/>
      <c r="V1947" s="179"/>
      <c r="W1947" s="176"/>
      <c r="X1947" s="180"/>
      <c r="Y1947" s="170"/>
      <c r="Z1947" s="170"/>
    </row>
    <row r="1948" spans="1:26">
      <c r="A1948" s="170"/>
      <c r="B1948" s="171"/>
      <c r="C1948" s="170"/>
      <c r="D1948" s="172"/>
      <c r="E1948" s="172"/>
      <c r="F1948" s="173"/>
      <c r="G1948" s="172"/>
      <c r="H1948" s="172"/>
      <c r="I1948" s="174"/>
      <c r="J1948" s="174"/>
      <c r="K1948" s="175"/>
      <c r="L1948" s="175"/>
      <c r="M1948" s="170"/>
      <c r="N1948" s="170"/>
      <c r="O1948" s="176"/>
      <c r="P1948" s="173"/>
      <c r="Q1948" s="177"/>
      <c r="R1948" s="178"/>
      <c r="S1948" s="178"/>
      <c r="T1948" s="179"/>
      <c r="U1948" s="179"/>
      <c r="V1948" s="179"/>
      <c r="W1948" s="176"/>
      <c r="X1948" s="180"/>
      <c r="Y1948" s="170"/>
      <c r="Z1948" s="170"/>
    </row>
    <row r="1949" spans="1:26">
      <c r="A1949" s="170"/>
      <c r="B1949" s="171"/>
      <c r="C1949" s="170"/>
      <c r="D1949" s="172"/>
      <c r="E1949" s="172"/>
      <c r="F1949" s="173"/>
      <c r="G1949" s="172"/>
      <c r="H1949" s="172"/>
      <c r="I1949" s="174"/>
      <c r="J1949" s="174"/>
      <c r="K1949" s="175"/>
      <c r="L1949" s="175"/>
      <c r="M1949" s="170"/>
      <c r="N1949" s="170"/>
      <c r="O1949" s="176"/>
      <c r="P1949" s="173"/>
      <c r="Q1949" s="177"/>
      <c r="R1949" s="178"/>
      <c r="S1949" s="178"/>
      <c r="T1949" s="179"/>
      <c r="U1949" s="179"/>
      <c r="V1949" s="179"/>
      <c r="W1949" s="176"/>
      <c r="X1949" s="180"/>
      <c r="Y1949" s="170"/>
      <c r="Z1949" s="170"/>
    </row>
    <row r="1950" spans="1:26">
      <c r="A1950" s="170"/>
      <c r="B1950" s="171"/>
      <c r="C1950" s="170"/>
      <c r="D1950" s="172"/>
      <c r="E1950" s="172"/>
      <c r="F1950" s="173"/>
      <c r="G1950" s="172"/>
      <c r="H1950" s="172"/>
      <c r="I1950" s="174"/>
      <c r="J1950" s="174"/>
      <c r="K1950" s="175"/>
      <c r="L1950" s="175"/>
      <c r="M1950" s="170"/>
      <c r="N1950" s="170"/>
      <c r="O1950" s="176"/>
      <c r="P1950" s="173"/>
      <c r="Q1950" s="177"/>
      <c r="R1950" s="178"/>
      <c r="S1950" s="178"/>
      <c r="T1950" s="179"/>
      <c r="U1950" s="179"/>
      <c r="V1950" s="179"/>
      <c r="W1950" s="176"/>
      <c r="X1950" s="180"/>
      <c r="Y1950" s="170"/>
      <c r="Z1950" s="170"/>
    </row>
    <row r="1951" spans="1:26">
      <c r="A1951" s="170"/>
      <c r="B1951" s="171"/>
      <c r="C1951" s="170"/>
      <c r="D1951" s="172"/>
      <c r="E1951" s="172"/>
      <c r="F1951" s="173"/>
      <c r="G1951" s="172"/>
      <c r="H1951" s="172"/>
      <c r="I1951" s="174"/>
      <c r="J1951" s="174"/>
      <c r="K1951" s="175"/>
      <c r="L1951" s="175"/>
      <c r="M1951" s="170"/>
      <c r="N1951" s="170"/>
      <c r="O1951" s="176"/>
      <c r="P1951" s="173"/>
      <c r="Q1951" s="177"/>
      <c r="R1951" s="178"/>
      <c r="S1951" s="178"/>
      <c r="T1951" s="179"/>
      <c r="U1951" s="179"/>
      <c r="V1951" s="179"/>
      <c r="W1951" s="176"/>
      <c r="X1951" s="180"/>
      <c r="Y1951" s="170"/>
      <c r="Z1951" s="170"/>
    </row>
    <row r="1952" spans="1:26">
      <c r="A1952" s="170"/>
      <c r="B1952" s="171"/>
      <c r="C1952" s="170"/>
      <c r="D1952" s="172"/>
      <c r="E1952" s="172"/>
      <c r="F1952" s="173"/>
      <c r="G1952" s="172"/>
      <c r="H1952" s="172"/>
      <c r="I1952" s="174"/>
      <c r="J1952" s="174"/>
      <c r="K1952" s="175"/>
      <c r="L1952" s="175"/>
      <c r="M1952" s="170"/>
      <c r="N1952" s="170"/>
      <c r="O1952" s="176"/>
      <c r="P1952" s="173"/>
      <c r="Q1952" s="177"/>
      <c r="R1952" s="178"/>
      <c r="S1952" s="178"/>
      <c r="T1952" s="179"/>
      <c r="U1952" s="179"/>
      <c r="V1952" s="179"/>
      <c r="W1952" s="176"/>
      <c r="X1952" s="180"/>
      <c r="Y1952" s="170"/>
      <c r="Z1952" s="170"/>
    </row>
    <row r="1953" spans="1:26">
      <c r="A1953" s="170"/>
      <c r="B1953" s="171"/>
      <c r="C1953" s="170"/>
      <c r="D1953" s="172"/>
      <c r="E1953" s="172"/>
      <c r="F1953" s="173"/>
      <c r="G1953" s="172"/>
      <c r="H1953" s="172"/>
      <c r="I1953" s="174"/>
      <c r="J1953" s="174"/>
      <c r="K1953" s="175"/>
      <c r="L1953" s="175"/>
      <c r="M1953" s="170"/>
      <c r="N1953" s="170"/>
      <c r="O1953" s="176"/>
      <c r="P1953" s="173"/>
      <c r="Q1953" s="177"/>
      <c r="R1953" s="178"/>
      <c r="S1953" s="178"/>
      <c r="T1953" s="179"/>
      <c r="U1953" s="179"/>
      <c r="V1953" s="179"/>
      <c r="W1953" s="176"/>
      <c r="X1953" s="180"/>
      <c r="Y1953" s="170"/>
      <c r="Z1953" s="170"/>
    </row>
    <row r="1954" spans="1:26">
      <c r="A1954" s="170"/>
      <c r="B1954" s="171"/>
      <c r="C1954" s="170"/>
      <c r="D1954" s="172"/>
      <c r="E1954" s="172"/>
      <c r="F1954" s="173"/>
      <c r="G1954" s="172"/>
      <c r="H1954" s="172"/>
      <c r="I1954" s="174"/>
      <c r="J1954" s="174"/>
      <c r="K1954" s="175"/>
      <c r="L1954" s="175"/>
      <c r="M1954" s="170"/>
      <c r="N1954" s="170"/>
      <c r="O1954" s="176"/>
      <c r="P1954" s="173"/>
      <c r="Q1954" s="177"/>
      <c r="R1954" s="178"/>
      <c r="S1954" s="178"/>
      <c r="T1954" s="179"/>
      <c r="U1954" s="179"/>
      <c r="V1954" s="179"/>
      <c r="W1954" s="176"/>
      <c r="X1954" s="180"/>
      <c r="Y1954" s="170"/>
      <c r="Z1954" s="170"/>
    </row>
    <row r="1955" spans="1:26">
      <c r="A1955" s="170"/>
      <c r="B1955" s="171"/>
      <c r="C1955" s="170"/>
      <c r="D1955" s="172"/>
      <c r="E1955" s="172"/>
      <c r="F1955" s="173"/>
      <c r="G1955" s="172"/>
      <c r="H1955" s="172"/>
      <c r="I1955" s="174"/>
      <c r="J1955" s="174"/>
      <c r="K1955" s="175"/>
      <c r="L1955" s="175"/>
      <c r="M1955" s="170"/>
      <c r="N1955" s="170"/>
      <c r="O1955" s="176"/>
      <c r="P1955" s="173"/>
      <c r="Q1955" s="177"/>
      <c r="R1955" s="178"/>
      <c r="S1955" s="178"/>
      <c r="T1955" s="179"/>
      <c r="U1955" s="179"/>
      <c r="V1955" s="179"/>
      <c r="W1955" s="176"/>
      <c r="X1955" s="180"/>
      <c r="Y1955" s="170"/>
      <c r="Z1955" s="170"/>
    </row>
    <row r="1956" spans="1:26">
      <c r="A1956" s="170"/>
      <c r="B1956" s="171"/>
      <c r="C1956" s="170"/>
      <c r="D1956" s="172"/>
      <c r="E1956" s="172"/>
      <c r="F1956" s="173"/>
      <c r="G1956" s="172"/>
      <c r="H1956" s="172"/>
      <c r="I1956" s="174"/>
      <c r="J1956" s="174"/>
      <c r="K1956" s="175"/>
      <c r="L1956" s="175"/>
      <c r="M1956" s="170"/>
      <c r="N1956" s="170"/>
      <c r="O1956" s="176"/>
      <c r="P1956" s="173"/>
      <c r="Q1956" s="177"/>
      <c r="R1956" s="178"/>
      <c r="S1956" s="178"/>
      <c r="T1956" s="179"/>
      <c r="U1956" s="179"/>
      <c r="V1956" s="179"/>
      <c r="W1956" s="176"/>
      <c r="X1956" s="180"/>
      <c r="Y1956" s="170"/>
      <c r="Z1956" s="170"/>
    </row>
    <row r="1957" spans="1:26">
      <c r="A1957" s="170"/>
      <c r="B1957" s="171"/>
      <c r="C1957" s="170"/>
      <c r="D1957" s="172"/>
      <c r="E1957" s="172"/>
      <c r="F1957" s="173"/>
      <c r="G1957" s="172"/>
      <c r="H1957" s="172"/>
      <c r="I1957" s="174"/>
      <c r="J1957" s="174"/>
      <c r="K1957" s="175"/>
      <c r="L1957" s="175"/>
      <c r="M1957" s="170"/>
      <c r="N1957" s="170"/>
      <c r="O1957" s="176"/>
      <c r="P1957" s="173"/>
      <c r="Q1957" s="177"/>
      <c r="R1957" s="178"/>
      <c r="S1957" s="178"/>
      <c r="T1957" s="179"/>
      <c r="U1957" s="179"/>
      <c r="V1957" s="179"/>
      <c r="W1957" s="176"/>
      <c r="X1957" s="180"/>
      <c r="Y1957" s="170"/>
      <c r="Z1957" s="170"/>
    </row>
    <row r="1958" spans="1:26">
      <c r="A1958" s="170"/>
      <c r="B1958" s="171"/>
      <c r="C1958" s="170"/>
      <c r="D1958" s="172"/>
      <c r="E1958" s="172"/>
      <c r="F1958" s="173"/>
      <c r="G1958" s="172"/>
      <c r="H1958" s="172"/>
      <c r="I1958" s="174"/>
      <c r="J1958" s="174"/>
      <c r="K1958" s="175"/>
      <c r="L1958" s="175"/>
      <c r="M1958" s="170"/>
      <c r="N1958" s="170"/>
      <c r="O1958" s="176"/>
      <c r="P1958" s="173"/>
      <c r="Q1958" s="177"/>
      <c r="R1958" s="178"/>
      <c r="S1958" s="178"/>
      <c r="T1958" s="179"/>
      <c r="U1958" s="179"/>
      <c r="V1958" s="179"/>
      <c r="W1958" s="176"/>
      <c r="X1958" s="180"/>
      <c r="Y1958" s="170"/>
      <c r="Z1958" s="170"/>
    </row>
    <row r="1959" spans="1:26">
      <c r="A1959" s="170"/>
      <c r="B1959" s="171"/>
      <c r="C1959" s="170"/>
      <c r="D1959" s="172"/>
      <c r="E1959" s="172"/>
      <c r="F1959" s="173"/>
      <c r="G1959" s="172"/>
      <c r="H1959" s="172"/>
      <c r="I1959" s="174"/>
      <c r="J1959" s="174"/>
      <c r="K1959" s="175"/>
      <c r="L1959" s="175"/>
      <c r="M1959" s="170"/>
      <c r="N1959" s="170"/>
      <c r="O1959" s="176"/>
      <c r="P1959" s="173"/>
      <c r="Q1959" s="177"/>
      <c r="R1959" s="178"/>
      <c r="S1959" s="178"/>
      <c r="T1959" s="179"/>
      <c r="U1959" s="179"/>
      <c r="V1959" s="179"/>
      <c r="W1959" s="176"/>
      <c r="X1959" s="180"/>
      <c r="Y1959" s="170"/>
      <c r="Z1959" s="170"/>
    </row>
    <row r="1960" spans="1:26">
      <c r="A1960" s="170"/>
      <c r="B1960" s="171"/>
      <c r="C1960" s="170"/>
      <c r="D1960" s="172"/>
      <c r="E1960" s="172"/>
      <c r="F1960" s="173"/>
      <c r="G1960" s="172"/>
      <c r="H1960" s="172"/>
      <c r="I1960" s="174"/>
      <c r="J1960" s="174"/>
      <c r="K1960" s="175"/>
      <c r="L1960" s="175"/>
      <c r="M1960" s="170"/>
      <c r="N1960" s="170"/>
      <c r="O1960" s="176"/>
      <c r="P1960" s="173"/>
      <c r="Q1960" s="177"/>
      <c r="R1960" s="178"/>
      <c r="S1960" s="178"/>
      <c r="T1960" s="179"/>
      <c r="U1960" s="179"/>
      <c r="V1960" s="179"/>
      <c r="W1960" s="176"/>
      <c r="X1960" s="180"/>
      <c r="Y1960" s="170"/>
      <c r="Z1960" s="170"/>
    </row>
    <row r="1961" spans="1:26">
      <c r="A1961" s="170"/>
      <c r="B1961" s="171"/>
      <c r="C1961" s="170"/>
      <c r="D1961" s="172"/>
      <c r="E1961" s="172"/>
      <c r="F1961" s="173"/>
      <c r="G1961" s="172"/>
      <c r="H1961" s="172"/>
      <c r="I1961" s="174"/>
      <c r="J1961" s="174"/>
      <c r="K1961" s="175"/>
      <c r="L1961" s="175"/>
      <c r="M1961" s="170"/>
      <c r="N1961" s="170"/>
      <c r="O1961" s="176"/>
      <c r="P1961" s="173"/>
      <c r="Q1961" s="177"/>
      <c r="R1961" s="178"/>
      <c r="S1961" s="178"/>
      <c r="T1961" s="179"/>
      <c r="U1961" s="179"/>
      <c r="V1961" s="179"/>
      <c r="W1961" s="176"/>
      <c r="X1961" s="180"/>
      <c r="Y1961" s="170"/>
      <c r="Z1961" s="170"/>
    </row>
    <row r="1962" spans="1:26">
      <c r="A1962" s="170"/>
      <c r="B1962" s="171"/>
      <c r="C1962" s="170"/>
      <c r="D1962" s="172"/>
      <c r="E1962" s="172"/>
      <c r="F1962" s="173"/>
      <c r="G1962" s="172"/>
      <c r="H1962" s="172"/>
      <c r="I1962" s="174"/>
      <c r="J1962" s="174"/>
      <c r="K1962" s="175"/>
      <c r="L1962" s="175"/>
      <c r="M1962" s="170"/>
      <c r="N1962" s="170"/>
      <c r="O1962" s="176"/>
      <c r="P1962" s="173"/>
      <c r="Q1962" s="177"/>
      <c r="R1962" s="178"/>
      <c r="S1962" s="178"/>
      <c r="T1962" s="179"/>
      <c r="U1962" s="179"/>
      <c r="V1962" s="179"/>
      <c r="W1962" s="176"/>
      <c r="X1962" s="180"/>
      <c r="Y1962" s="170"/>
      <c r="Z1962" s="170"/>
    </row>
    <row r="1963" spans="1:26">
      <c r="A1963" s="170"/>
      <c r="B1963" s="171"/>
      <c r="C1963" s="170"/>
      <c r="D1963" s="172"/>
      <c r="E1963" s="172"/>
      <c r="F1963" s="173"/>
      <c r="G1963" s="172"/>
      <c r="H1963" s="172"/>
      <c r="I1963" s="174"/>
      <c r="J1963" s="174"/>
      <c r="K1963" s="175"/>
      <c r="L1963" s="175"/>
      <c r="M1963" s="170"/>
      <c r="N1963" s="170"/>
      <c r="O1963" s="176"/>
      <c r="P1963" s="173"/>
      <c r="Q1963" s="177"/>
      <c r="R1963" s="178"/>
      <c r="S1963" s="178"/>
      <c r="T1963" s="179"/>
      <c r="U1963" s="179"/>
      <c r="V1963" s="179"/>
      <c r="W1963" s="176"/>
      <c r="X1963" s="180"/>
      <c r="Y1963" s="170"/>
      <c r="Z1963" s="170"/>
    </row>
    <row r="1964" spans="1:26">
      <c r="A1964" s="170"/>
      <c r="B1964" s="171"/>
      <c r="C1964" s="170"/>
      <c r="D1964" s="172"/>
      <c r="E1964" s="172"/>
      <c r="F1964" s="173"/>
      <c r="G1964" s="172"/>
      <c r="H1964" s="172"/>
      <c r="I1964" s="174"/>
      <c r="J1964" s="174"/>
      <c r="K1964" s="175"/>
      <c r="L1964" s="175"/>
      <c r="M1964" s="170"/>
      <c r="N1964" s="170"/>
      <c r="O1964" s="176"/>
      <c r="P1964" s="173"/>
      <c r="Q1964" s="177"/>
      <c r="R1964" s="178"/>
      <c r="S1964" s="178"/>
      <c r="T1964" s="179"/>
      <c r="U1964" s="179"/>
      <c r="V1964" s="179"/>
      <c r="W1964" s="176"/>
      <c r="X1964" s="180"/>
      <c r="Y1964" s="170"/>
      <c r="Z1964" s="170"/>
    </row>
    <row r="1965" spans="1:26">
      <c r="A1965" s="170"/>
      <c r="B1965" s="171"/>
      <c r="C1965" s="170"/>
      <c r="D1965" s="172"/>
      <c r="E1965" s="172"/>
      <c r="F1965" s="173"/>
      <c r="G1965" s="172"/>
      <c r="H1965" s="172"/>
      <c r="I1965" s="174"/>
      <c r="J1965" s="174"/>
      <c r="K1965" s="175"/>
      <c r="L1965" s="175"/>
      <c r="M1965" s="170"/>
      <c r="N1965" s="170"/>
      <c r="O1965" s="176"/>
      <c r="P1965" s="173"/>
      <c r="Q1965" s="177"/>
      <c r="R1965" s="178"/>
      <c r="S1965" s="178"/>
      <c r="T1965" s="179"/>
      <c r="U1965" s="179"/>
      <c r="V1965" s="179"/>
      <c r="W1965" s="176"/>
      <c r="X1965" s="180"/>
      <c r="Y1965" s="170"/>
      <c r="Z1965" s="170"/>
    </row>
    <row r="1966" spans="1:26">
      <c r="A1966" s="170"/>
      <c r="B1966" s="171"/>
      <c r="C1966" s="170"/>
      <c r="D1966" s="172"/>
      <c r="E1966" s="172"/>
      <c r="F1966" s="173"/>
      <c r="G1966" s="172"/>
      <c r="H1966" s="172"/>
      <c r="I1966" s="174"/>
      <c r="J1966" s="174"/>
      <c r="K1966" s="175"/>
      <c r="L1966" s="175"/>
      <c r="M1966" s="170"/>
      <c r="N1966" s="170"/>
      <c r="O1966" s="176"/>
      <c r="P1966" s="173"/>
      <c r="Q1966" s="177"/>
      <c r="R1966" s="178"/>
      <c r="S1966" s="178"/>
      <c r="T1966" s="179"/>
      <c r="U1966" s="179"/>
      <c r="V1966" s="179"/>
      <c r="W1966" s="176"/>
      <c r="X1966" s="180"/>
      <c r="Y1966" s="170"/>
      <c r="Z1966" s="170"/>
    </row>
    <row r="1967" spans="1:26">
      <c r="A1967" s="170"/>
      <c r="B1967" s="171"/>
      <c r="C1967" s="170"/>
      <c r="D1967" s="172"/>
      <c r="E1967" s="172"/>
      <c r="F1967" s="173"/>
      <c r="G1967" s="172"/>
      <c r="H1967" s="172"/>
      <c r="I1967" s="174"/>
      <c r="J1967" s="174"/>
      <c r="K1967" s="175"/>
      <c r="L1967" s="175"/>
      <c r="M1967" s="170"/>
      <c r="N1967" s="170"/>
      <c r="O1967" s="176"/>
      <c r="P1967" s="173"/>
      <c r="Q1967" s="177"/>
      <c r="R1967" s="178"/>
      <c r="S1967" s="178"/>
      <c r="T1967" s="179"/>
      <c r="U1967" s="179"/>
      <c r="V1967" s="179"/>
      <c r="W1967" s="176"/>
      <c r="X1967" s="180"/>
      <c r="Y1967" s="170"/>
      <c r="Z1967" s="170"/>
    </row>
    <row r="1968" spans="1:26">
      <c r="A1968" s="170"/>
      <c r="B1968" s="171"/>
      <c r="C1968" s="170"/>
      <c r="D1968" s="172"/>
      <c r="E1968" s="172"/>
      <c r="F1968" s="173"/>
      <c r="G1968" s="172"/>
      <c r="H1968" s="172"/>
      <c r="I1968" s="174"/>
      <c r="J1968" s="174"/>
      <c r="K1968" s="175"/>
      <c r="L1968" s="175"/>
      <c r="M1968" s="170"/>
      <c r="N1968" s="170"/>
      <c r="O1968" s="176"/>
      <c r="P1968" s="173"/>
      <c r="Q1968" s="177"/>
      <c r="R1968" s="178"/>
      <c r="S1968" s="178"/>
      <c r="T1968" s="179"/>
      <c r="U1968" s="179"/>
      <c r="V1968" s="179"/>
      <c r="W1968" s="176"/>
      <c r="X1968" s="180"/>
      <c r="Y1968" s="170"/>
      <c r="Z1968" s="170"/>
    </row>
    <row r="1969" spans="1:26">
      <c r="A1969" s="170"/>
      <c r="B1969" s="171"/>
      <c r="C1969" s="170"/>
      <c r="D1969" s="172"/>
      <c r="E1969" s="172"/>
      <c r="F1969" s="173"/>
      <c r="G1969" s="172"/>
      <c r="H1969" s="172"/>
      <c r="I1969" s="174"/>
      <c r="J1969" s="174"/>
      <c r="K1969" s="175"/>
      <c r="L1969" s="175"/>
      <c r="M1969" s="170"/>
      <c r="N1969" s="170"/>
      <c r="O1969" s="176"/>
      <c r="P1969" s="173"/>
      <c r="Q1969" s="177"/>
      <c r="R1969" s="178"/>
      <c r="S1969" s="178"/>
      <c r="T1969" s="179"/>
      <c r="U1969" s="179"/>
      <c r="V1969" s="179"/>
      <c r="W1969" s="176"/>
      <c r="X1969" s="180"/>
      <c r="Y1969" s="170"/>
      <c r="Z1969" s="170"/>
    </row>
    <row r="1970" spans="1:26">
      <c r="A1970" s="170"/>
      <c r="B1970" s="171"/>
      <c r="C1970" s="170"/>
      <c r="D1970" s="172"/>
      <c r="E1970" s="172"/>
      <c r="F1970" s="173"/>
      <c r="G1970" s="172"/>
      <c r="H1970" s="172"/>
      <c r="I1970" s="174"/>
      <c r="J1970" s="174"/>
      <c r="K1970" s="175"/>
      <c r="L1970" s="175"/>
      <c r="M1970" s="170"/>
      <c r="N1970" s="170"/>
      <c r="O1970" s="176"/>
      <c r="P1970" s="173"/>
      <c r="Q1970" s="177"/>
      <c r="R1970" s="178"/>
      <c r="S1970" s="178"/>
      <c r="T1970" s="179"/>
      <c r="U1970" s="179"/>
      <c r="V1970" s="179"/>
      <c r="W1970" s="176"/>
      <c r="X1970" s="180"/>
      <c r="Y1970" s="170"/>
      <c r="Z1970" s="170"/>
    </row>
    <row r="1971" spans="1:26">
      <c r="A1971" s="170"/>
      <c r="B1971" s="171"/>
      <c r="C1971" s="170"/>
      <c r="D1971" s="172"/>
      <c r="E1971" s="172"/>
      <c r="F1971" s="173"/>
      <c r="G1971" s="172"/>
      <c r="H1971" s="172"/>
      <c r="I1971" s="174"/>
      <c r="J1971" s="174"/>
      <c r="K1971" s="175"/>
      <c r="L1971" s="175"/>
      <c r="M1971" s="170"/>
      <c r="N1971" s="170"/>
      <c r="O1971" s="176"/>
      <c r="P1971" s="173"/>
      <c r="Q1971" s="177"/>
      <c r="R1971" s="178"/>
      <c r="S1971" s="178"/>
      <c r="T1971" s="179"/>
      <c r="U1971" s="179"/>
      <c r="V1971" s="179"/>
      <c r="W1971" s="176"/>
      <c r="X1971" s="180"/>
      <c r="Y1971" s="170"/>
      <c r="Z1971" s="170"/>
    </row>
    <row r="1972" spans="1:26">
      <c r="A1972" s="170"/>
      <c r="B1972" s="171"/>
      <c r="C1972" s="170"/>
      <c r="D1972" s="172"/>
      <c r="E1972" s="172"/>
      <c r="F1972" s="173"/>
      <c r="G1972" s="172"/>
      <c r="H1972" s="172"/>
      <c r="I1972" s="174"/>
      <c r="J1972" s="174"/>
      <c r="K1972" s="175"/>
      <c r="L1972" s="175"/>
      <c r="M1972" s="170"/>
      <c r="N1972" s="170"/>
      <c r="O1972" s="176"/>
      <c r="P1972" s="173"/>
      <c r="Q1972" s="177"/>
      <c r="R1972" s="178"/>
      <c r="S1972" s="178"/>
      <c r="T1972" s="179"/>
      <c r="U1972" s="179"/>
      <c r="V1972" s="179"/>
      <c r="W1972" s="176"/>
      <c r="X1972" s="180"/>
      <c r="Y1972" s="170"/>
      <c r="Z1972" s="170"/>
    </row>
    <row r="1973" spans="1:26">
      <c r="A1973" s="170"/>
      <c r="B1973" s="171"/>
      <c r="C1973" s="170"/>
      <c r="D1973" s="172"/>
      <c r="E1973" s="172"/>
      <c r="F1973" s="173"/>
      <c r="G1973" s="172"/>
      <c r="H1973" s="172"/>
      <c r="I1973" s="174"/>
      <c r="J1973" s="174"/>
      <c r="K1973" s="175"/>
      <c r="L1973" s="175"/>
      <c r="M1973" s="170"/>
      <c r="N1973" s="170"/>
      <c r="O1973" s="176"/>
      <c r="P1973" s="173"/>
      <c r="Q1973" s="177"/>
      <c r="R1973" s="178"/>
      <c r="S1973" s="178"/>
      <c r="T1973" s="179"/>
      <c r="U1973" s="179"/>
      <c r="V1973" s="179"/>
      <c r="W1973" s="176"/>
      <c r="X1973" s="180"/>
      <c r="Y1973" s="170"/>
      <c r="Z1973" s="170"/>
    </row>
    <row r="1974" spans="1:26">
      <c r="A1974" s="170"/>
      <c r="B1974" s="171"/>
      <c r="C1974" s="170"/>
      <c r="D1974" s="172"/>
      <c r="E1974" s="172"/>
      <c r="F1974" s="173"/>
      <c r="G1974" s="172"/>
      <c r="H1974" s="172"/>
      <c r="I1974" s="174"/>
      <c r="J1974" s="174"/>
      <c r="K1974" s="175"/>
      <c r="L1974" s="175"/>
      <c r="M1974" s="170"/>
      <c r="N1974" s="170"/>
      <c r="O1974" s="176"/>
      <c r="P1974" s="173"/>
      <c r="Q1974" s="177"/>
      <c r="R1974" s="178"/>
      <c r="S1974" s="178"/>
      <c r="T1974" s="179"/>
      <c r="U1974" s="179"/>
      <c r="V1974" s="179"/>
      <c r="W1974" s="176"/>
      <c r="X1974" s="180"/>
      <c r="Y1974" s="170"/>
      <c r="Z1974" s="170"/>
    </row>
    <row r="1975" spans="1:26">
      <c r="A1975" s="170"/>
      <c r="B1975" s="171"/>
      <c r="C1975" s="170"/>
      <c r="D1975" s="172"/>
      <c r="E1975" s="172"/>
      <c r="F1975" s="173"/>
      <c r="G1975" s="172"/>
      <c r="H1975" s="172"/>
      <c r="I1975" s="174"/>
      <c r="J1975" s="174"/>
      <c r="K1975" s="175"/>
      <c r="L1975" s="175"/>
      <c r="M1975" s="170"/>
      <c r="N1975" s="170"/>
      <c r="O1975" s="176"/>
      <c r="P1975" s="173"/>
      <c r="Q1975" s="177"/>
      <c r="R1975" s="178"/>
      <c r="S1975" s="178"/>
      <c r="T1975" s="179"/>
      <c r="U1975" s="179"/>
      <c r="V1975" s="179"/>
      <c r="W1975" s="176"/>
      <c r="X1975" s="180"/>
      <c r="Y1975" s="170"/>
      <c r="Z1975" s="170"/>
    </row>
    <row r="1976" spans="1:26">
      <c r="A1976" s="170"/>
      <c r="B1976" s="171"/>
      <c r="C1976" s="170"/>
      <c r="D1976" s="172"/>
      <c r="E1976" s="172"/>
      <c r="F1976" s="173"/>
      <c r="G1976" s="172"/>
      <c r="H1976" s="172"/>
      <c r="I1976" s="174"/>
      <c r="J1976" s="174"/>
      <c r="K1976" s="175"/>
      <c r="L1976" s="175"/>
      <c r="M1976" s="170"/>
      <c r="N1976" s="170"/>
      <c r="O1976" s="176"/>
      <c r="P1976" s="173"/>
      <c r="Q1976" s="177"/>
      <c r="R1976" s="178"/>
      <c r="S1976" s="178"/>
      <c r="T1976" s="179"/>
      <c r="U1976" s="179"/>
      <c r="V1976" s="179"/>
      <c r="W1976" s="176"/>
      <c r="X1976" s="180"/>
      <c r="Y1976" s="170"/>
      <c r="Z1976" s="170"/>
    </row>
    <row r="1977" spans="1:26">
      <c r="A1977" s="170"/>
      <c r="B1977" s="171"/>
      <c r="C1977" s="170"/>
      <c r="D1977" s="172"/>
      <c r="E1977" s="172"/>
      <c r="F1977" s="173"/>
      <c r="G1977" s="172"/>
      <c r="H1977" s="172"/>
      <c r="I1977" s="174"/>
      <c r="J1977" s="174"/>
      <c r="K1977" s="175"/>
      <c r="L1977" s="175"/>
      <c r="M1977" s="170"/>
      <c r="N1977" s="170"/>
      <c r="O1977" s="176"/>
      <c r="P1977" s="173"/>
      <c r="Q1977" s="177"/>
      <c r="R1977" s="178"/>
      <c r="S1977" s="178"/>
      <c r="T1977" s="179"/>
      <c r="U1977" s="179"/>
      <c r="V1977" s="179"/>
      <c r="W1977" s="176"/>
      <c r="X1977" s="180"/>
      <c r="Y1977" s="170"/>
      <c r="Z1977" s="170"/>
    </row>
    <row r="1978" spans="1:26">
      <c r="A1978" s="170"/>
      <c r="B1978" s="171"/>
      <c r="C1978" s="170"/>
      <c r="D1978" s="172"/>
      <c r="E1978" s="172"/>
      <c r="F1978" s="173"/>
      <c r="G1978" s="172"/>
      <c r="H1978" s="172"/>
      <c r="I1978" s="174"/>
      <c r="J1978" s="174"/>
      <c r="K1978" s="175"/>
      <c r="L1978" s="175"/>
      <c r="M1978" s="170"/>
      <c r="N1978" s="170"/>
      <c r="O1978" s="176"/>
      <c r="P1978" s="173"/>
      <c r="Q1978" s="177"/>
      <c r="R1978" s="178"/>
      <c r="S1978" s="178"/>
      <c r="T1978" s="179"/>
      <c r="U1978" s="179"/>
      <c r="V1978" s="179"/>
      <c r="W1978" s="176"/>
      <c r="X1978" s="180"/>
      <c r="Y1978" s="170"/>
      <c r="Z1978" s="170"/>
    </row>
    <row r="1979" spans="1:26">
      <c r="A1979" s="170"/>
      <c r="B1979" s="171"/>
      <c r="C1979" s="170"/>
      <c r="D1979" s="172"/>
      <c r="E1979" s="172"/>
      <c r="F1979" s="173"/>
      <c r="G1979" s="172"/>
      <c r="H1979" s="172"/>
      <c r="I1979" s="174"/>
      <c r="J1979" s="174"/>
      <c r="K1979" s="175"/>
      <c r="L1979" s="175"/>
      <c r="M1979" s="170"/>
      <c r="N1979" s="170"/>
      <c r="O1979" s="176"/>
      <c r="P1979" s="173"/>
      <c r="Q1979" s="177"/>
      <c r="R1979" s="178"/>
      <c r="S1979" s="178"/>
      <c r="T1979" s="179"/>
      <c r="U1979" s="179"/>
      <c r="V1979" s="179"/>
      <c r="W1979" s="176"/>
      <c r="X1979" s="180"/>
      <c r="Y1979" s="170"/>
      <c r="Z1979" s="170"/>
    </row>
    <row r="1980" spans="1:26">
      <c r="A1980" s="170"/>
      <c r="B1980" s="171"/>
      <c r="C1980" s="170"/>
      <c r="D1980" s="172"/>
      <c r="E1980" s="172"/>
      <c r="F1980" s="173"/>
      <c r="G1980" s="172"/>
      <c r="H1980" s="172"/>
      <c r="I1980" s="174"/>
      <c r="J1980" s="174"/>
      <c r="K1980" s="175"/>
      <c r="L1980" s="175"/>
      <c r="M1980" s="170"/>
      <c r="N1980" s="170"/>
      <c r="O1980" s="176"/>
      <c r="P1980" s="173"/>
      <c r="Q1980" s="177"/>
      <c r="R1980" s="178"/>
      <c r="S1980" s="178"/>
      <c r="T1980" s="179"/>
      <c r="U1980" s="179"/>
      <c r="V1980" s="179"/>
      <c r="W1980" s="176"/>
      <c r="X1980" s="180"/>
      <c r="Y1980" s="170"/>
      <c r="Z1980" s="170"/>
    </row>
    <row r="1981" spans="1:26">
      <c r="A1981" s="170"/>
      <c r="B1981" s="171"/>
      <c r="C1981" s="170"/>
      <c r="D1981" s="172"/>
      <c r="E1981" s="172"/>
      <c r="F1981" s="173"/>
      <c r="G1981" s="172"/>
      <c r="H1981" s="172"/>
      <c r="I1981" s="174"/>
      <c r="J1981" s="174"/>
      <c r="K1981" s="175"/>
      <c r="L1981" s="175"/>
      <c r="M1981" s="170"/>
      <c r="N1981" s="170"/>
      <c r="O1981" s="176"/>
      <c r="P1981" s="173"/>
      <c r="Q1981" s="177"/>
      <c r="R1981" s="178"/>
      <c r="S1981" s="178"/>
      <c r="T1981" s="179"/>
      <c r="U1981" s="179"/>
      <c r="V1981" s="179"/>
      <c r="W1981" s="176"/>
      <c r="X1981" s="180"/>
      <c r="Y1981" s="170"/>
      <c r="Z1981" s="170"/>
    </row>
    <row r="1982" spans="1:26">
      <c r="A1982" s="170"/>
      <c r="B1982" s="171"/>
      <c r="C1982" s="170"/>
      <c r="D1982" s="172"/>
      <c r="E1982" s="172"/>
      <c r="F1982" s="173"/>
      <c r="G1982" s="172"/>
      <c r="H1982" s="172"/>
      <c r="I1982" s="174"/>
      <c r="J1982" s="174"/>
      <c r="K1982" s="175"/>
      <c r="L1982" s="175"/>
      <c r="M1982" s="170"/>
      <c r="N1982" s="170"/>
      <c r="O1982" s="176"/>
      <c r="P1982" s="173"/>
      <c r="Q1982" s="177"/>
      <c r="R1982" s="178"/>
      <c r="S1982" s="178"/>
      <c r="T1982" s="179"/>
      <c r="U1982" s="179"/>
      <c r="V1982" s="179"/>
      <c r="W1982" s="176"/>
      <c r="X1982" s="180"/>
      <c r="Y1982" s="170"/>
      <c r="Z1982" s="170"/>
    </row>
    <row r="1983" spans="1:26">
      <c r="A1983" s="170"/>
      <c r="B1983" s="171"/>
      <c r="C1983" s="170"/>
      <c r="D1983" s="172"/>
      <c r="E1983" s="172"/>
      <c r="F1983" s="173"/>
      <c r="G1983" s="172"/>
      <c r="H1983" s="172"/>
      <c r="I1983" s="174"/>
      <c r="J1983" s="174"/>
      <c r="K1983" s="175"/>
      <c r="L1983" s="175"/>
      <c r="M1983" s="170"/>
      <c r="N1983" s="170"/>
      <c r="O1983" s="176"/>
      <c r="P1983" s="173"/>
      <c r="Q1983" s="177"/>
      <c r="R1983" s="178"/>
      <c r="S1983" s="178"/>
      <c r="T1983" s="179"/>
      <c r="U1983" s="179"/>
      <c r="V1983" s="179"/>
      <c r="W1983" s="176"/>
      <c r="X1983" s="180"/>
      <c r="Y1983" s="170"/>
      <c r="Z1983" s="170"/>
    </row>
    <row r="1984" spans="1:26">
      <c r="A1984" s="170"/>
      <c r="B1984" s="171"/>
      <c r="C1984" s="170"/>
      <c r="D1984" s="172"/>
      <c r="E1984" s="172"/>
      <c r="F1984" s="173"/>
      <c r="G1984" s="172"/>
      <c r="H1984" s="172"/>
      <c r="I1984" s="174"/>
      <c r="J1984" s="174"/>
      <c r="K1984" s="175"/>
      <c r="L1984" s="175"/>
      <c r="M1984" s="170"/>
      <c r="N1984" s="170"/>
      <c r="O1984" s="176"/>
      <c r="P1984" s="173"/>
      <c r="Q1984" s="177"/>
      <c r="R1984" s="178"/>
      <c r="S1984" s="178"/>
      <c r="T1984" s="179"/>
      <c r="U1984" s="179"/>
      <c r="V1984" s="179"/>
      <c r="W1984" s="176"/>
      <c r="X1984" s="180"/>
      <c r="Y1984" s="170"/>
      <c r="Z1984" s="170"/>
    </row>
    <row r="1985" spans="1:26">
      <c r="A1985" s="170"/>
      <c r="B1985" s="171"/>
      <c r="C1985" s="170"/>
      <c r="D1985" s="172"/>
      <c r="E1985" s="172"/>
      <c r="F1985" s="173"/>
      <c r="G1985" s="172"/>
      <c r="H1985" s="172"/>
      <c r="I1985" s="174"/>
      <c r="J1985" s="174"/>
      <c r="K1985" s="175"/>
      <c r="L1985" s="175"/>
      <c r="M1985" s="170"/>
      <c r="N1985" s="170"/>
      <c r="O1985" s="176"/>
      <c r="P1985" s="173"/>
      <c r="Q1985" s="177"/>
      <c r="R1985" s="178"/>
      <c r="S1985" s="178"/>
      <c r="T1985" s="179"/>
      <c r="U1985" s="179"/>
      <c r="V1985" s="179"/>
      <c r="W1985" s="176"/>
      <c r="X1985" s="180"/>
      <c r="Y1985" s="170"/>
      <c r="Z1985" s="170"/>
    </row>
    <row r="1986" spans="1:26">
      <c r="A1986" s="170"/>
      <c r="B1986" s="171"/>
      <c r="C1986" s="170"/>
      <c r="D1986" s="172"/>
      <c r="E1986" s="172"/>
      <c r="F1986" s="173"/>
      <c r="G1986" s="172"/>
      <c r="H1986" s="172"/>
      <c r="I1986" s="174"/>
      <c r="J1986" s="174"/>
      <c r="K1986" s="175"/>
      <c r="L1986" s="175"/>
      <c r="M1986" s="170"/>
      <c r="N1986" s="170"/>
      <c r="O1986" s="176"/>
      <c r="P1986" s="173"/>
      <c r="Q1986" s="177"/>
      <c r="R1986" s="178"/>
      <c r="S1986" s="178"/>
      <c r="T1986" s="179"/>
      <c r="U1986" s="179"/>
      <c r="V1986" s="179"/>
      <c r="W1986" s="176"/>
      <c r="X1986" s="180"/>
      <c r="Y1986" s="170"/>
      <c r="Z1986" s="170"/>
    </row>
    <row r="1987" spans="1:26">
      <c r="A1987" s="170"/>
      <c r="B1987" s="171"/>
      <c r="C1987" s="170"/>
      <c r="D1987" s="172"/>
      <c r="E1987" s="172"/>
      <c r="F1987" s="173"/>
      <c r="G1987" s="172"/>
      <c r="H1987" s="172"/>
      <c r="I1987" s="174"/>
      <c r="J1987" s="174"/>
      <c r="K1987" s="175"/>
      <c r="L1987" s="175"/>
      <c r="M1987" s="170"/>
      <c r="N1987" s="170"/>
      <c r="O1987" s="176"/>
      <c r="P1987" s="173"/>
      <c r="Q1987" s="177"/>
      <c r="R1987" s="178"/>
      <c r="S1987" s="178"/>
      <c r="T1987" s="179"/>
      <c r="U1987" s="179"/>
      <c r="V1987" s="179"/>
      <c r="W1987" s="176"/>
      <c r="X1987" s="180"/>
      <c r="Y1987" s="170"/>
      <c r="Z1987" s="170"/>
    </row>
    <row r="1988" spans="1:26">
      <c r="A1988" s="170"/>
      <c r="B1988" s="171"/>
      <c r="C1988" s="170"/>
      <c r="D1988" s="172"/>
      <c r="E1988" s="172"/>
      <c r="F1988" s="173"/>
      <c r="G1988" s="172"/>
      <c r="H1988" s="172"/>
      <c r="I1988" s="174"/>
      <c r="J1988" s="174"/>
      <c r="K1988" s="175"/>
      <c r="L1988" s="175"/>
      <c r="M1988" s="170"/>
      <c r="N1988" s="170"/>
      <c r="O1988" s="176"/>
      <c r="P1988" s="173"/>
      <c r="Q1988" s="177"/>
      <c r="R1988" s="178"/>
      <c r="S1988" s="178"/>
      <c r="T1988" s="179"/>
      <c r="U1988" s="179"/>
      <c r="V1988" s="179"/>
      <c r="W1988" s="176"/>
      <c r="X1988" s="180"/>
      <c r="Y1988" s="170"/>
      <c r="Z1988" s="170"/>
    </row>
    <row r="1989" spans="1:26">
      <c r="A1989" s="170"/>
      <c r="B1989" s="171"/>
      <c r="C1989" s="170"/>
      <c r="D1989" s="172"/>
      <c r="E1989" s="172"/>
      <c r="F1989" s="173"/>
      <c r="G1989" s="172"/>
      <c r="H1989" s="172"/>
      <c r="I1989" s="174"/>
      <c r="J1989" s="174"/>
      <c r="K1989" s="175"/>
      <c r="L1989" s="175"/>
      <c r="M1989" s="170"/>
      <c r="N1989" s="170"/>
      <c r="O1989" s="176"/>
      <c r="P1989" s="173"/>
      <c r="Q1989" s="177"/>
      <c r="R1989" s="178"/>
      <c r="S1989" s="178"/>
      <c r="T1989" s="179"/>
      <c r="U1989" s="179"/>
      <c r="V1989" s="179"/>
      <c r="W1989" s="176"/>
      <c r="X1989" s="180"/>
      <c r="Y1989" s="170"/>
      <c r="Z1989" s="170"/>
    </row>
    <row r="1990" spans="1:26">
      <c r="A1990" s="170"/>
      <c r="B1990" s="171"/>
      <c r="C1990" s="170"/>
      <c r="D1990" s="172"/>
      <c r="E1990" s="172"/>
      <c r="F1990" s="173"/>
      <c r="G1990" s="172"/>
      <c r="H1990" s="172"/>
      <c r="I1990" s="174"/>
      <c r="J1990" s="174"/>
      <c r="K1990" s="175"/>
      <c r="L1990" s="175"/>
      <c r="M1990" s="170"/>
      <c r="N1990" s="170"/>
      <c r="O1990" s="176"/>
      <c r="P1990" s="173"/>
      <c r="Q1990" s="177"/>
      <c r="R1990" s="178"/>
      <c r="S1990" s="178"/>
      <c r="T1990" s="179"/>
      <c r="U1990" s="179"/>
      <c r="V1990" s="179"/>
      <c r="W1990" s="176"/>
      <c r="X1990" s="180"/>
      <c r="Y1990" s="170"/>
      <c r="Z1990" s="170"/>
    </row>
    <row r="1991" spans="1:26">
      <c r="A1991" s="170"/>
      <c r="B1991" s="171"/>
      <c r="C1991" s="170"/>
      <c r="D1991" s="172"/>
      <c r="E1991" s="172"/>
      <c r="F1991" s="173"/>
      <c r="G1991" s="172"/>
      <c r="H1991" s="172"/>
      <c r="I1991" s="174"/>
      <c r="J1991" s="174"/>
      <c r="K1991" s="175"/>
      <c r="L1991" s="175"/>
      <c r="M1991" s="170"/>
      <c r="N1991" s="170"/>
      <c r="O1991" s="176"/>
      <c r="P1991" s="173"/>
      <c r="Q1991" s="177"/>
      <c r="R1991" s="178"/>
      <c r="S1991" s="178"/>
      <c r="T1991" s="179"/>
      <c r="U1991" s="179"/>
      <c r="V1991" s="179"/>
      <c r="W1991" s="176"/>
      <c r="X1991" s="180"/>
      <c r="Y1991" s="170"/>
      <c r="Z1991" s="170"/>
    </row>
    <row r="1992" spans="1:26">
      <c r="A1992" s="170"/>
      <c r="B1992" s="171"/>
      <c r="C1992" s="170"/>
      <c r="D1992" s="172"/>
      <c r="E1992" s="172"/>
      <c r="F1992" s="173"/>
      <c r="G1992" s="172"/>
      <c r="H1992" s="172"/>
      <c r="I1992" s="174"/>
      <c r="J1992" s="174"/>
      <c r="K1992" s="175"/>
      <c r="L1992" s="175"/>
      <c r="M1992" s="170"/>
      <c r="N1992" s="170"/>
      <c r="O1992" s="176"/>
      <c r="P1992" s="173"/>
      <c r="Q1992" s="177"/>
      <c r="R1992" s="178"/>
      <c r="S1992" s="178"/>
      <c r="T1992" s="179"/>
      <c r="U1992" s="179"/>
      <c r="V1992" s="179"/>
      <c r="W1992" s="176"/>
      <c r="X1992" s="180"/>
      <c r="Y1992" s="170"/>
      <c r="Z1992" s="170"/>
    </row>
    <row r="1993" spans="1:26">
      <c r="A1993" s="170"/>
      <c r="B1993" s="171"/>
      <c r="C1993" s="170"/>
      <c r="D1993" s="172"/>
      <c r="E1993" s="172"/>
      <c r="F1993" s="173"/>
      <c r="G1993" s="172"/>
      <c r="H1993" s="172"/>
      <c r="I1993" s="174"/>
      <c r="J1993" s="174"/>
      <c r="K1993" s="175"/>
      <c r="L1993" s="175"/>
      <c r="M1993" s="170"/>
      <c r="N1993" s="170"/>
      <c r="O1993" s="176"/>
      <c r="P1993" s="173"/>
      <c r="Q1993" s="177"/>
      <c r="R1993" s="178"/>
      <c r="S1993" s="178"/>
      <c r="T1993" s="179"/>
      <c r="U1993" s="179"/>
      <c r="V1993" s="179"/>
      <c r="W1993" s="176"/>
      <c r="X1993" s="180"/>
      <c r="Y1993" s="170"/>
      <c r="Z1993" s="170"/>
    </row>
    <row r="1994" spans="1:26">
      <c r="A1994" s="170"/>
      <c r="B1994" s="171"/>
      <c r="C1994" s="170"/>
      <c r="D1994" s="172"/>
      <c r="E1994" s="172"/>
      <c r="F1994" s="173"/>
      <c r="G1994" s="172"/>
      <c r="H1994" s="172"/>
      <c r="I1994" s="174"/>
      <c r="J1994" s="174"/>
      <c r="K1994" s="175"/>
      <c r="L1994" s="175"/>
      <c r="M1994" s="170"/>
      <c r="N1994" s="170"/>
      <c r="O1994" s="176"/>
      <c r="P1994" s="173"/>
      <c r="Q1994" s="177"/>
      <c r="R1994" s="178"/>
      <c r="S1994" s="178"/>
      <c r="T1994" s="179"/>
      <c r="U1994" s="179"/>
      <c r="V1994" s="179"/>
      <c r="W1994" s="176"/>
      <c r="X1994" s="180"/>
      <c r="Y1994" s="170"/>
      <c r="Z1994" s="170"/>
    </row>
    <row r="1995" spans="1:26">
      <c r="A1995" s="170"/>
      <c r="B1995" s="171"/>
      <c r="C1995" s="170"/>
      <c r="D1995" s="172"/>
      <c r="E1995" s="172"/>
      <c r="F1995" s="173"/>
      <c r="G1995" s="172"/>
      <c r="H1995" s="172"/>
      <c r="I1995" s="174"/>
      <c r="J1995" s="174"/>
      <c r="K1995" s="175"/>
      <c r="L1995" s="175"/>
      <c r="M1995" s="170"/>
      <c r="N1995" s="170"/>
      <c r="O1995" s="176"/>
      <c r="P1995" s="173"/>
      <c r="Q1995" s="177"/>
      <c r="R1995" s="178"/>
      <c r="S1995" s="178"/>
      <c r="T1995" s="179"/>
      <c r="U1995" s="179"/>
      <c r="V1995" s="179"/>
      <c r="W1995" s="176"/>
      <c r="X1995" s="180"/>
      <c r="Y1995" s="170"/>
      <c r="Z1995" s="170"/>
    </row>
    <row r="1996" spans="1:26">
      <c r="A1996" s="170"/>
      <c r="B1996" s="171"/>
      <c r="C1996" s="170"/>
      <c r="D1996" s="172"/>
      <c r="E1996" s="172"/>
      <c r="F1996" s="173"/>
      <c r="G1996" s="172"/>
      <c r="H1996" s="172"/>
      <c r="I1996" s="174"/>
      <c r="J1996" s="174"/>
      <c r="K1996" s="175"/>
      <c r="L1996" s="175"/>
      <c r="M1996" s="170"/>
      <c r="N1996" s="170"/>
      <c r="O1996" s="176"/>
      <c r="P1996" s="173"/>
      <c r="Q1996" s="177"/>
      <c r="R1996" s="178"/>
      <c r="S1996" s="178"/>
      <c r="T1996" s="179"/>
      <c r="U1996" s="179"/>
      <c r="V1996" s="179"/>
      <c r="W1996" s="176"/>
      <c r="X1996" s="180"/>
      <c r="Y1996" s="170"/>
      <c r="Z1996" s="170"/>
    </row>
    <row r="1997" spans="1:26">
      <c r="A1997" s="170"/>
      <c r="B1997" s="171"/>
      <c r="C1997" s="170"/>
      <c r="D1997" s="172"/>
      <c r="E1997" s="172"/>
      <c r="F1997" s="173"/>
      <c r="G1997" s="172"/>
      <c r="H1997" s="172"/>
      <c r="I1997" s="174"/>
      <c r="J1997" s="174"/>
      <c r="K1997" s="175"/>
      <c r="L1997" s="175"/>
      <c r="M1997" s="170"/>
      <c r="N1997" s="170"/>
      <c r="O1997" s="176"/>
      <c r="P1997" s="173"/>
      <c r="Q1997" s="177"/>
      <c r="R1997" s="178"/>
      <c r="S1997" s="178"/>
      <c r="T1997" s="179"/>
      <c r="U1997" s="179"/>
      <c r="V1997" s="179"/>
      <c r="W1997" s="176"/>
      <c r="X1997" s="180"/>
      <c r="Y1997" s="170"/>
      <c r="Z1997" s="170"/>
    </row>
    <row r="1998" spans="1:26">
      <c r="A1998" s="170"/>
      <c r="B1998" s="171"/>
      <c r="C1998" s="170"/>
      <c r="D1998" s="172"/>
      <c r="E1998" s="172"/>
      <c r="F1998" s="173"/>
      <c r="G1998" s="172"/>
      <c r="H1998" s="172"/>
      <c r="I1998" s="174"/>
      <c r="J1998" s="174"/>
      <c r="K1998" s="175"/>
      <c r="L1998" s="175"/>
      <c r="M1998" s="170"/>
      <c r="N1998" s="170"/>
      <c r="O1998" s="176"/>
      <c r="P1998" s="173"/>
      <c r="Q1998" s="177"/>
      <c r="R1998" s="178"/>
      <c r="S1998" s="178"/>
      <c r="T1998" s="179"/>
      <c r="U1998" s="179"/>
      <c r="V1998" s="179"/>
      <c r="W1998" s="176"/>
      <c r="X1998" s="180"/>
      <c r="Y1998" s="170"/>
      <c r="Z1998" s="170"/>
    </row>
    <row r="1999" spans="1:26">
      <c r="A1999" s="170"/>
      <c r="B1999" s="171"/>
      <c r="C1999" s="170"/>
      <c r="D1999" s="172"/>
      <c r="E1999" s="172"/>
      <c r="F1999" s="173"/>
      <c r="G1999" s="172"/>
      <c r="H1999" s="172"/>
      <c r="I1999" s="174"/>
      <c r="J1999" s="174"/>
      <c r="K1999" s="175"/>
      <c r="L1999" s="175"/>
      <c r="M1999" s="170"/>
      <c r="N1999" s="170"/>
      <c r="O1999" s="176"/>
      <c r="P1999" s="173"/>
      <c r="Q1999" s="177"/>
      <c r="R1999" s="178"/>
      <c r="S1999" s="178"/>
      <c r="T1999" s="179"/>
      <c r="U1999" s="179"/>
      <c r="V1999" s="179"/>
      <c r="W1999" s="176"/>
      <c r="X1999" s="180"/>
      <c r="Y1999" s="170"/>
      <c r="Z1999" s="170"/>
    </row>
    <row r="2000" spans="1:26">
      <c r="A2000" s="170"/>
      <c r="B2000" s="171"/>
      <c r="C2000" s="170"/>
      <c r="D2000" s="172"/>
      <c r="E2000" s="172"/>
      <c r="F2000" s="173"/>
      <c r="G2000" s="172"/>
      <c r="H2000" s="172"/>
      <c r="I2000" s="174"/>
      <c r="J2000" s="174"/>
      <c r="K2000" s="175"/>
      <c r="L2000" s="175"/>
      <c r="M2000" s="170"/>
      <c r="N2000" s="170"/>
      <c r="O2000" s="176"/>
      <c r="P2000" s="173"/>
      <c r="Q2000" s="177"/>
      <c r="R2000" s="178"/>
      <c r="S2000" s="178"/>
      <c r="T2000" s="179"/>
      <c r="U2000" s="179"/>
      <c r="V2000" s="179"/>
      <c r="W2000" s="176"/>
      <c r="X2000" s="180"/>
      <c r="Y2000" s="170"/>
      <c r="Z2000" s="170"/>
    </row>
    <row r="2001" spans="1:26">
      <c r="A2001" s="170"/>
      <c r="B2001" s="171"/>
      <c r="C2001" s="170"/>
      <c r="D2001" s="172"/>
      <c r="E2001" s="172"/>
      <c r="F2001" s="173"/>
      <c r="G2001" s="172"/>
      <c r="H2001" s="172"/>
      <c r="I2001" s="174"/>
      <c r="J2001" s="174"/>
      <c r="K2001" s="175"/>
      <c r="L2001" s="175"/>
      <c r="M2001" s="170"/>
      <c r="N2001" s="170"/>
      <c r="O2001" s="176"/>
      <c r="P2001" s="173"/>
      <c r="Q2001" s="177"/>
      <c r="R2001" s="178"/>
      <c r="S2001" s="178"/>
      <c r="T2001" s="179"/>
      <c r="U2001" s="179"/>
      <c r="V2001" s="179"/>
      <c r="W2001" s="176"/>
      <c r="X2001" s="180"/>
      <c r="Y2001" s="170"/>
      <c r="Z2001" s="170"/>
    </row>
    <row r="2002" spans="1:26">
      <c r="A2002" s="170"/>
      <c r="B2002" s="171"/>
      <c r="C2002" s="170"/>
      <c r="D2002" s="172"/>
      <c r="E2002" s="172"/>
      <c r="F2002" s="173"/>
      <c r="G2002" s="172"/>
      <c r="H2002" s="172"/>
      <c r="I2002" s="174"/>
      <c r="J2002" s="174"/>
      <c r="K2002" s="175"/>
      <c r="L2002" s="175"/>
      <c r="M2002" s="170"/>
      <c r="N2002" s="170"/>
      <c r="O2002" s="176"/>
      <c r="P2002" s="173"/>
      <c r="Q2002" s="177"/>
      <c r="R2002" s="178"/>
      <c r="S2002" s="178"/>
      <c r="T2002" s="179"/>
      <c r="U2002" s="179"/>
      <c r="V2002" s="179"/>
      <c r="W2002" s="176"/>
      <c r="X2002" s="180"/>
      <c r="Y2002" s="170"/>
      <c r="Z2002" s="170"/>
    </row>
    <row r="2003" spans="1:26">
      <c r="A2003" s="170"/>
      <c r="B2003" s="171"/>
      <c r="C2003" s="170"/>
      <c r="D2003" s="172"/>
      <c r="E2003" s="172"/>
      <c r="F2003" s="173"/>
      <c r="G2003" s="172"/>
      <c r="H2003" s="172"/>
      <c r="I2003" s="174"/>
      <c r="J2003" s="174"/>
      <c r="K2003" s="175"/>
      <c r="L2003" s="175"/>
      <c r="M2003" s="170"/>
      <c r="N2003" s="170"/>
      <c r="O2003" s="176"/>
      <c r="P2003" s="173"/>
      <c r="Q2003" s="177"/>
      <c r="R2003" s="178"/>
      <c r="S2003" s="178"/>
      <c r="T2003" s="179"/>
      <c r="U2003" s="179"/>
      <c r="V2003" s="179"/>
      <c r="W2003" s="176"/>
      <c r="X2003" s="180"/>
      <c r="Y2003" s="170"/>
      <c r="Z2003" s="170"/>
    </row>
    <row r="2004" spans="1:26">
      <c r="A2004" s="170"/>
      <c r="B2004" s="171"/>
      <c r="C2004" s="170"/>
      <c r="D2004" s="172"/>
      <c r="E2004" s="172"/>
      <c r="F2004" s="173"/>
      <c r="G2004" s="172"/>
      <c r="H2004" s="172"/>
      <c r="I2004" s="174"/>
      <c r="J2004" s="174"/>
      <c r="K2004" s="175"/>
      <c r="L2004" s="175"/>
      <c r="M2004" s="170"/>
      <c r="N2004" s="170"/>
      <c r="O2004" s="176"/>
      <c r="P2004" s="173"/>
      <c r="Q2004" s="177"/>
      <c r="R2004" s="178"/>
      <c r="S2004" s="178"/>
      <c r="T2004" s="179"/>
      <c r="U2004" s="179"/>
      <c r="V2004" s="179"/>
      <c r="W2004" s="176"/>
      <c r="X2004" s="180"/>
      <c r="Y2004" s="170"/>
      <c r="Z2004" s="170"/>
    </row>
    <row r="2005" spans="1:26">
      <c r="A2005" s="170"/>
      <c r="B2005" s="171"/>
      <c r="C2005" s="170"/>
      <c r="D2005" s="172"/>
      <c r="E2005" s="172"/>
      <c r="F2005" s="173"/>
      <c r="G2005" s="172"/>
      <c r="H2005" s="172"/>
      <c r="I2005" s="174"/>
      <c r="J2005" s="174"/>
      <c r="K2005" s="175"/>
      <c r="L2005" s="175"/>
      <c r="M2005" s="170"/>
      <c r="N2005" s="170"/>
      <c r="O2005" s="176"/>
      <c r="P2005" s="173"/>
      <c r="Q2005" s="177"/>
      <c r="R2005" s="178"/>
      <c r="S2005" s="178"/>
      <c r="T2005" s="179"/>
      <c r="U2005" s="179"/>
      <c r="V2005" s="179"/>
      <c r="W2005" s="176"/>
      <c r="X2005" s="180"/>
      <c r="Y2005" s="170"/>
      <c r="Z2005" s="170"/>
    </row>
    <row r="2006" spans="1:26">
      <c r="A2006" s="170"/>
      <c r="B2006" s="171"/>
      <c r="C2006" s="170"/>
      <c r="D2006" s="172"/>
      <c r="E2006" s="172"/>
      <c r="F2006" s="173"/>
      <c r="G2006" s="172"/>
      <c r="H2006" s="172"/>
      <c r="I2006" s="174"/>
      <c r="J2006" s="174"/>
      <c r="K2006" s="175"/>
      <c r="L2006" s="175"/>
      <c r="M2006" s="170"/>
      <c r="N2006" s="170"/>
      <c r="O2006" s="176"/>
      <c r="P2006" s="173"/>
      <c r="Q2006" s="177"/>
      <c r="R2006" s="178"/>
      <c r="S2006" s="178"/>
      <c r="T2006" s="179"/>
      <c r="U2006" s="179"/>
      <c r="V2006" s="179"/>
      <c r="W2006" s="176"/>
      <c r="X2006" s="180"/>
      <c r="Y2006" s="170"/>
      <c r="Z2006" s="170"/>
    </row>
    <row r="2007" spans="1:26">
      <c r="A2007" s="170"/>
      <c r="B2007" s="171"/>
      <c r="C2007" s="170"/>
      <c r="D2007" s="172"/>
      <c r="E2007" s="172"/>
      <c r="F2007" s="173"/>
      <c r="G2007" s="172"/>
      <c r="H2007" s="172"/>
      <c r="I2007" s="174"/>
      <c r="J2007" s="174"/>
      <c r="K2007" s="175"/>
      <c r="L2007" s="175"/>
      <c r="M2007" s="170"/>
      <c r="N2007" s="170"/>
      <c r="O2007" s="176"/>
      <c r="P2007" s="173"/>
      <c r="Q2007" s="177"/>
      <c r="R2007" s="178"/>
      <c r="S2007" s="178"/>
      <c r="T2007" s="179"/>
      <c r="U2007" s="179"/>
      <c r="V2007" s="179"/>
      <c r="W2007" s="176"/>
      <c r="X2007" s="180"/>
      <c r="Y2007" s="170"/>
      <c r="Z2007" s="170"/>
    </row>
    <row r="2008" spans="1:26">
      <c r="A2008" s="170"/>
      <c r="B2008" s="171"/>
      <c r="C2008" s="170"/>
      <c r="D2008" s="172"/>
      <c r="E2008" s="172"/>
      <c r="F2008" s="173"/>
      <c r="G2008" s="172"/>
      <c r="H2008" s="172"/>
      <c r="I2008" s="174"/>
      <c r="J2008" s="174"/>
      <c r="K2008" s="175"/>
      <c r="L2008" s="175"/>
      <c r="M2008" s="170"/>
      <c r="N2008" s="170"/>
      <c r="O2008" s="176"/>
      <c r="P2008" s="173"/>
      <c r="Q2008" s="177"/>
      <c r="R2008" s="178"/>
      <c r="S2008" s="178"/>
      <c r="T2008" s="179"/>
      <c r="U2008" s="179"/>
      <c r="V2008" s="179"/>
      <c r="W2008" s="176"/>
      <c r="X2008" s="180"/>
      <c r="Y2008" s="170"/>
      <c r="Z2008" s="170"/>
    </row>
    <row r="2009" spans="1:26">
      <c r="A2009" s="170"/>
      <c r="B2009" s="171"/>
      <c r="C2009" s="170"/>
      <c r="D2009" s="172"/>
      <c r="E2009" s="172"/>
      <c r="F2009" s="173"/>
      <c r="G2009" s="172"/>
      <c r="H2009" s="172"/>
      <c r="I2009" s="174"/>
      <c r="J2009" s="174"/>
      <c r="K2009" s="175"/>
      <c r="L2009" s="175"/>
      <c r="M2009" s="170"/>
      <c r="N2009" s="170"/>
      <c r="O2009" s="176"/>
      <c r="P2009" s="173"/>
      <c r="Q2009" s="177"/>
      <c r="R2009" s="178"/>
      <c r="S2009" s="178"/>
      <c r="T2009" s="179"/>
      <c r="U2009" s="179"/>
      <c r="V2009" s="179"/>
      <c r="W2009" s="176"/>
      <c r="X2009" s="180"/>
      <c r="Y2009" s="170"/>
      <c r="Z2009" s="170"/>
    </row>
    <row r="2010" spans="1:26">
      <c r="A2010" s="170"/>
      <c r="B2010" s="171"/>
      <c r="C2010" s="170"/>
      <c r="D2010" s="172"/>
      <c r="E2010" s="172"/>
      <c r="F2010" s="173"/>
      <c r="G2010" s="172"/>
      <c r="H2010" s="172"/>
      <c r="I2010" s="174"/>
      <c r="J2010" s="174"/>
      <c r="K2010" s="175"/>
      <c r="L2010" s="175"/>
      <c r="M2010" s="170"/>
      <c r="N2010" s="170"/>
      <c r="O2010" s="176"/>
      <c r="P2010" s="173"/>
      <c r="Q2010" s="177"/>
      <c r="R2010" s="178"/>
      <c r="S2010" s="178"/>
      <c r="T2010" s="179"/>
      <c r="U2010" s="179"/>
      <c r="V2010" s="179"/>
      <c r="W2010" s="176"/>
      <c r="X2010" s="180"/>
      <c r="Y2010" s="170"/>
      <c r="Z2010" s="170"/>
    </row>
    <row r="2011" spans="1:26">
      <c r="A2011" s="170"/>
      <c r="B2011" s="171"/>
      <c r="C2011" s="170"/>
      <c r="D2011" s="172"/>
      <c r="E2011" s="172"/>
      <c r="F2011" s="173"/>
      <c r="G2011" s="172"/>
      <c r="H2011" s="172"/>
      <c r="I2011" s="174"/>
      <c r="J2011" s="174"/>
      <c r="K2011" s="175"/>
      <c r="L2011" s="175"/>
      <c r="M2011" s="170"/>
      <c r="N2011" s="170"/>
      <c r="O2011" s="176"/>
      <c r="P2011" s="173"/>
      <c r="Q2011" s="177"/>
      <c r="R2011" s="178"/>
      <c r="S2011" s="178"/>
      <c r="T2011" s="179"/>
      <c r="U2011" s="179"/>
      <c r="V2011" s="179"/>
      <c r="W2011" s="176"/>
      <c r="X2011" s="180"/>
      <c r="Y2011" s="170"/>
      <c r="Z2011" s="170"/>
    </row>
    <row r="2012" spans="1:26">
      <c r="A2012" s="170"/>
      <c r="B2012" s="171"/>
      <c r="C2012" s="170"/>
      <c r="D2012" s="172"/>
      <c r="E2012" s="172"/>
      <c r="F2012" s="173"/>
      <c r="G2012" s="172"/>
      <c r="H2012" s="172"/>
      <c r="I2012" s="174"/>
      <c r="J2012" s="174"/>
      <c r="K2012" s="175"/>
      <c r="L2012" s="175"/>
      <c r="M2012" s="170"/>
      <c r="N2012" s="170"/>
      <c r="O2012" s="176"/>
      <c r="P2012" s="173"/>
      <c r="Q2012" s="177"/>
      <c r="R2012" s="178"/>
      <c r="S2012" s="178"/>
      <c r="T2012" s="179"/>
      <c r="U2012" s="179"/>
      <c r="V2012" s="179"/>
      <c r="W2012" s="176"/>
      <c r="X2012" s="180"/>
      <c r="Y2012" s="170"/>
      <c r="Z2012" s="170"/>
    </row>
    <row r="2013" spans="1:26">
      <c r="A2013" s="170"/>
      <c r="B2013" s="171"/>
      <c r="C2013" s="170"/>
      <c r="D2013" s="172"/>
      <c r="E2013" s="172"/>
      <c r="F2013" s="173"/>
      <c r="G2013" s="172"/>
      <c r="H2013" s="172"/>
      <c r="I2013" s="174"/>
      <c r="J2013" s="174"/>
      <c r="K2013" s="175"/>
      <c r="L2013" s="175"/>
      <c r="M2013" s="170"/>
      <c r="N2013" s="170"/>
      <c r="O2013" s="176"/>
      <c r="P2013" s="173"/>
      <c r="Q2013" s="177"/>
      <c r="R2013" s="178"/>
      <c r="S2013" s="178"/>
      <c r="T2013" s="179"/>
      <c r="U2013" s="179"/>
      <c r="V2013" s="179"/>
      <c r="W2013" s="176"/>
      <c r="X2013" s="180"/>
      <c r="Y2013" s="170"/>
      <c r="Z2013" s="170"/>
    </row>
    <row r="2014" spans="1:26">
      <c r="A2014" s="170"/>
      <c r="B2014" s="171"/>
      <c r="C2014" s="170"/>
      <c r="D2014" s="172"/>
      <c r="E2014" s="172"/>
      <c r="F2014" s="173"/>
      <c r="G2014" s="172"/>
      <c r="H2014" s="172"/>
      <c r="I2014" s="174"/>
      <c r="J2014" s="174"/>
      <c r="K2014" s="175"/>
      <c r="L2014" s="175"/>
      <c r="M2014" s="170"/>
      <c r="N2014" s="170"/>
      <c r="O2014" s="176"/>
      <c r="P2014" s="173"/>
      <c r="Q2014" s="177"/>
      <c r="R2014" s="178"/>
      <c r="S2014" s="178"/>
      <c r="T2014" s="179"/>
      <c r="U2014" s="179"/>
      <c r="V2014" s="179"/>
      <c r="W2014" s="176"/>
      <c r="X2014" s="180"/>
      <c r="Y2014" s="170"/>
      <c r="Z2014" s="170"/>
    </row>
    <row r="2015" spans="1:26">
      <c r="A2015" s="170"/>
      <c r="B2015" s="171"/>
      <c r="C2015" s="170"/>
      <c r="D2015" s="172"/>
      <c r="E2015" s="172"/>
      <c r="F2015" s="173"/>
      <c r="G2015" s="172"/>
      <c r="H2015" s="172"/>
      <c r="I2015" s="174"/>
      <c r="J2015" s="174"/>
      <c r="K2015" s="175"/>
      <c r="L2015" s="175"/>
      <c r="M2015" s="170"/>
      <c r="N2015" s="170"/>
      <c r="O2015" s="176"/>
      <c r="P2015" s="173"/>
      <c r="Q2015" s="177"/>
      <c r="R2015" s="178"/>
      <c r="S2015" s="178"/>
      <c r="T2015" s="179"/>
      <c r="U2015" s="179"/>
      <c r="V2015" s="179"/>
      <c r="W2015" s="176"/>
      <c r="X2015" s="180"/>
      <c r="Y2015" s="170"/>
      <c r="Z2015" s="170"/>
    </row>
    <row r="2016" spans="1:26">
      <c r="A2016" s="170"/>
      <c r="B2016" s="171"/>
      <c r="C2016" s="170"/>
      <c r="D2016" s="172"/>
      <c r="E2016" s="172"/>
      <c r="F2016" s="173"/>
      <c r="G2016" s="172"/>
      <c r="H2016" s="172"/>
      <c r="I2016" s="174"/>
      <c r="J2016" s="174"/>
      <c r="K2016" s="175"/>
      <c r="L2016" s="175"/>
      <c r="M2016" s="170"/>
      <c r="N2016" s="170"/>
      <c r="O2016" s="176"/>
      <c r="P2016" s="173"/>
      <c r="Q2016" s="177"/>
      <c r="R2016" s="178"/>
      <c r="S2016" s="178"/>
      <c r="T2016" s="179"/>
      <c r="U2016" s="179"/>
      <c r="V2016" s="179"/>
      <c r="W2016" s="176"/>
      <c r="X2016" s="180"/>
      <c r="Y2016" s="170"/>
      <c r="Z2016" s="170"/>
    </row>
    <row r="2017" spans="1:26">
      <c r="A2017" s="170"/>
      <c r="B2017" s="171"/>
      <c r="C2017" s="170"/>
      <c r="D2017" s="172"/>
      <c r="E2017" s="172"/>
      <c r="F2017" s="173"/>
      <c r="G2017" s="172"/>
      <c r="H2017" s="172"/>
      <c r="I2017" s="174"/>
      <c r="J2017" s="174"/>
      <c r="K2017" s="175"/>
      <c r="L2017" s="175"/>
      <c r="M2017" s="170"/>
      <c r="N2017" s="170"/>
      <c r="O2017" s="176"/>
      <c r="P2017" s="173"/>
      <c r="Q2017" s="177"/>
      <c r="R2017" s="178"/>
      <c r="S2017" s="178"/>
      <c r="T2017" s="179"/>
      <c r="U2017" s="179"/>
      <c r="V2017" s="179"/>
      <c r="W2017" s="176"/>
      <c r="X2017" s="180"/>
      <c r="Y2017" s="170"/>
      <c r="Z2017" s="170"/>
    </row>
    <row r="2018" spans="1:26">
      <c r="A2018" s="170"/>
      <c r="B2018" s="171"/>
      <c r="C2018" s="170"/>
      <c r="D2018" s="172"/>
      <c r="E2018" s="172"/>
      <c r="F2018" s="173"/>
      <c r="G2018" s="172"/>
      <c r="H2018" s="172"/>
      <c r="I2018" s="174"/>
      <c r="J2018" s="174"/>
      <c r="K2018" s="175"/>
      <c r="L2018" s="175"/>
      <c r="M2018" s="170"/>
      <c r="N2018" s="170"/>
      <c r="O2018" s="176"/>
      <c r="P2018" s="173"/>
      <c r="Q2018" s="177"/>
      <c r="R2018" s="178"/>
      <c r="S2018" s="178"/>
      <c r="T2018" s="179"/>
      <c r="U2018" s="179"/>
      <c r="V2018" s="179"/>
      <c r="W2018" s="176"/>
      <c r="X2018" s="180"/>
      <c r="Y2018" s="170"/>
      <c r="Z2018" s="170"/>
    </row>
    <row r="2019" spans="1:26">
      <c r="A2019" s="170"/>
      <c r="B2019" s="171"/>
      <c r="C2019" s="170"/>
      <c r="D2019" s="172"/>
      <c r="E2019" s="172"/>
      <c r="F2019" s="173"/>
      <c r="G2019" s="172"/>
      <c r="H2019" s="172"/>
      <c r="I2019" s="174"/>
      <c r="J2019" s="174"/>
      <c r="K2019" s="175"/>
      <c r="L2019" s="175"/>
      <c r="M2019" s="170"/>
      <c r="N2019" s="170"/>
      <c r="O2019" s="176"/>
      <c r="P2019" s="173"/>
      <c r="Q2019" s="177"/>
      <c r="R2019" s="178"/>
      <c r="S2019" s="178"/>
      <c r="T2019" s="179"/>
      <c r="U2019" s="179"/>
      <c r="V2019" s="179"/>
      <c r="W2019" s="176"/>
      <c r="X2019" s="180"/>
      <c r="Y2019" s="170"/>
      <c r="Z2019" s="170"/>
    </row>
    <row r="2020" spans="1:26">
      <c r="A2020" s="170"/>
      <c r="B2020" s="171"/>
      <c r="C2020" s="170"/>
      <c r="D2020" s="172"/>
      <c r="E2020" s="172"/>
      <c r="F2020" s="173"/>
      <c r="G2020" s="172"/>
      <c r="H2020" s="172"/>
      <c r="I2020" s="174"/>
      <c r="J2020" s="174"/>
      <c r="K2020" s="175"/>
      <c r="L2020" s="175"/>
      <c r="M2020" s="170"/>
      <c r="N2020" s="170"/>
      <c r="O2020" s="176"/>
      <c r="P2020" s="173"/>
      <c r="Q2020" s="177"/>
      <c r="R2020" s="178"/>
      <c r="S2020" s="178"/>
      <c r="T2020" s="179"/>
      <c r="U2020" s="179"/>
      <c r="V2020" s="179"/>
      <c r="W2020" s="176"/>
      <c r="X2020" s="180"/>
      <c r="Y2020" s="170"/>
      <c r="Z2020" s="170"/>
    </row>
    <row r="2021" spans="1:26">
      <c r="A2021" s="170"/>
      <c r="B2021" s="171"/>
      <c r="C2021" s="170"/>
      <c r="D2021" s="172"/>
      <c r="E2021" s="172"/>
      <c r="F2021" s="173"/>
      <c r="G2021" s="172"/>
      <c r="H2021" s="172"/>
      <c r="I2021" s="174"/>
      <c r="J2021" s="174"/>
      <c r="K2021" s="175"/>
      <c r="L2021" s="175"/>
      <c r="M2021" s="170"/>
      <c r="N2021" s="170"/>
      <c r="O2021" s="176"/>
      <c r="P2021" s="173"/>
      <c r="Q2021" s="177"/>
      <c r="R2021" s="178"/>
      <c r="S2021" s="178"/>
      <c r="T2021" s="179"/>
      <c r="U2021" s="179"/>
      <c r="V2021" s="179"/>
      <c r="W2021" s="176"/>
      <c r="X2021" s="180"/>
      <c r="Y2021" s="170"/>
      <c r="Z2021" s="170"/>
    </row>
    <row r="2022" spans="1:26">
      <c r="A2022" s="170"/>
      <c r="B2022" s="171"/>
      <c r="C2022" s="170"/>
      <c r="D2022" s="172"/>
      <c r="E2022" s="172"/>
      <c r="F2022" s="173"/>
      <c r="G2022" s="172"/>
      <c r="H2022" s="172"/>
      <c r="I2022" s="174"/>
      <c r="J2022" s="174"/>
      <c r="K2022" s="175"/>
      <c r="L2022" s="175"/>
      <c r="M2022" s="170"/>
      <c r="N2022" s="170"/>
      <c r="O2022" s="176"/>
      <c r="P2022" s="173"/>
      <c r="Q2022" s="177"/>
      <c r="R2022" s="178"/>
      <c r="S2022" s="178"/>
      <c r="T2022" s="179"/>
      <c r="U2022" s="179"/>
      <c r="V2022" s="179"/>
      <c r="W2022" s="176"/>
      <c r="X2022" s="180"/>
      <c r="Y2022" s="170"/>
      <c r="Z2022" s="170"/>
    </row>
    <row r="2023" spans="1:26">
      <c r="A2023" s="170"/>
      <c r="B2023" s="171"/>
      <c r="C2023" s="170"/>
      <c r="D2023" s="172"/>
      <c r="E2023" s="172"/>
      <c r="F2023" s="173"/>
      <c r="G2023" s="172"/>
      <c r="H2023" s="172"/>
      <c r="I2023" s="174"/>
      <c r="J2023" s="174"/>
      <c r="K2023" s="175"/>
      <c r="L2023" s="175"/>
      <c r="M2023" s="170"/>
      <c r="N2023" s="170"/>
      <c r="O2023" s="176"/>
      <c r="P2023" s="173"/>
      <c r="Q2023" s="177"/>
      <c r="R2023" s="178"/>
      <c r="S2023" s="178"/>
      <c r="T2023" s="179"/>
      <c r="U2023" s="179"/>
      <c r="V2023" s="179"/>
      <c r="W2023" s="176"/>
      <c r="X2023" s="180"/>
      <c r="Y2023" s="170"/>
      <c r="Z2023" s="170"/>
    </row>
    <row r="2024" spans="1:26">
      <c r="A2024" s="170"/>
      <c r="B2024" s="171"/>
      <c r="C2024" s="170"/>
      <c r="D2024" s="172"/>
      <c r="E2024" s="172"/>
      <c r="F2024" s="173"/>
      <c r="G2024" s="172"/>
      <c r="H2024" s="172"/>
      <c r="I2024" s="174"/>
      <c r="J2024" s="174"/>
      <c r="K2024" s="175"/>
      <c r="L2024" s="175"/>
      <c r="M2024" s="170"/>
      <c r="N2024" s="170"/>
      <c r="O2024" s="176"/>
      <c r="P2024" s="173"/>
      <c r="Q2024" s="177"/>
      <c r="R2024" s="178"/>
      <c r="S2024" s="178"/>
      <c r="T2024" s="179"/>
      <c r="U2024" s="179"/>
      <c r="V2024" s="179"/>
      <c r="W2024" s="176"/>
      <c r="X2024" s="180"/>
      <c r="Y2024" s="170"/>
      <c r="Z2024" s="170"/>
    </row>
    <row r="2025" spans="1:26">
      <c r="A2025" s="170"/>
      <c r="B2025" s="171"/>
      <c r="C2025" s="170"/>
      <c r="D2025" s="172"/>
      <c r="E2025" s="172"/>
      <c r="F2025" s="173"/>
      <c r="G2025" s="172"/>
      <c r="H2025" s="172"/>
      <c r="I2025" s="174"/>
      <c r="J2025" s="174"/>
      <c r="K2025" s="175"/>
      <c r="L2025" s="175"/>
      <c r="M2025" s="170"/>
      <c r="N2025" s="170"/>
      <c r="O2025" s="176"/>
      <c r="P2025" s="173"/>
      <c r="Q2025" s="177"/>
      <c r="R2025" s="178"/>
      <c r="S2025" s="178"/>
      <c r="T2025" s="179"/>
      <c r="U2025" s="179"/>
      <c r="V2025" s="179"/>
      <c r="W2025" s="176"/>
      <c r="X2025" s="180"/>
      <c r="Y2025" s="170"/>
      <c r="Z2025" s="170"/>
    </row>
    <row r="2026" spans="1:26">
      <c r="A2026" s="170"/>
      <c r="B2026" s="171"/>
      <c r="C2026" s="170"/>
      <c r="D2026" s="172"/>
      <c r="E2026" s="172"/>
      <c r="F2026" s="173"/>
      <c r="G2026" s="172"/>
      <c r="H2026" s="172"/>
      <c r="I2026" s="174"/>
      <c r="J2026" s="174"/>
      <c r="K2026" s="175"/>
      <c r="L2026" s="175"/>
      <c r="M2026" s="170"/>
      <c r="N2026" s="170"/>
      <c r="O2026" s="176"/>
      <c r="P2026" s="173"/>
      <c r="Q2026" s="177"/>
      <c r="R2026" s="178"/>
      <c r="S2026" s="178"/>
      <c r="T2026" s="179"/>
      <c r="U2026" s="179"/>
      <c r="V2026" s="179"/>
      <c r="W2026" s="176"/>
      <c r="X2026" s="180"/>
      <c r="Y2026" s="170"/>
      <c r="Z2026" s="170"/>
    </row>
    <row r="2027" spans="1:26">
      <c r="A2027" s="170"/>
      <c r="B2027" s="171"/>
      <c r="C2027" s="170"/>
      <c r="D2027" s="172"/>
      <c r="E2027" s="172"/>
      <c r="F2027" s="173"/>
      <c r="G2027" s="172"/>
      <c r="H2027" s="172"/>
      <c r="I2027" s="174"/>
      <c r="J2027" s="174"/>
      <c r="K2027" s="175"/>
      <c r="L2027" s="175"/>
      <c r="M2027" s="170"/>
      <c r="N2027" s="170"/>
      <c r="O2027" s="176"/>
      <c r="P2027" s="173"/>
      <c r="Q2027" s="177"/>
      <c r="R2027" s="178"/>
      <c r="S2027" s="178"/>
      <c r="T2027" s="179"/>
      <c r="U2027" s="179"/>
      <c r="V2027" s="179"/>
      <c r="W2027" s="176"/>
      <c r="X2027" s="180"/>
      <c r="Y2027" s="170"/>
      <c r="Z2027" s="170"/>
    </row>
    <row r="2028" spans="1:26">
      <c r="A2028" s="170"/>
      <c r="B2028" s="171"/>
      <c r="C2028" s="170"/>
      <c r="D2028" s="172"/>
      <c r="E2028" s="172"/>
      <c r="F2028" s="173"/>
      <c r="G2028" s="172"/>
      <c r="H2028" s="172"/>
      <c r="I2028" s="174"/>
      <c r="J2028" s="174"/>
      <c r="K2028" s="175"/>
      <c r="L2028" s="175"/>
      <c r="M2028" s="170"/>
      <c r="N2028" s="170"/>
      <c r="O2028" s="176"/>
      <c r="P2028" s="173"/>
      <c r="Q2028" s="177"/>
      <c r="R2028" s="178"/>
      <c r="S2028" s="178"/>
      <c r="T2028" s="179"/>
      <c r="U2028" s="179"/>
      <c r="V2028" s="179"/>
      <c r="W2028" s="176"/>
      <c r="X2028" s="180"/>
      <c r="Y2028" s="170"/>
      <c r="Z2028" s="170"/>
    </row>
    <row r="2029" spans="1:26">
      <c r="A2029" s="170"/>
      <c r="B2029" s="171"/>
      <c r="C2029" s="170"/>
      <c r="D2029" s="172"/>
      <c r="E2029" s="172"/>
      <c r="F2029" s="173"/>
      <c r="G2029" s="172"/>
      <c r="H2029" s="172"/>
      <c r="I2029" s="174"/>
      <c r="J2029" s="174"/>
      <c r="K2029" s="175"/>
      <c r="L2029" s="175"/>
      <c r="M2029" s="170"/>
      <c r="N2029" s="170"/>
      <c r="O2029" s="176"/>
      <c r="P2029" s="173"/>
      <c r="Q2029" s="177"/>
      <c r="R2029" s="178"/>
      <c r="S2029" s="178"/>
      <c r="T2029" s="179"/>
      <c r="U2029" s="179"/>
      <c r="V2029" s="179"/>
      <c r="W2029" s="176"/>
      <c r="X2029" s="180"/>
      <c r="Y2029" s="170"/>
      <c r="Z2029" s="170"/>
    </row>
    <row r="2030" spans="1:26">
      <c r="A2030" s="170"/>
      <c r="B2030" s="171"/>
      <c r="C2030" s="170"/>
      <c r="D2030" s="172"/>
      <c r="E2030" s="172"/>
      <c r="F2030" s="173"/>
      <c r="G2030" s="172"/>
      <c r="H2030" s="172"/>
      <c r="I2030" s="174"/>
      <c r="J2030" s="174"/>
      <c r="K2030" s="175"/>
      <c r="L2030" s="175"/>
      <c r="M2030" s="170"/>
      <c r="N2030" s="170"/>
      <c r="O2030" s="176"/>
      <c r="P2030" s="173"/>
      <c r="Q2030" s="177"/>
      <c r="R2030" s="178"/>
      <c r="S2030" s="178"/>
      <c r="T2030" s="179"/>
      <c r="U2030" s="179"/>
      <c r="V2030" s="179"/>
      <c r="W2030" s="176"/>
      <c r="X2030" s="180"/>
      <c r="Y2030" s="170"/>
      <c r="Z2030" s="170"/>
    </row>
    <row r="2031" spans="1:26">
      <c r="A2031" s="170"/>
      <c r="B2031" s="171"/>
      <c r="C2031" s="170"/>
      <c r="D2031" s="172"/>
      <c r="E2031" s="172"/>
      <c r="F2031" s="173"/>
      <c r="G2031" s="172"/>
      <c r="H2031" s="172"/>
      <c r="I2031" s="174"/>
      <c r="J2031" s="174"/>
      <c r="K2031" s="175"/>
      <c r="L2031" s="175"/>
      <c r="M2031" s="170"/>
      <c r="N2031" s="170"/>
      <c r="O2031" s="176"/>
      <c r="P2031" s="173"/>
      <c r="Q2031" s="177"/>
      <c r="R2031" s="178"/>
      <c r="S2031" s="178"/>
      <c r="T2031" s="179"/>
      <c r="U2031" s="179"/>
      <c r="V2031" s="179"/>
      <c r="W2031" s="176"/>
      <c r="X2031" s="180"/>
      <c r="Y2031" s="170"/>
      <c r="Z2031" s="170"/>
    </row>
    <row r="2032" spans="1:26">
      <c r="A2032" s="170"/>
      <c r="B2032" s="171"/>
      <c r="C2032" s="170"/>
      <c r="D2032" s="172"/>
      <c r="E2032" s="172"/>
      <c r="F2032" s="173"/>
      <c r="G2032" s="172"/>
      <c r="H2032" s="172"/>
      <c r="I2032" s="174"/>
      <c r="J2032" s="174"/>
      <c r="K2032" s="175"/>
      <c r="L2032" s="175"/>
      <c r="M2032" s="170"/>
      <c r="N2032" s="170"/>
      <c r="O2032" s="176"/>
      <c r="P2032" s="173"/>
      <c r="Q2032" s="177"/>
      <c r="R2032" s="178"/>
      <c r="S2032" s="178"/>
      <c r="T2032" s="179"/>
      <c r="U2032" s="179"/>
      <c r="V2032" s="179"/>
      <c r="W2032" s="176"/>
      <c r="X2032" s="180"/>
      <c r="Y2032" s="170"/>
      <c r="Z2032" s="170"/>
    </row>
    <row r="2033" spans="1:26">
      <c r="A2033" s="170"/>
      <c r="B2033" s="171"/>
      <c r="C2033" s="170"/>
      <c r="D2033" s="172"/>
      <c r="E2033" s="172"/>
      <c r="F2033" s="173"/>
      <c r="G2033" s="172"/>
      <c r="H2033" s="172"/>
      <c r="I2033" s="174"/>
      <c r="J2033" s="174"/>
      <c r="K2033" s="175"/>
      <c r="L2033" s="175"/>
      <c r="M2033" s="170"/>
      <c r="N2033" s="170"/>
      <c r="O2033" s="176"/>
      <c r="P2033" s="173"/>
      <c r="Q2033" s="177"/>
      <c r="R2033" s="178"/>
      <c r="S2033" s="178"/>
      <c r="T2033" s="179"/>
      <c r="U2033" s="179"/>
      <c r="V2033" s="179"/>
      <c r="W2033" s="176"/>
      <c r="X2033" s="180"/>
      <c r="Y2033" s="170"/>
      <c r="Z2033" s="170"/>
    </row>
    <row r="2034" spans="1:26">
      <c r="A2034" s="170"/>
      <c r="B2034" s="171"/>
      <c r="C2034" s="170"/>
      <c r="D2034" s="172"/>
      <c r="E2034" s="172"/>
      <c r="F2034" s="173"/>
      <c r="G2034" s="172"/>
      <c r="H2034" s="172"/>
      <c r="I2034" s="174"/>
      <c r="J2034" s="174"/>
      <c r="K2034" s="175"/>
      <c r="L2034" s="175"/>
      <c r="M2034" s="170"/>
      <c r="N2034" s="170"/>
      <c r="O2034" s="176"/>
      <c r="P2034" s="173"/>
      <c r="Q2034" s="177"/>
      <c r="R2034" s="178"/>
      <c r="S2034" s="178"/>
      <c r="T2034" s="179"/>
      <c r="U2034" s="179"/>
      <c r="V2034" s="179"/>
      <c r="W2034" s="176"/>
      <c r="X2034" s="180"/>
      <c r="Y2034" s="170"/>
      <c r="Z2034" s="170"/>
    </row>
    <row r="2035" spans="1:26">
      <c r="A2035" s="170"/>
      <c r="B2035" s="171"/>
      <c r="C2035" s="170"/>
      <c r="D2035" s="172"/>
      <c r="E2035" s="172"/>
      <c r="F2035" s="173"/>
      <c r="G2035" s="172"/>
      <c r="H2035" s="172"/>
      <c r="I2035" s="174"/>
      <c r="J2035" s="174"/>
      <c r="K2035" s="175"/>
      <c r="L2035" s="175"/>
      <c r="M2035" s="170"/>
      <c r="N2035" s="170"/>
      <c r="O2035" s="176"/>
      <c r="P2035" s="173"/>
      <c r="Q2035" s="177"/>
      <c r="R2035" s="178"/>
      <c r="S2035" s="178"/>
      <c r="T2035" s="179"/>
      <c r="U2035" s="179"/>
      <c r="V2035" s="179"/>
      <c r="W2035" s="176"/>
      <c r="X2035" s="180"/>
      <c r="Y2035" s="170"/>
      <c r="Z2035" s="170"/>
    </row>
    <row r="2036" spans="1:26">
      <c r="A2036" s="170"/>
      <c r="B2036" s="171"/>
      <c r="C2036" s="170"/>
      <c r="D2036" s="172"/>
      <c r="E2036" s="172"/>
      <c r="F2036" s="173"/>
      <c r="G2036" s="172"/>
      <c r="H2036" s="172"/>
      <c r="I2036" s="174"/>
      <c r="J2036" s="174"/>
      <c r="K2036" s="175"/>
      <c r="L2036" s="175"/>
      <c r="M2036" s="170"/>
      <c r="N2036" s="170"/>
      <c r="O2036" s="176"/>
      <c r="P2036" s="173"/>
      <c r="Q2036" s="177"/>
      <c r="R2036" s="178"/>
      <c r="S2036" s="178"/>
      <c r="T2036" s="179"/>
      <c r="U2036" s="179"/>
      <c r="V2036" s="179"/>
      <c r="W2036" s="176"/>
      <c r="X2036" s="180"/>
      <c r="Y2036" s="170"/>
      <c r="Z2036" s="170"/>
    </row>
    <row r="2037" spans="1:26">
      <c r="A2037" s="170"/>
      <c r="B2037" s="171"/>
      <c r="C2037" s="170"/>
      <c r="D2037" s="172"/>
      <c r="E2037" s="172"/>
      <c r="F2037" s="173"/>
      <c r="G2037" s="172"/>
      <c r="H2037" s="172"/>
      <c r="I2037" s="174"/>
      <c r="J2037" s="174"/>
      <c r="K2037" s="175"/>
      <c r="L2037" s="175"/>
      <c r="M2037" s="170"/>
      <c r="N2037" s="170"/>
      <c r="O2037" s="176"/>
      <c r="P2037" s="173"/>
      <c r="Q2037" s="177"/>
      <c r="R2037" s="178"/>
      <c r="S2037" s="178"/>
      <c r="T2037" s="179"/>
      <c r="U2037" s="179"/>
      <c r="V2037" s="179"/>
      <c r="W2037" s="176"/>
      <c r="X2037" s="180"/>
      <c r="Y2037" s="170"/>
      <c r="Z2037" s="170"/>
    </row>
    <row r="2038" spans="1:26">
      <c r="A2038" s="170"/>
      <c r="B2038" s="171"/>
      <c r="C2038" s="170"/>
      <c r="D2038" s="172"/>
      <c r="E2038" s="172"/>
      <c r="F2038" s="173"/>
      <c r="G2038" s="172"/>
      <c r="H2038" s="172"/>
      <c r="I2038" s="174"/>
      <c r="J2038" s="174"/>
      <c r="K2038" s="175"/>
      <c r="L2038" s="175"/>
      <c r="M2038" s="170"/>
      <c r="N2038" s="170"/>
      <c r="O2038" s="176"/>
      <c r="P2038" s="173"/>
      <c r="Q2038" s="177"/>
      <c r="R2038" s="178"/>
      <c r="S2038" s="178"/>
      <c r="T2038" s="179"/>
      <c r="U2038" s="179"/>
      <c r="V2038" s="179"/>
      <c r="W2038" s="176"/>
      <c r="X2038" s="180"/>
      <c r="Y2038" s="170"/>
      <c r="Z2038" s="170"/>
    </row>
    <row r="2039" spans="1:26">
      <c r="A2039" s="170"/>
      <c r="B2039" s="171"/>
      <c r="C2039" s="170"/>
      <c r="D2039" s="172"/>
      <c r="E2039" s="172"/>
      <c r="F2039" s="173"/>
      <c r="G2039" s="172"/>
      <c r="H2039" s="172"/>
      <c r="I2039" s="174"/>
      <c r="J2039" s="174"/>
      <c r="K2039" s="175"/>
      <c r="L2039" s="175"/>
      <c r="M2039" s="170"/>
      <c r="N2039" s="170"/>
      <c r="O2039" s="176"/>
      <c r="P2039" s="173"/>
      <c r="Q2039" s="177"/>
      <c r="R2039" s="178"/>
      <c r="S2039" s="178"/>
      <c r="T2039" s="179"/>
      <c r="U2039" s="179"/>
      <c r="V2039" s="179"/>
      <c r="W2039" s="176"/>
      <c r="X2039" s="180"/>
      <c r="Y2039" s="170"/>
      <c r="Z2039" s="170"/>
    </row>
    <row r="2040" spans="1:26">
      <c r="A2040" s="170"/>
      <c r="B2040" s="171"/>
      <c r="C2040" s="170"/>
      <c r="D2040" s="172"/>
      <c r="E2040" s="172"/>
      <c r="F2040" s="173"/>
      <c r="G2040" s="172"/>
      <c r="H2040" s="172"/>
      <c r="I2040" s="174"/>
      <c r="J2040" s="174"/>
      <c r="K2040" s="175"/>
      <c r="L2040" s="175"/>
      <c r="M2040" s="170"/>
      <c r="N2040" s="170"/>
      <c r="O2040" s="176"/>
      <c r="P2040" s="173"/>
      <c r="Q2040" s="177"/>
      <c r="R2040" s="178"/>
      <c r="S2040" s="178"/>
      <c r="T2040" s="179"/>
      <c r="U2040" s="179"/>
      <c r="V2040" s="179"/>
      <c r="W2040" s="176"/>
      <c r="X2040" s="180"/>
      <c r="Y2040" s="170"/>
      <c r="Z2040" s="170"/>
    </row>
    <row r="2041" spans="1:26">
      <c r="A2041" s="170"/>
      <c r="B2041" s="171"/>
      <c r="C2041" s="170"/>
      <c r="D2041" s="172"/>
      <c r="E2041" s="172"/>
      <c r="F2041" s="173"/>
      <c r="G2041" s="172"/>
      <c r="H2041" s="172"/>
      <c r="I2041" s="174"/>
      <c r="J2041" s="174"/>
      <c r="K2041" s="175"/>
      <c r="L2041" s="175"/>
      <c r="M2041" s="170"/>
      <c r="N2041" s="170"/>
      <c r="O2041" s="176"/>
      <c r="P2041" s="173"/>
      <c r="Q2041" s="177"/>
      <c r="R2041" s="178"/>
      <c r="S2041" s="178"/>
      <c r="T2041" s="179"/>
      <c r="U2041" s="179"/>
      <c r="V2041" s="179"/>
      <c r="W2041" s="176"/>
      <c r="X2041" s="180"/>
      <c r="Y2041" s="170"/>
      <c r="Z2041" s="170"/>
    </row>
    <row r="2042" spans="1:26">
      <c r="A2042" s="170"/>
      <c r="B2042" s="171"/>
      <c r="C2042" s="170"/>
      <c r="D2042" s="172"/>
      <c r="E2042" s="172"/>
      <c r="F2042" s="173"/>
      <c r="G2042" s="172"/>
      <c r="H2042" s="172"/>
      <c r="I2042" s="174"/>
      <c r="J2042" s="174"/>
      <c r="K2042" s="175"/>
      <c r="L2042" s="175"/>
      <c r="M2042" s="170"/>
      <c r="N2042" s="170"/>
      <c r="O2042" s="176"/>
      <c r="P2042" s="173"/>
      <c r="Q2042" s="177"/>
      <c r="R2042" s="178"/>
      <c r="S2042" s="178"/>
      <c r="T2042" s="179"/>
      <c r="U2042" s="179"/>
      <c r="V2042" s="179"/>
      <c r="W2042" s="176"/>
      <c r="X2042" s="180"/>
      <c r="Y2042" s="170"/>
      <c r="Z2042" s="170"/>
    </row>
    <row r="2043" spans="1:26">
      <c r="A2043" s="170"/>
      <c r="B2043" s="171"/>
      <c r="C2043" s="170"/>
      <c r="D2043" s="172"/>
      <c r="E2043" s="172"/>
      <c r="F2043" s="173"/>
      <c r="G2043" s="172"/>
      <c r="H2043" s="172"/>
      <c r="I2043" s="174"/>
      <c r="J2043" s="174"/>
      <c r="K2043" s="175"/>
      <c r="L2043" s="175"/>
      <c r="M2043" s="170"/>
      <c r="N2043" s="170"/>
      <c r="O2043" s="176"/>
      <c r="P2043" s="173"/>
      <c r="Q2043" s="177"/>
      <c r="R2043" s="178"/>
      <c r="S2043" s="178"/>
      <c r="T2043" s="179"/>
      <c r="U2043" s="179"/>
      <c r="V2043" s="179"/>
      <c r="W2043" s="176"/>
      <c r="X2043" s="180"/>
      <c r="Y2043" s="170"/>
      <c r="Z2043" s="170"/>
    </row>
    <row r="2044" spans="1:26">
      <c r="A2044" s="170"/>
      <c r="B2044" s="171"/>
      <c r="C2044" s="170"/>
      <c r="D2044" s="172"/>
      <c r="E2044" s="172"/>
      <c r="F2044" s="173"/>
      <c r="G2044" s="172"/>
      <c r="H2044" s="172"/>
      <c r="I2044" s="174"/>
      <c r="J2044" s="174"/>
      <c r="K2044" s="175"/>
      <c r="L2044" s="175"/>
      <c r="M2044" s="170"/>
      <c r="N2044" s="170"/>
      <c r="O2044" s="176"/>
      <c r="P2044" s="173"/>
      <c r="Q2044" s="177"/>
      <c r="R2044" s="178"/>
      <c r="S2044" s="178"/>
      <c r="T2044" s="179"/>
      <c r="U2044" s="179"/>
      <c r="V2044" s="179"/>
      <c r="W2044" s="176"/>
      <c r="X2044" s="180"/>
      <c r="Y2044" s="170"/>
      <c r="Z2044" s="170"/>
    </row>
    <row r="2045" spans="1:26">
      <c r="A2045" s="170"/>
      <c r="B2045" s="171"/>
      <c r="C2045" s="170"/>
      <c r="D2045" s="172"/>
      <c r="E2045" s="172"/>
      <c r="F2045" s="173"/>
      <c r="G2045" s="172"/>
      <c r="H2045" s="172"/>
      <c r="I2045" s="174"/>
      <c r="J2045" s="174"/>
      <c r="K2045" s="175"/>
      <c r="L2045" s="175"/>
      <c r="M2045" s="170"/>
      <c r="N2045" s="170"/>
      <c r="O2045" s="176"/>
      <c r="P2045" s="173"/>
      <c r="Q2045" s="177"/>
      <c r="R2045" s="178"/>
      <c r="S2045" s="178"/>
      <c r="T2045" s="179"/>
      <c r="U2045" s="179"/>
      <c r="V2045" s="179"/>
      <c r="W2045" s="176"/>
      <c r="X2045" s="180"/>
      <c r="Y2045" s="170"/>
      <c r="Z2045" s="170"/>
    </row>
    <row r="2046" spans="1:26">
      <c r="A2046" s="170"/>
      <c r="B2046" s="171"/>
      <c r="C2046" s="170"/>
      <c r="D2046" s="172"/>
      <c r="E2046" s="172"/>
      <c r="F2046" s="173"/>
      <c r="G2046" s="172"/>
      <c r="H2046" s="172"/>
      <c r="I2046" s="174"/>
      <c r="J2046" s="174"/>
      <c r="K2046" s="175"/>
      <c r="L2046" s="175"/>
      <c r="M2046" s="170"/>
      <c r="N2046" s="170"/>
      <c r="O2046" s="176"/>
      <c r="P2046" s="173"/>
      <c r="Q2046" s="177"/>
      <c r="R2046" s="178"/>
      <c r="S2046" s="178"/>
      <c r="T2046" s="179"/>
      <c r="U2046" s="179"/>
      <c r="V2046" s="179"/>
      <c r="W2046" s="176"/>
      <c r="X2046" s="180"/>
      <c r="Y2046" s="170"/>
      <c r="Z2046" s="170"/>
    </row>
    <row r="2047" spans="1:26">
      <c r="A2047" s="170"/>
      <c r="B2047" s="171"/>
      <c r="C2047" s="170"/>
      <c r="D2047" s="172"/>
      <c r="E2047" s="172"/>
      <c r="F2047" s="173"/>
      <c r="G2047" s="172"/>
      <c r="H2047" s="172"/>
      <c r="I2047" s="174"/>
      <c r="J2047" s="174"/>
      <c r="K2047" s="175"/>
      <c r="L2047" s="175"/>
      <c r="M2047" s="170"/>
      <c r="N2047" s="170"/>
      <c r="O2047" s="176"/>
      <c r="P2047" s="173"/>
      <c r="Q2047" s="177"/>
      <c r="R2047" s="178"/>
      <c r="S2047" s="178"/>
      <c r="T2047" s="179"/>
      <c r="U2047" s="179"/>
      <c r="V2047" s="179"/>
      <c r="W2047" s="176"/>
      <c r="X2047" s="180"/>
      <c r="Y2047" s="170"/>
      <c r="Z2047" s="170"/>
    </row>
    <row r="2048" spans="1:26">
      <c r="A2048" s="170"/>
      <c r="B2048" s="171"/>
      <c r="C2048" s="170"/>
      <c r="D2048" s="172"/>
      <c r="E2048" s="172"/>
      <c r="F2048" s="173"/>
      <c r="G2048" s="172"/>
      <c r="H2048" s="172"/>
      <c r="I2048" s="174"/>
      <c r="J2048" s="174"/>
      <c r="K2048" s="175"/>
      <c r="L2048" s="175"/>
      <c r="M2048" s="170"/>
      <c r="N2048" s="170"/>
      <c r="O2048" s="176"/>
      <c r="P2048" s="173"/>
      <c r="Q2048" s="177"/>
      <c r="R2048" s="178"/>
      <c r="S2048" s="178"/>
      <c r="T2048" s="179"/>
      <c r="U2048" s="179"/>
      <c r="V2048" s="179"/>
      <c r="W2048" s="176"/>
      <c r="X2048" s="180"/>
      <c r="Y2048" s="170"/>
      <c r="Z2048" s="170"/>
    </row>
    <row r="2049" spans="1:26">
      <c r="A2049" s="170"/>
      <c r="B2049" s="171"/>
      <c r="C2049" s="170"/>
      <c r="D2049" s="172"/>
      <c r="E2049" s="172"/>
      <c r="F2049" s="173"/>
      <c r="G2049" s="172"/>
      <c r="H2049" s="172"/>
      <c r="I2049" s="174"/>
      <c r="J2049" s="174"/>
      <c r="K2049" s="175"/>
      <c r="L2049" s="175"/>
      <c r="M2049" s="170"/>
      <c r="N2049" s="170"/>
      <c r="O2049" s="176"/>
      <c r="P2049" s="173"/>
      <c r="Q2049" s="177"/>
      <c r="R2049" s="178"/>
      <c r="S2049" s="178"/>
      <c r="T2049" s="179"/>
      <c r="U2049" s="179"/>
      <c r="V2049" s="179"/>
      <c r="W2049" s="176"/>
      <c r="X2049" s="180"/>
      <c r="Y2049" s="170"/>
      <c r="Z2049" s="170"/>
    </row>
    <row r="2050" spans="1:26">
      <c r="A2050" s="170"/>
      <c r="B2050" s="171"/>
      <c r="C2050" s="170"/>
      <c r="D2050" s="172"/>
      <c r="E2050" s="172"/>
      <c r="F2050" s="173"/>
      <c r="G2050" s="172"/>
      <c r="H2050" s="172"/>
      <c r="I2050" s="174"/>
      <c r="J2050" s="174"/>
      <c r="K2050" s="175"/>
      <c r="L2050" s="175"/>
      <c r="M2050" s="170"/>
      <c r="N2050" s="170"/>
      <c r="O2050" s="176"/>
      <c r="P2050" s="173"/>
      <c r="Q2050" s="177"/>
      <c r="R2050" s="178"/>
      <c r="S2050" s="178"/>
      <c r="T2050" s="179"/>
      <c r="U2050" s="179"/>
      <c r="V2050" s="179"/>
      <c r="W2050" s="176"/>
      <c r="X2050" s="180"/>
      <c r="Y2050" s="170"/>
      <c r="Z2050" s="170"/>
    </row>
    <row r="2051" spans="1:26">
      <c r="A2051" s="170"/>
      <c r="B2051" s="171"/>
      <c r="C2051" s="170"/>
      <c r="D2051" s="172"/>
      <c r="E2051" s="172"/>
      <c r="F2051" s="173"/>
      <c r="G2051" s="172"/>
      <c r="H2051" s="172"/>
      <c r="I2051" s="174"/>
      <c r="J2051" s="174"/>
      <c r="K2051" s="175"/>
      <c r="L2051" s="175"/>
      <c r="M2051" s="170"/>
      <c r="N2051" s="170"/>
      <c r="O2051" s="176"/>
      <c r="P2051" s="173"/>
      <c r="Q2051" s="177"/>
      <c r="R2051" s="178"/>
      <c r="S2051" s="178"/>
      <c r="T2051" s="179"/>
      <c r="U2051" s="179"/>
      <c r="V2051" s="179"/>
      <c r="W2051" s="176"/>
      <c r="X2051" s="180"/>
      <c r="Y2051" s="170"/>
      <c r="Z2051" s="170"/>
    </row>
    <row r="2052" spans="1:26">
      <c r="A2052" s="170"/>
      <c r="B2052" s="171"/>
      <c r="C2052" s="170"/>
      <c r="D2052" s="172"/>
      <c r="E2052" s="172"/>
      <c r="F2052" s="173"/>
      <c r="G2052" s="172"/>
      <c r="H2052" s="172"/>
      <c r="I2052" s="174"/>
      <c r="J2052" s="174"/>
      <c r="K2052" s="175"/>
      <c r="L2052" s="175"/>
      <c r="M2052" s="170"/>
      <c r="N2052" s="170"/>
      <c r="O2052" s="176"/>
      <c r="P2052" s="173"/>
      <c r="Q2052" s="177"/>
      <c r="R2052" s="178"/>
      <c r="S2052" s="178"/>
      <c r="T2052" s="179"/>
      <c r="U2052" s="179"/>
      <c r="V2052" s="179"/>
      <c r="W2052" s="176"/>
      <c r="X2052" s="180"/>
      <c r="Y2052" s="170"/>
      <c r="Z2052" s="170"/>
    </row>
    <row r="2053" spans="1:26">
      <c r="A2053" s="170"/>
      <c r="B2053" s="171"/>
      <c r="C2053" s="170"/>
      <c r="D2053" s="172"/>
      <c r="E2053" s="172"/>
      <c r="F2053" s="173"/>
      <c r="G2053" s="172"/>
      <c r="H2053" s="172"/>
      <c r="I2053" s="174"/>
      <c r="J2053" s="174"/>
      <c r="K2053" s="175"/>
      <c r="L2053" s="175"/>
      <c r="M2053" s="170"/>
      <c r="N2053" s="170"/>
      <c r="O2053" s="176"/>
      <c r="P2053" s="173"/>
      <c r="Q2053" s="177"/>
      <c r="R2053" s="178"/>
      <c r="S2053" s="178"/>
      <c r="T2053" s="179"/>
      <c r="U2053" s="179"/>
      <c r="V2053" s="179"/>
      <c r="W2053" s="176"/>
      <c r="X2053" s="180"/>
      <c r="Y2053" s="170"/>
      <c r="Z2053" s="170"/>
    </row>
    <row r="2054" spans="1:26">
      <c r="A2054" s="170"/>
      <c r="B2054" s="171"/>
      <c r="C2054" s="170"/>
      <c r="D2054" s="172"/>
      <c r="E2054" s="172"/>
      <c r="F2054" s="173"/>
      <c r="G2054" s="172"/>
      <c r="H2054" s="172"/>
      <c r="I2054" s="174"/>
      <c r="J2054" s="174"/>
      <c r="K2054" s="175"/>
      <c r="L2054" s="175"/>
      <c r="M2054" s="170"/>
      <c r="N2054" s="170"/>
      <c r="O2054" s="176"/>
      <c r="P2054" s="173"/>
      <c r="Q2054" s="177"/>
      <c r="R2054" s="178"/>
      <c r="S2054" s="178"/>
      <c r="T2054" s="179"/>
      <c r="U2054" s="179"/>
      <c r="V2054" s="179"/>
      <c r="W2054" s="176"/>
      <c r="X2054" s="180"/>
      <c r="Y2054" s="170"/>
      <c r="Z2054" s="170"/>
    </row>
    <row r="2055" spans="1:26">
      <c r="A2055" s="170"/>
      <c r="B2055" s="171"/>
      <c r="C2055" s="170"/>
      <c r="D2055" s="172"/>
      <c r="E2055" s="172"/>
      <c r="F2055" s="173"/>
      <c r="G2055" s="172"/>
      <c r="H2055" s="172"/>
      <c r="I2055" s="174"/>
      <c r="J2055" s="174"/>
      <c r="K2055" s="175"/>
      <c r="L2055" s="175"/>
      <c r="M2055" s="170"/>
      <c r="N2055" s="170"/>
      <c r="O2055" s="176"/>
      <c r="P2055" s="173"/>
      <c r="Q2055" s="177"/>
      <c r="R2055" s="178"/>
      <c r="S2055" s="178"/>
      <c r="T2055" s="179"/>
      <c r="U2055" s="179"/>
      <c r="V2055" s="179"/>
      <c r="W2055" s="176"/>
      <c r="X2055" s="180"/>
      <c r="Y2055" s="170"/>
      <c r="Z2055" s="170"/>
    </row>
    <row r="2056" spans="1:26">
      <c r="A2056" s="170"/>
      <c r="B2056" s="171"/>
      <c r="C2056" s="170"/>
      <c r="D2056" s="172"/>
      <c r="E2056" s="172"/>
      <c r="F2056" s="173"/>
      <c r="G2056" s="172"/>
      <c r="H2056" s="172"/>
      <c r="I2056" s="174"/>
      <c r="J2056" s="174"/>
      <c r="K2056" s="175"/>
      <c r="L2056" s="175"/>
      <c r="M2056" s="170"/>
      <c r="N2056" s="170"/>
      <c r="O2056" s="176"/>
      <c r="P2056" s="173"/>
      <c r="Q2056" s="177"/>
      <c r="R2056" s="178"/>
      <c r="S2056" s="178"/>
      <c r="T2056" s="179"/>
      <c r="U2056" s="179"/>
      <c r="V2056" s="179"/>
      <c r="W2056" s="176"/>
      <c r="X2056" s="180"/>
      <c r="Y2056" s="170"/>
      <c r="Z2056" s="170"/>
    </row>
    <row r="2057" spans="1:26">
      <c r="A2057" s="170"/>
      <c r="B2057" s="171"/>
      <c r="C2057" s="170"/>
      <c r="D2057" s="172"/>
      <c r="E2057" s="172"/>
      <c r="F2057" s="173"/>
      <c r="G2057" s="172"/>
      <c r="H2057" s="172"/>
      <c r="I2057" s="174"/>
      <c r="J2057" s="174"/>
      <c r="K2057" s="175"/>
      <c r="L2057" s="175"/>
      <c r="M2057" s="170"/>
      <c r="N2057" s="170"/>
      <c r="O2057" s="176"/>
      <c r="P2057" s="173"/>
      <c r="Q2057" s="177"/>
      <c r="R2057" s="178"/>
      <c r="S2057" s="178"/>
      <c r="T2057" s="179"/>
      <c r="U2057" s="179"/>
      <c r="V2057" s="179"/>
      <c r="W2057" s="176"/>
      <c r="X2057" s="180"/>
      <c r="Y2057" s="170"/>
      <c r="Z2057" s="170"/>
    </row>
    <row r="2058" spans="1:26">
      <c r="A2058" s="170"/>
      <c r="B2058" s="171"/>
      <c r="C2058" s="170"/>
      <c r="D2058" s="172"/>
      <c r="E2058" s="172"/>
      <c r="F2058" s="173"/>
      <c r="G2058" s="172"/>
      <c r="H2058" s="172"/>
      <c r="I2058" s="174"/>
      <c r="J2058" s="174"/>
      <c r="K2058" s="175"/>
      <c r="L2058" s="175"/>
      <c r="M2058" s="170"/>
      <c r="N2058" s="170"/>
      <c r="O2058" s="176"/>
      <c r="P2058" s="173"/>
      <c r="Q2058" s="177"/>
      <c r="R2058" s="178"/>
      <c r="S2058" s="178"/>
      <c r="T2058" s="179"/>
      <c r="U2058" s="179"/>
      <c r="V2058" s="179"/>
      <c r="W2058" s="176"/>
      <c r="X2058" s="180"/>
      <c r="Y2058" s="170"/>
      <c r="Z2058" s="170"/>
    </row>
    <row r="2059" spans="1:26">
      <c r="A2059" s="170"/>
      <c r="B2059" s="171"/>
      <c r="C2059" s="170"/>
      <c r="D2059" s="172"/>
      <c r="E2059" s="172"/>
      <c r="F2059" s="173"/>
      <c r="G2059" s="172"/>
      <c r="H2059" s="172"/>
      <c r="I2059" s="174"/>
      <c r="J2059" s="174"/>
      <c r="K2059" s="175"/>
      <c r="L2059" s="175"/>
      <c r="M2059" s="170"/>
      <c r="N2059" s="170"/>
      <c r="O2059" s="176"/>
      <c r="P2059" s="173"/>
      <c r="Q2059" s="177"/>
      <c r="R2059" s="178"/>
      <c r="S2059" s="178"/>
      <c r="T2059" s="179"/>
      <c r="U2059" s="179"/>
      <c r="V2059" s="179"/>
      <c r="W2059" s="176"/>
      <c r="X2059" s="180"/>
      <c r="Y2059" s="170"/>
      <c r="Z2059" s="170"/>
    </row>
    <row r="2060" spans="1:26">
      <c r="A2060" s="170"/>
      <c r="B2060" s="171"/>
      <c r="C2060" s="170"/>
      <c r="D2060" s="172"/>
      <c r="E2060" s="172"/>
      <c r="F2060" s="173"/>
      <c r="G2060" s="172"/>
      <c r="H2060" s="172"/>
      <c r="I2060" s="174"/>
      <c r="J2060" s="174"/>
      <c r="K2060" s="175"/>
      <c r="L2060" s="175"/>
      <c r="M2060" s="170"/>
      <c r="N2060" s="170"/>
      <c r="O2060" s="176"/>
      <c r="P2060" s="173"/>
      <c r="Q2060" s="177"/>
      <c r="R2060" s="178"/>
      <c r="S2060" s="178"/>
      <c r="T2060" s="179"/>
      <c r="U2060" s="179"/>
      <c r="V2060" s="179"/>
      <c r="W2060" s="176"/>
      <c r="X2060" s="180"/>
      <c r="Y2060" s="170"/>
      <c r="Z2060" s="170"/>
    </row>
    <row r="2061" spans="1:26">
      <c r="A2061" s="170"/>
      <c r="B2061" s="171"/>
      <c r="C2061" s="170"/>
      <c r="D2061" s="172"/>
      <c r="E2061" s="172"/>
      <c r="F2061" s="173"/>
      <c r="G2061" s="172"/>
      <c r="H2061" s="172"/>
      <c r="I2061" s="174"/>
      <c r="J2061" s="174"/>
      <c r="K2061" s="175"/>
      <c r="L2061" s="175"/>
      <c r="M2061" s="170"/>
      <c r="N2061" s="170"/>
      <c r="O2061" s="176"/>
      <c r="P2061" s="173"/>
      <c r="Q2061" s="177"/>
      <c r="R2061" s="178"/>
      <c r="S2061" s="178"/>
      <c r="T2061" s="179"/>
      <c r="U2061" s="179"/>
      <c r="V2061" s="179"/>
      <c r="W2061" s="176"/>
      <c r="X2061" s="180"/>
      <c r="Y2061" s="170"/>
      <c r="Z2061" s="170"/>
    </row>
    <row r="2062" spans="1:26">
      <c r="A2062" s="170"/>
      <c r="B2062" s="171"/>
      <c r="C2062" s="170"/>
      <c r="D2062" s="172"/>
      <c r="E2062" s="172"/>
      <c r="F2062" s="173"/>
      <c r="G2062" s="172"/>
      <c r="H2062" s="172"/>
      <c r="I2062" s="174"/>
      <c r="J2062" s="174"/>
      <c r="K2062" s="175"/>
      <c r="L2062" s="175"/>
      <c r="M2062" s="170"/>
      <c r="N2062" s="170"/>
      <c r="O2062" s="176"/>
      <c r="P2062" s="173"/>
      <c r="Q2062" s="177"/>
      <c r="R2062" s="178"/>
      <c r="S2062" s="178"/>
      <c r="T2062" s="179"/>
      <c r="U2062" s="179"/>
      <c r="V2062" s="179"/>
      <c r="W2062" s="176"/>
      <c r="X2062" s="180"/>
      <c r="Y2062" s="170"/>
      <c r="Z2062" s="170"/>
    </row>
    <row r="2063" spans="1:26">
      <c r="A2063" s="170"/>
      <c r="B2063" s="171"/>
      <c r="C2063" s="170"/>
      <c r="D2063" s="172"/>
      <c r="E2063" s="172"/>
      <c r="F2063" s="173"/>
      <c r="G2063" s="172"/>
      <c r="H2063" s="172"/>
      <c r="I2063" s="174"/>
      <c r="J2063" s="174"/>
      <c r="K2063" s="175"/>
      <c r="L2063" s="175"/>
      <c r="M2063" s="170"/>
      <c r="N2063" s="170"/>
      <c r="O2063" s="176"/>
      <c r="P2063" s="173"/>
      <c r="Q2063" s="177"/>
      <c r="R2063" s="178"/>
      <c r="S2063" s="178"/>
      <c r="T2063" s="179"/>
      <c r="U2063" s="179"/>
      <c r="V2063" s="179"/>
      <c r="W2063" s="176"/>
      <c r="X2063" s="180"/>
      <c r="Y2063" s="170"/>
      <c r="Z2063" s="170"/>
    </row>
    <row r="2064" spans="1:26">
      <c r="A2064" s="170"/>
      <c r="B2064" s="171"/>
      <c r="C2064" s="170"/>
      <c r="D2064" s="172"/>
      <c r="E2064" s="172"/>
      <c r="F2064" s="173"/>
      <c r="G2064" s="172"/>
      <c r="H2064" s="172"/>
      <c r="I2064" s="174"/>
      <c r="J2064" s="174"/>
      <c r="K2064" s="175"/>
      <c r="L2064" s="175"/>
      <c r="M2064" s="170"/>
      <c r="N2064" s="170"/>
      <c r="O2064" s="176"/>
      <c r="P2064" s="173"/>
      <c r="Q2064" s="177"/>
      <c r="R2064" s="178"/>
      <c r="S2064" s="178"/>
      <c r="T2064" s="179"/>
      <c r="U2064" s="179"/>
      <c r="V2064" s="179"/>
      <c r="W2064" s="176"/>
      <c r="X2064" s="180"/>
      <c r="Y2064" s="170"/>
      <c r="Z2064" s="170"/>
    </row>
    <row r="2065" spans="1:26">
      <c r="A2065" s="170"/>
      <c r="B2065" s="171"/>
      <c r="C2065" s="170"/>
      <c r="D2065" s="172"/>
      <c r="E2065" s="172"/>
      <c r="F2065" s="173"/>
      <c r="G2065" s="172"/>
      <c r="H2065" s="172"/>
      <c r="I2065" s="174"/>
      <c r="J2065" s="174"/>
      <c r="K2065" s="175"/>
      <c r="L2065" s="175"/>
      <c r="M2065" s="170"/>
      <c r="N2065" s="170"/>
      <c r="O2065" s="176"/>
      <c r="P2065" s="173"/>
      <c r="Q2065" s="177"/>
      <c r="R2065" s="178"/>
      <c r="S2065" s="178"/>
      <c r="T2065" s="179"/>
      <c r="U2065" s="179"/>
      <c r="V2065" s="179"/>
      <c r="W2065" s="176"/>
      <c r="X2065" s="180"/>
      <c r="Y2065" s="170"/>
      <c r="Z2065" s="170"/>
    </row>
    <row r="2066" spans="1:26">
      <c r="A2066" s="170"/>
      <c r="B2066" s="171"/>
      <c r="C2066" s="170"/>
      <c r="D2066" s="172"/>
      <c r="E2066" s="172"/>
      <c r="F2066" s="173"/>
      <c r="G2066" s="172"/>
      <c r="H2066" s="172"/>
      <c r="I2066" s="174"/>
      <c r="J2066" s="174"/>
      <c r="K2066" s="175"/>
      <c r="L2066" s="175"/>
      <c r="M2066" s="170"/>
      <c r="N2066" s="170"/>
      <c r="O2066" s="176"/>
      <c r="P2066" s="173"/>
      <c r="Q2066" s="177"/>
      <c r="R2066" s="178"/>
      <c r="S2066" s="178"/>
      <c r="T2066" s="179"/>
      <c r="U2066" s="179"/>
      <c r="V2066" s="179"/>
      <c r="W2066" s="176"/>
      <c r="X2066" s="180"/>
      <c r="Y2066" s="170"/>
      <c r="Z2066" s="170"/>
    </row>
    <row r="2067" spans="1:26">
      <c r="A2067" s="170"/>
      <c r="B2067" s="171"/>
      <c r="C2067" s="170"/>
      <c r="D2067" s="172"/>
      <c r="E2067" s="172"/>
      <c r="F2067" s="173"/>
      <c r="G2067" s="172"/>
      <c r="H2067" s="172"/>
      <c r="I2067" s="174"/>
      <c r="J2067" s="174"/>
      <c r="K2067" s="175"/>
      <c r="L2067" s="175"/>
      <c r="M2067" s="170"/>
      <c r="N2067" s="170"/>
      <c r="O2067" s="176"/>
      <c r="P2067" s="173"/>
      <c r="Q2067" s="177"/>
      <c r="R2067" s="178"/>
      <c r="S2067" s="178"/>
      <c r="T2067" s="179"/>
      <c r="U2067" s="179"/>
      <c r="V2067" s="179"/>
      <c r="W2067" s="176"/>
      <c r="X2067" s="180"/>
      <c r="Y2067" s="170"/>
      <c r="Z2067" s="170"/>
    </row>
    <row r="2068" spans="1:26">
      <c r="A2068" s="170"/>
      <c r="B2068" s="171"/>
      <c r="C2068" s="170"/>
      <c r="D2068" s="172"/>
      <c r="E2068" s="172"/>
      <c r="F2068" s="173"/>
      <c r="G2068" s="172"/>
      <c r="H2068" s="172"/>
      <c r="I2068" s="174"/>
      <c r="J2068" s="174"/>
      <c r="K2068" s="175"/>
      <c r="L2068" s="175"/>
      <c r="M2068" s="170"/>
      <c r="N2068" s="170"/>
      <c r="O2068" s="176"/>
      <c r="P2068" s="173"/>
      <c r="Q2068" s="177"/>
      <c r="R2068" s="178"/>
      <c r="S2068" s="178"/>
      <c r="T2068" s="179"/>
      <c r="U2068" s="179"/>
      <c r="V2068" s="179"/>
      <c r="W2068" s="176"/>
      <c r="X2068" s="180"/>
      <c r="Y2068" s="170"/>
      <c r="Z2068" s="170"/>
    </row>
    <row r="2069" spans="1:26">
      <c r="A2069" s="170"/>
      <c r="B2069" s="171"/>
      <c r="C2069" s="170"/>
      <c r="D2069" s="172"/>
      <c r="E2069" s="172"/>
      <c r="F2069" s="173"/>
      <c r="G2069" s="172"/>
      <c r="H2069" s="172"/>
      <c r="I2069" s="174"/>
      <c r="J2069" s="174"/>
      <c r="K2069" s="175"/>
      <c r="L2069" s="175"/>
      <c r="M2069" s="170"/>
      <c r="N2069" s="170"/>
      <c r="O2069" s="176"/>
      <c r="P2069" s="173"/>
      <c r="Q2069" s="177"/>
      <c r="R2069" s="178"/>
      <c r="S2069" s="178"/>
      <c r="T2069" s="179"/>
      <c r="U2069" s="179"/>
      <c r="V2069" s="179"/>
      <c r="W2069" s="176"/>
      <c r="X2069" s="180"/>
      <c r="Y2069" s="170"/>
      <c r="Z2069" s="170"/>
    </row>
    <row r="2070" spans="1:26">
      <c r="A2070" s="170"/>
      <c r="B2070" s="171"/>
      <c r="C2070" s="170"/>
      <c r="D2070" s="172"/>
      <c r="E2070" s="172"/>
      <c r="F2070" s="173"/>
      <c r="G2070" s="172"/>
      <c r="H2070" s="172"/>
      <c r="I2070" s="174"/>
      <c r="J2070" s="174"/>
      <c r="K2070" s="175"/>
      <c r="L2070" s="175"/>
      <c r="M2070" s="170"/>
      <c r="N2070" s="170"/>
      <c r="O2070" s="176"/>
      <c r="P2070" s="173"/>
      <c r="Q2070" s="177"/>
      <c r="R2070" s="178"/>
      <c r="S2070" s="178"/>
      <c r="T2070" s="179"/>
      <c r="U2070" s="179"/>
      <c r="V2070" s="179"/>
      <c r="W2070" s="176"/>
      <c r="X2070" s="180"/>
      <c r="Y2070" s="170"/>
      <c r="Z2070" s="170"/>
    </row>
    <row r="2071" spans="1:26">
      <c r="A2071" s="170"/>
      <c r="B2071" s="171"/>
      <c r="C2071" s="170"/>
      <c r="D2071" s="172"/>
      <c r="E2071" s="172"/>
      <c r="F2071" s="173"/>
      <c r="G2071" s="172"/>
      <c r="H2071" s="172"/>
      <c r="I2071" s="174"/>
      <c r="J2071" s="174"/>
      <c r="K2071" s="175"/>
      <c r="L2071" s="175"/>
      <c r="M2071" s="170"/>
      <c r="N2071" s="170"/>
      <c r="O2071" s="176"/>
      <c r="P2071" s="173"/>
      <c r="Q2071" s="177"/>
      <c r="R2071" s="178"/>
      <c r="S2071" s="178"/>
      <c r="T2071" s="179"/>
      <c r="U2071" s="179"/>
      <c r="V2071" s="179"/>
      <c r="W2071" s="176"/>
      <c r="X2071" s="180"/>
      <c r="Y2071" s="170"/>
      <c r="Z2071" s="170"/>
    </row>
    <row r="2072" spans="1:26">
      <c r="A2072" s="170"/>
      <c r="B2072" s="171"/>
      <c r="C2072" s="170"/>
      <c r="D2072" s="172"/>
      <c r="E2072" s="172"/>
      <c r="F2072" s="173"/>
      <c r="G2072" s="172"/>
      <c r="H2072" s="172"/>
      <c r="I2072" s="174"/>
      <c r="J2072" s="174"/>
      <c r="K2072" s="175"/>
      <c r="L2072" s="175"/>
      <c r="M2072" s="170"/>
      <c r="N2072" s="170"/>
      <c r="O2072" s="176"/>
      <c r="P2072" s="173"/>
      <c r="Q2072" s="177"/>
      <c r="R2072" s="178"/>
      <c r="S2072" s="178"/>
      <c r="T2072" s="179"/>
      <c r="U2072" s="179"/>
      <c r="V2072" s="179"/>
      <c r="W2072" s="176"/>
      <c r="X2072" s="180"/>
      <c r="Y2072" s="170"/>
      <c r="Z2072" s="170"/>
    </row>
    <row r="2073" spans="1:26">
      <c r="A2073" s="170"/>
      <c r="B2073" s="171"/>
      <c r="C2073" s="170"/>
      <c r="D2073" s="172"/>
      <c r="E2073" s="172"/>
      <c r="F2073" s="173"/>
      <c r="G2073" s="172"/>
      <c r="H2073" s="172"/>
      <c r="I2073" s="174"/>
      <c r="J2073" s="174"/>
      <c r="K2073" s="175"/>
      <c r="L2073" s="175"/>
      <c r="M2073" s="170"/>
      <c r="N2073" s="170"/>
      <c r="O2073" s="176"/>
      <c r="P2073" s="173"/>
      <c r="Q2073" s="177"/>
      <c r="R2073" s="178"/>
      <c r="S2073" s="178"/>
      <c r="T2073" s="179"/>
      <c r="U2073" s="179"/>
      <c r="V2073" s="179"/>
      <c r="W2073" s="176"/>
      <c r="X2073" s="180"/>
      <c r="Y2073" s="170"/>
      <c r="Z2073" s="170"/>
    </row>
    <row r="2074" spans="1:26">
      <c r="A2074" s="170"/>
      <c r="B2074" s="171"/>
      <c r="C2074" s="170"/>
      <c r="D2074" s="172"/>
      <c r="E2074" s="172"/>
      <c r="F2074" s="173"/>
      <c r="G2074" s="172"/>
      <c r="H2074" s="172"/>
      <c r="I2074" s="174"/>
      <c r="J2074" s="174"/>
      <c r="K2074" s="175"/>
      <c r="L2074" s="175"/>
      <c r="M2074" s="170"/>
      <c r="N2074" s="170"/>
      <c r="O2074" s="176"/>
      <c r="P2074" s="173"/>
      <c r="Q2074" s="177"/>
      <c r="R2074" s="178"/>
      <c r="S2074" s="178"/>
      <c r="T2074" s="179"/>
      <c r="U2074" s="179"/>
      <c r="V2074" s="179"/>
      <c r="W2074" s="176"/>
      <c r="X2074" s="180"/>
      <c r="Y2074" s="170"/>
      <c r="Z2074" s="170"/>
    </row>
    <row r="2075" spans="1:26">
      <c r="A2075" s="170"/>
      <c r="B2075" s="171"/>
      <c r="C2075" s="170"/>
      <c r="D2075" s="172"/>
      <c r="E2075" s="172"/>
      <c r="F2075" s="173"/>
      <c r="G2075" s="172"/>
      <c r="H2075" s="172"/>
      <c r="I2075" s="174"/>
      <c r="J2075" s="174"/>
      <c r="K2075" s="175"/>
      <c r="L2075" s="175"/>
      <c r="M2075" s="170"/>
      <c r="N2075" s="170"/>
      <c r="O2075" s="176"/>
      <c r="P2075" s="173"/>
      <c r="Q2075" s="177"/>
      <c r="R2075" s="178"/>
      <c r="S2075" s="178"/>
      <c r="T2075" s="179"/>
      <c r="U2075" s="179"/>
      <c r="V2075" s="179"/>
      <c r="W2075" s="176"/>
      <c r="X2075" s="180"/>
      <c r="Y2075" s="170"/>
      <c r="Z2075" s="170"/>
    </row>
    <row r="2076" spans="1:26">
      <c r="A2076" s="170"/>
      <c r="B2076" s="171"/>
      <c r="C2076" s="170"/>
      <c r="D2076" s="172"/>
      <c r="E2076" s="172"/>
      <c r="F2076" s="173"/>
      <c r="G2076" s="172"/>
      <c r="H2076" s="172"/>
      <c r="I2076" s="174"/>
      <c r="J2076" s="174"/>
      <c r="K2076" s="175"/>
      <c r="L2076" s="175"/>
      <c r="M2076" s="170"/>
      <c r="N2076" s="170"/>
      <c r="O2076" s="176"/>
      <c r="P2076" s="173"/>
      <c r="Q2076" s="177"/>
      <c r="R2076" s="178"/>
      <c r="S2076" s="178"/>
      <c r="T2076" s="179"/>
      <c r="U2076" s="179"/>
      <c r="V2076" s="179"/>
      <c r="W2076" s="176"/>
      <c r="X2076" s="180"/>
      <c r="Y2076" s="170"/>
      <c r="Z2076" s="170"/>
    </row>
    <row r="2077" spans="1:26">
      <c r="A2077" s="170"/>
      <c r="B2077" s="171"/>
      <c r="C2077" s="170"/>
      <c r="D2077" s="172"/>
      <c r="E2077" s="172"/>
      <c r="F2077" s="173"/>
      <c r="G2077" s="172"/>
      <c r="H2077" s="172"/>
      <c r="I2077" s="174"/>
      <c r="J2077" s="174"/>
      <c r="K2077" s="175"/>
      <c r="L2077" s="175"/>
      <c r="M2077" s="170"/>
      <c r="N2077" s="170"/>
      <c r="O2077" s="176"/>
      <c r="P2077" s="173"/>
      <c r="Q2077" s="177"/>
      <c r="R2077" s="178"/>
      <c r="S2077" s="178"/>
      <c r="T2077" s="179"/>
      <c r="U2077" s="179"/>
      <c r="V2077" s="179"/>
      <c r="W2077" s="176"/>
      <c r="X2077" s="180"/>
      <c r="Y2077" s="170"/>
      <c r="Z2077" s="170"/>
    </row>
    <row r="2078" spans="1:26">
      <c r="A2078" s="170"/>
      <c r="B2078" s="171"/>
      <c r="C2078" s="170"/>
      <c r="D2078" s="172"/>
      <c r="E2078" s="172"/>
      <c r="F2078" s="173"/>
      <c r="G2078" s="172"/>
      <c r="H2078" s="172"/>
      <c r="I2078" s="174"/>
      <c r="J2078" s="174"/>
      <c r="K2078" s="175"/>
      <c r="L2078" s="175"/>
      <c r="M2078" s="170"/>
      <c r="N2078" s="170"/>
      <c r="O2078" s="176"/>
      <c r="P2078" s="173"/>
      <c r="Q2078" s="177"/>
      <c r="R2078" s="178"/>
      <c r="S2078" s="178"/>
      <c r="T2078" s="179"/>
      <c r="U2078" s="179"/>
      <c r="V2078" s="179"/>
      <c r="W2078" s="176"/>
      <c r="X2078" s="180"/>
      <c r="Y2078" s="170"/>
      <c r="Z2078" s="170"/>
    </row>
    <row r="2079" spans="1:26">
      <c r="A2079" s="170"/>
      <c r="B2079" s="171"/>
      <c r="C2079" s="170"/>
      <c r="D2079" s="172"/>
      <c r="E2079" s="172"/>
      <c r="F2079" s="173"/>
      <c r="G2079" s="172"/>
      <c r="H2079" s="172"/>
      <c r="I2079" s="174"/>
      <c r="J2079" s="174"/>
      <c r="K2079" s="175"/>
      <c r="L2079" s="175"/>
      <c r="M2079" s="170"/>
      <c r="N2079" s="170"/>
      <c r="O2079" s="176"/>
      <c r="P2079" s="173"/>
      <c r="Q2079" s="177"/>
      <c r="R2079" s="178"/>
      <c r="S2079" s="178"/>
      <c r="T2079" s="179"/>
      <c r="U2079" s="179"/>
      <c r="V2079" s="179"/>
      <c r="W2079" s="176"/>
      <c r="X2079" s="180"/>
      <c r="Y2079" s="170"/>
      <c r="Z2079" s="170"/>
    </row>
    <row r="2080" spans="1:26">
      <c r="A2080" s="170"/>
      <c r="B2080" s="171"/>
      <c r="C2080" s="170"/>
      <c r="D2080" s="172"/>
      <c r="E2080" s="172"/>
      <c r="F2080" s="173"/>
      <c r="G2080" s="172"/>
      <c r="H2080" s="172"/>
      <c r="I2080" s="174"/>
      <c r="J2080" s="174"/>
      <c r="K2080" s="175"/>
      <c r="L2080" s="175"/>
      <c r="M2080" s="170"/>
      <c r="N2080" s="170"/>
      <c r="O2080" s="176"/>
      <c r="P2080" s="173"/>
      <c r="Q2080" s="177"/>
      <c r="R2080" s="178"/>
      <c r="S2080" s="178"/>
      <c r="T2080" s="179"/>
      <c r="U2080" s="179"/>
      <c r="V2080" s="179"/>
      <c r="W2080" s="176"/>
      <c r="X2080" s="180"/>
      <c r="Y2080" s="170"/>
      <c r="Z2080" s="170"/>
    </row>
    <row r="2081" spans="1:26">
      <c r="A2081" s="170"/>
      <c r="B2081" s="171"/>
      <c r="C2081" s="170"/>
      <c r="D2081" s="172"/>
      <c r="E2081" s="172"/>
      <c r="F2081" s="173"/>
      <c r="G2081" s="172"/>
      <c r="H2081" s="172"/>
      <c r="I2081" s="174"/>
      <c r="J2081" s="174"/>
      <c r="K2081" s="175"/>
      <c r="L2081" s="175"/>
      <c r="M2081" s="170"/>
      <c r="N2081" s="170"/>
      <c r="O2081" s="176"/>
      <c r="P2081" s="173"/>
      <c r="Q2081" s="177"/>
      <c r="R2081" s="178"/>
      <c r="S2081" s="178"/>
      <c r="T2081" s="179"/>
      <c r="U2081" s="179"/>
      <c r="V2081" s="179"/>
      <c r="W2081" s="176"/>
      <c r="X2081" s="180"/>
      <c r="Y2081" s="170"/>
      <c r="Z2081" s="170"/>
    </row>
    <row r="2082" spans="1:26">
      <c r="A2082" s="170"/>
      <c r="B2082" s="171"/>
      <c r="C2082" s="170"/>
      <c r="D2082" s="172"/>
      <c r="E2082" s="172"/>
      <c r="F2082" s="173"/>
      <c r="G2082" s="172"/>
      <c r="H2082" s="172"/>
      <c r="I2082" s="174"/>
      <c r="J2082" s="174"/>
      <c r="K2082" s="175"/>
      <c r="L2082" s="175"/>
      <c r="M2082" s="170"/>
      <c r="N2082" s="170"/>
      <c r="O2082" s="176"/>
      <c r="P2082" s="173"/>
      <c r="Q2082" s="177"/>
      <c r="R2082" s="178"/>
      <c r="S2082" s="178"/>
      <c r="T2082" s="179"/>
      <c r="U2082" s="179"/>
      <c r="V2082" s="179"/>
      <c r="W2082" s="176"/>
      <c r="X2082" s="180"/>
      <c r="Y2082" s="170"/>
      <c r="Z2082" s="170"/>
    </row>
    <row r="2083" spans="1:26">
      <c r="A2083" s="170"/>
      <c r="B2083" s="171"/>
      <c r="C2083" s="170"/>
      <c r="D2083" s="172"/>
      <c r="E2083" s="172"/>
      <c r="F2083" s="173"/>
      <c r="G2083" s="172"/>
      <c r="H2083" s="172"/>
      <c r="I2083" s="174"/>
      <c r="J2083" s="174"/>
      <c r="K2083" s="175"/>
      <c r="L2083" s="175"/>
      <c r="M2083" s="170"/>
      <c r="N2083" s="170"/>
      <c r="O2083" s="176"/>
      <c r="P2083" s="173"/>
      <c r="Q2083" s="177"/>
      <c r="R2083" s="178"/>
      <c r="S2083" s="178"/>
      <c r="T2083" s="179"/>
      <c r="U2083" s="179"/>
      <c r="V2083" s="179"/>
      <c r="W2083" s="176"/>
      <c r="X2083" s="180"/>
      <c r="Y2083" s="170"/>
      <c r="Z2083" s="170"/>
    </row>
    <row r="2084" spans="1:26">
      <c r="A2084" s="170"/>
      <c r="B2084" s="171"/>
      <c r="C2084" s="170"/>
      <c r="D2084" s="172"/>
      <c r="E2084" s="172"/>
      <c r="F2084" s="173"/>
      <c r="G2084" s="172"/>
      <c r="H2084" s="172"/>
      <c r="I2084" s="174"/>
      <c r="J2084" s="174"/>
      <c r="K2084" s="175"/>
      <c r="L2084" s="175"/>
      <c r="M2084" s="170"/>
      <c r="N2084" s="170"/>
      <c r="O2084" s="176"/>
      <c r="P2084" s="173"/>
      <c r="Q2084" s="177"/>
      <c r="R2084" s="178"/>
      <c r="S2084" s="178"/>
      <c r="T2084" s="179"/>
      <c r="U2084" s="179"/>
      <c r="V2084" s="179"/>
      <c r="W2084" s="176"/>
      <c r="X2084" s="180"/>
      <c r="Y2084" s="170"/>
      <c r="Z2084" s="170"/>
    </row>
    <row r="2085" spans="1:26">
      <c r="A2085" s="170"/>
      <c r="B2085" s="171"/>
      <c r="C2085" s="170"/>
      <c r="D2085" s="172"/>
      <c r="E2085" s="172"/>
      <c r="F2085" s="173"/>
      <c r="G2085" s="172"/>
      <c r="H2085" s="172"/>
      <c r="I2085" s="174"/>
      <c r="J2085" s="174"/>
      <c r="K2085" s="175"/>
      <c r="L2085" s="175"/>
      <c r="M2085" s="170"/>
      <c r="N2085" s="170"/>
      <c r="O2085" s="176"/>
      <c r="P2085" s="173"/>
      <c r="Q2085" s="177"/>
      <c r="R2085" s="178"/>
      <c r="S2085" s="178"/>
      <c r="T2085" s="179"/>
      <c r="U2085" s="179"/>
      <c r="V2085" s="179"/>
      <c r="W2085" s="176"/>
      <c r="X2085" s="180"/>
      <c r="Y2085" s="170"/>
      <c r="Z2085" s="170"/>
    </row>
    <row r="2086" spans="1:26">
      <c r="A2086" s="170"/>
      <c r="B2086" s="171"/>
      <c r="C2086" s="170"/>
      <c r="D2086" s="172"/>
      <c r="E2086" s="172"/>
      <c r="F2086" s="173"/>
      <c r="G2086" s="172"/>
      <c r="H2086" s="172"/>
      <c r="I2086" s="174"/>
      <c r="J2086" s="174"/>
      <c r="K2086" s="175"/>
      <c r="L2086" s="175"/>
      <c r="M2086" s="170"/>
      <c r="N2086" s="170"/>
      <c r="O2086" s="176"/>
      <c r="P2086" s="173"/>
      <c r="Q2086" s="177"/>
      <c r="R2086" s="178"/>
      <c r="S2086" s="178"/>
      <c r="T2086" s="179"/>
      <c r="U2086" s="179"/>
      <c r="V2086" s="179"/>
      <c r="W2086" s="176"/>
      <c r="X2086" s="180"/>
      <c r="Y2086" s="170"/>
      <c r="Z2086" s="170"/>
    </row>
    <row r="2087" spans="1:26">
      <c r="A2087" s="170"/>
      <c r="B2087" s="171"/>
      <c r="C2087" s="170"/>
      <c r="D2087" s="172"/>
      <c r="E2087" s="172"/>
      <c r="F2087" s="173"/>
      <c r="G2087" s="172"/>
      <c r="H2087" s="172"/>
      <c r="I2087" s="174"/>
      <c r="J2087" s="174"/>
      <c r="K2087" s="175"/>
      <c r="L2087" s="175"/>
      <c r="M2087" s="170"/>
      <c r="N2087" s="170"/>
      <c r="O2087" s="176"/>
      <c r="P2087" s="173"/>
      <c r="Q2087" s="177"/>
      <c r="R2087" s="178"/>
      <c r="S2087" s="178"/>
      <c r="T2087" s="179"/>
      <c r="U2087" s="179"/>
      <c r="V2087" s="179"/>
      <c r="W2087" s="176"/>
      <c r="X2087" s="180"/>
      <c r="Y2087" s="170"/>
      <c r="Z2087" s="170"/>
    </row>
    <row r="2088" spans="1:26">
      <c r="A2088" s="170"/>
      <c r="B2088" s="171"/>
      <c r="C2088" s="170"/>
      <c r="D2088" s="172"/>
      <c r="E2088" s="172"/>
      <c r="F2088" s="173"/>
      <c r="G2088" s="172"/>
      <c r="H2088" s="172"/>
      <c r="I2088" s="174"/>
      <c r="J2088" s="174"/>
      <c r="K2088" s="175"/>
      <c r="L2088" s="175"/>
      <c r="M2088" s="170"/>
      <c r="N2088" s="170"/>
      <c r="O2088" s="176"/>
      <c r="P2088" s="173"/>
      <c r="Q2088" s="177"/>
      <c r="R2088" s="178"/>
      <c r="S2088" s="178"/>
      <c r="T2088" s="179"/>
      <c r="U2088" s="179"/>
      <c r="V2088" s="179"/>
      <c r="W2088" s="176"/>
      <c r="X2088" s="180"/>
      <c r="Y2088" s="170"/>
      <c r="Z2088" s="170"/>
    </row>
    <row r="2089" spans="1:26">
      <c r="A2089" s="170"/>
      <c r="B2089" s="171"/>
      <c r="C2089" s="170"/>
      <c r="D2089" s="172"/>
      <c r="E2089" s="172"/>
      <c r="F2089" s="173"/>
      <c r="G2089" s="172"/>
      <c r="H2089" s="172"/>
      <c r="I2089" s="174"/>
      <c r="J2089" s="174"/>
      <c r="K2089" s="175"/>
      <c r="L2089" s="175"/>
      <c r="M2089" s="170"/>
      <c r="N2089" s="170"/>
      <c r="O2089" s="176"/>
      <c r="P2089" s="173"/>
      <c r="Q2089" s="177"/>
      <c r="R2089" s="178"/>
      <c r="S2089" s="178"/>
      <c r="T2089" s="179"/>
      <c r="U2089" s="179"/>
      <c r="V2089" s="179"/>
      <c r="W2089" s="176"/>
      <c r="X2089" s="180"/>
      <c r="Y2089" s="170"/>
      <c r="Z2089" s="170"/>
    </row>
    <row r="2090" spans="1:26">
      <c r="A2090" s="170"/>
      <c r="B2090" s="171"/>
      <c r="C2090" s="170"/>
      <c r="D2090" s="172"/>
      <c r="E2090" s="172"/>
      <c r="F2090" s="173"/>
      <c r="G2090" s="172"/>
      <c r="H2090" s="172"/>
      <c r="I2090" s="174"/>
      <c r="J2090" s="174"/>
      <c r="K2090" s="175"/>
      <c r="L2090" s="175"/>
      <c r="M2090" s="170"/>
      <c r="N2090" s="170"/>
      <c r="O2090" s="176"/>
      <c r="P2090" s="173"/>
      <c r="Q2090" s="177"/>
      <c r="R2090" s="178"/>
      <c r="S2090" s="178"/>
      <c r="T2090" s="179"/>
      <c r="U2090" s="179"/>
      <c r="V2090" s="179"/>
      <c r="W2090" s="176"/>
      <c r="X2090" s="180"/>
      <c r="Y2090" s="170"/>
      <c r="Z2090" s="170"/>
    </row>
    <row r="2091" spans="1:26">
      <c r="A2091" s="170"/>
      <c r="B2091" s="171"/>
      <c r="C2091" s="170"/>
      <c r="D2091" s="172"/>
      <c r="E2091" s="172"/>
      <c r="F2091" s="173"/>
      <c r="G2091" s="172"/>
      <c r="H2091" s="172"/>
      <c r="I2091" s="174"/>
      <c r="J2091" s="174"/>
      <c r="K2091" s="175"/>
      <c r="L2091" s="175"/>
      <c r="M2091" s="170"/>
      <c r="N2091" s="170"/>
      <c r="O2091" s="176"/>
      <c r="P2091" s="173"/>
      <c r="Q2091" s="177"/>
      <c r="R2091" s="178"/>
      <c r="S2091" s="178"/>
      <c r="T2091" s="179"/>
      <c r="U2091" s="179"/>
      <c r="V2091" s="179"/>
      <c r="W2091" s="176"/>
      <c r="X2091" s="180"/>
      <c r="Y2091" s="170"/>
      <c r="Z2091" s="170"/>
    </row>
    <row r="2092" spans="1:26">
      <c r="A2092" s="170"/>
      <c r="B2092" s="171"/>
      <c r="C2092" s="170"/>
      <c r="D2092" s="172"/>
      <c r="E2092" s="172"/>
      <c r="F2092" s="173"/>
      <c r="G2092" s="172"/>
      <c r="H2092" s="172"/>
      <c r="I2092" s="174"/>
      <c r="J2092" s="174"/>
      <c r="K2092" s="175"/>
      <c r="L2092" s="175"/>
      <c r="M2092" s="170"/>
      <c r="N2092" s="170"/>
      <c r="O2092" s="176"/>
      <c r="P2092" s="173"/>
      <c r="Q2092" s="177"/>
      <c r="R2092" s="178"/>
      <c r="S2092" s="178"/>
      <c r="T2092" s="179"/>
      <c r="U2092" s="179"/>
      <c r="V2092" s="179"/>
      <c r="W2092" s="176"/>
      <c r="X2092" s="180"/>
      <c r="Y2092" s="170"/>
      <c r="Z2092" s="170"/>
    </row>
    <row r="2093" spans="1:26">
      <c r="A2093" s="170"/>
      <c r="B2093" s="171"/>
      <c r="C2093" s="170"/>
      <c r="D2093" s="172"/>
      <c r="E2093" s="172"/>
      <c r="F2093" s="173"/>
      <c r="G2093" s="172"/>
      <c r="H2093" s="172"/>
      <c r="I2093" s="174"/>
      <c r="J2093" s="174"/>
      <c r="K2093" s="175"/>
      <c r="L2093" s="175"/>
      <c r="M2093" s="170"/>
      <c r="N2093" s="170"/>
      <c r="O2093" s="176"/>
      <c r="P2093" s="173"/>
      <c r="Q2093" s="177"/>
      <c r="R2093" s="178"/>
      <c r="S2093" s="178"/>
      <c r="T2093" s="179"/>
      <c r="U2093" s="179"/>
      <c r="V2093" s="179"/>
      <c r="W2093" s="176"/>
      <c r="X2093" s="180"/>
      <c r="Y2093" s="170"/>
      <c r="Z2093" s="170"/>
    </row>
    <row r="2094" spans="1:26">
      <c r="A2094" s="170"/>
      <c r="B2094" s="171"/>
      <c r="C2094" s="170"/>
      <c r="D2094" s="172"/>
      <c r="E2094" s="172"/>
      <c r="F2094" s="173"/>
      <c r="G2094" s="172"/>
      <c r="H2094" s="172"/>
      <c r="I2094" s="174"/>
      <c r="J2094" s="174"/>
      <c r="K2094" s="175"/>
      <c r="L2094" s="175"/>
      <c r="M2094" s="170"/>
      <c r="N2094" s="170"/>
      <c r="O2094" s="176"/>
      <c r="P2094" s="173"/>
      <c r="Q2094" s="177"/>
      <c r="R2094" s="178"/>
      <c r="S2094" s="178"/>
      <c r="T2094" s="179"/>
      <c r="U2094" s="179"/>
      <c r="V2094" s="179"/>
      <c r="W2094" s="176"/>
      <c r="X2094" s="180"/>
      <c r="Y2094" s="170"/>
      <c r="Z2094" s="170"/>
    </row>
    <row r="2095" spans="1:26">
      <c r="A2095" s="170"/>
      <c r="B2095" s="171"/>
      <c r="C2095" s="170"/>
      <c r="D2095" s="172"/>
      <c r="E2095" s="172"/>
      <c r="F2095" s="173"/>
      <c r="G2095" s="172"/>
      <c r="H2095" s="172"/>
      <c r="I2095" s="174"/>
      <c r="J2095" s="174"/>
      <c r="K2095" s="175"/>
      <c r="L2095" s="175"/>
      <c r="M2095" s="170"/>
      <c r="N2095" s="170"/>
      <c r="O2095" s="176"/>
      <c r="P2095" s="173"/>
      <c r="Q2095" s="177"/>
      <c r="R2095" s="178"/>
      <c r="S2095" s="178"/>
      <c r="T2095" s="179"/>
      <c r="U2095" s="179"/>
      <c r="V2095" s="179"/>
      <c r="W2095" s="176"/>
      <c r="X2095" s="180"/>
      <c r="Y2095" s="170"/>
      <c r="Z2095" s="170"/>
    </row>
    <row r="2096" spans="1:26">
      <c r="A2096" s="170"/>
      <c r="B2096" s="171"/>
      <c r="C2096" s="170"/>
      <c r="D2096" s="172"/>
      <c r="E2096" s="172"/>
      <c r="F2096" s="173"/>
      <c r="G2096" s="172"/>
      <c r="H2096" s="172"/>
      <c r="I2096" s="174"/>
      <c r="J2096" s="174"/>
      <c r="K2096" s="175"/>
      <c r="L2096" s="175"/>
      <c r="M2096" s="170"/>
      <c r="N2096" s="170"/>
      <c r="O2096" s="176"/>
      <c r="P2096" s="173"/>
      <c r="Q2096" s="177"/>
      <c r="R2096" s="178"/>
      <c r="S2096" s="178"/>
      <c r="T2096" s="179"/>
      <c r="U2096" s="179"/>
      <c r="V2096" s="179"/>
      <c r="W2096" s="176"/>
      <c r="X2096" s="180"/>
      <c r="Y2096" s="170"/>
      <c r="Z2096" s="170"/>
    </row>
    <row r="2097" spans="1:26">
      <c r="A2097" s="170"/>
      <c r="B2097" s="171"/>
      <c r="C2097" s="170"/>
      <c r="D2097" s="172"/>
      <c r="E2097" s="172"/>
      <c r="F2097" s="173"/>
      <c r="G2097" s="172"/>
      <c r="H2097" s="172"/>
      <c r="I2097" s="174"/>
      <c r="J2097" s="174"/>
      <c r="K2097" s="175"/>
      <c r="L2097" s="175"/>
      <c r="M2097" s="170"/>
      <c r="N2097" s="170"/>
      <c r="O2097" s="176"/>
      <c r="P2097" s="173"/>
      <c r="Q2097" s="177"/>
      <c r="R2097" s="178"/>
      <c r="S2097" s="178"/>
      <c r="T2097" s="179"/>
      <c r="U2097" s="179"/>
      <c r="V2097" s="179"/>
      <c r="W2097" s="176"/>
      <c r="X2097" s="180"/>
      <c r="Y2097" s="170"/>
      <c r="Z2097" s="170"/>
    </row>
    <row r="2098" spans="1:26">
      <c r="A2098" s="170"/>
      <c r="B2098" s="171"/>
      <c r="C2098" s="170"/>
      <c r="D2098" s="172"/>
      <c r="E2098" s="172"/>
      <c r="F2098" s="173"/>
      <c r="G2098" s="172"/>
      <c r="H2098" s="172"/>
      <c r="I2098" s="174"/>
      <c r="J2098" s="174"/>
      <c r="K2098" s="175"/>
      <c r="L2098" s="175"/>
      <c r="M2098" s="170"/>
      <c r="N2098" s="170"/>
      <c r="O2098" s="176"/>
      <c r="P2098" s="173"/>
      <c r="Q2098" s="177"/>
      <c r="R2098" s="178"/>
      <c r="S2098" s="178"/>
      <c r="T2098" s="179"/>
      <c r="U2098" s="179"/>
      <c r="V2098" s="179"/>
      <c r="W2098" s="176"/>
      <c r="X2098" s="180"/>
      <c r="Y2098" s="170"/>
      <c r="Z2098" s="170"/>
    </row>
    <row r="2099" spans="1:26">
      <c r="A2099" s="170"/>
      <c r="B2099" s="171"/>
      <c r="C2099" s="170"/>
      <c r="D2099" s="172"/>
      <c r="E2099" s="172"/>
      <c r="F2099" s="173"/>
      <c r="G2099" s="172"/>
      <c r="H2099" s="172"/>
      <c r="I2099" s="174"/>
      <c r="J2099" s="174"/>
      <c r="K2099" s="175"/>
      <c r="L2099" s="175"/>
      <c r="M2099" s="170"/>
      <c r="N2099" s="170"/>
      <c r="O2099" s="176"/>
      <c r="P2099" s="173"/>
      <c r="Q2099" s="177"/>
      <c r="R2099" s="178"/>
      <c r="S2099" s="178"/>
      <c r="T2099" s="179"/>
      <c r="U2099" s="179"/>
      <c r="V2099" s="179"/>
      <c r="W2099" s="176"/>
      <c r="X2099" s="180"/>
      <c r="Y2099" s="170"/>
      <c r="Z2099" s="170"/>
    </row>
    <row r="2100" spans="1:26">
      <c r="A2100" s="170"/>
      <c r="B2100" s="171"/>
      <c r="C2100" s="170"/>
      <c r="D2100" s="172"/>
      <c r="E2100" s="172"/>
      <c r="F2100" s="173"/>
      <c r="G2100" s="172"/>
      <c r="H2100" s="172"/>
      <c r="I2100" s="174"/>
      <c r="J2100" s="174"/>
      <c r="K2100" s="175"/>
      <c r="L2100" s="175"/>
      <c r="M2100" s="170"/>
      <c r="N2100" s="170"/>
      <c r="O2100" s="176"/>
      <c r="P2100" s="173"/>
      <c r="Q2100" s="177"/>
      <c r="R2100" s="178"/>
      <c r="S2100" s="178"/>
      <c r="T2100" s="179"/>
      <c r="U2100" s="179"/>
      <c r="V2100" s="179"/>
      <c r="W2100" s="176"/>
      <c r="X2100" s="180"/>
      <c r="Y2100" s="170"/>
      <c r="Z2100" s="170"/>
    </row>
    <row r="2101" spans="1:26">
      <c r="A2101" s="170"/>
      <c r="B2101" s="171"/>
      <c r="C2101" s="170"/>
      <c r="D2101" s="172"/>
      <c r="E2101" s="172"/>
      <c r="F2101" s="173"/>
      <c r="G2101" s="172"/>
      <c r="H2101" s="172"/>
      <c r="I2101" s="174"/>
      <c r="J2101" s="174"/>
      <c r="K2101" s="175"/>
      <c r="L2101" s="175"/>
      <c r="M2101" s="170"/>
      <c r="N2101" s="170"/>
      <c r="O2101" s="176"/>
      <c r="P2101" s="173"/>
      <c r="Q2101" s="177"/>
      <c r="R2101" s="178"/>
      <c r="S2101" s="178"/>
      <c r="T2101" s="179"/>
      <c r="U2101" s="179"/>
      <c r="V2101" s="179"/>
      <c r="W2101" s="176"/>
      <c r="X2101" s="180"/>
      <c r="Y2101" s="170"/>
      <c r="Z2101" s="170"/>
    </row>
    <row r="2102" spans="1:26">
      <c r="A2102" s="170"/>
      <c r="B2102" s="171"/>
      <c r="C2102" s="170"/>
      <c r="D2102" s="172"/>
      <c r="E2102" s="172"/>
      <c r="F2102" s="173"/>
      <c r="G2102" s="172"/>
      <c r="H2102" s="172"/>
      <c r="I2102" s="174"/>
      <c r="J2102" s="174"/>
      <c r="K2102" s="175"/>
      <c r="L2102" s="175"/>
      <c r="M2102" s="170"/>
      <c r="N2102" s="170"/>
      <c r="O2102" s="176"/>
      <c r="P2102" s="173"/>
      <c r="Q2102" s="177"/>
      <c r="R2102" s="178"/>
      <c r="S2102" s="178"/>
      <c r="T2102" s="179"/>
      <c r="U2102" s="179"/>
      <c r="V2102" s="179"/>
      <c r="W2102" s="176"/>
      <c r="X2102" s="180"/>
      <c r="Y2102" s="170"/>
      <c r="Z2102" s="170"/>
    </row>
    <row r="2103" spans="1:26">
      <c r="A2103" s="170"/>
      <c r="B2103" s="171"/>
      <c r="C2103" s="170"/>
      <c r="D2103" s="172"/>
      <c r="E2103" s="172"/>
      <c r="F2103" s="173"/>
      <c r="G2103" s="172"/>
      <c r="H2103" s="172"/>
      <c r="I2103" s="174"/>
      <c r="J2103" s="174"/>
      <c r="K2103" s="175"/>
      <c r="L2103" s="175"/>
      <c r="M2103" s="170"/>
      <c r="N2103" s="170"/>
      <c r="O2103" s="176"/>
      <c r="P2103" s="173"/>
      <c r="Q2103" s="177"/>
      <c r="R2103" s="178"/>
      <c r="S2103" s="178"/>
      <c r="T2103" s="179"/>
      <c r="U2103" s="179"/>
      <c r="V2103" s="179"/>
      <c r="W2103" s="176"/>
      <c r="X2103" s="180"/>
      <c r="Y2103" s="170"/>
      <c r="Z2103" s="170"/>
    </row>
    <row r="2104" spans="1:26">
      <c r="A2104" s="170"/>
      <c r="B2104" s="171"/>
      <c r="C2104" s="170"/>
      <c r="D2104" s="172"/>
      <c r="E2104" s="172"/>
      <c r="F2104" s="173"/>
      <c r="G2104" s="172"/>
      <c r="H2104" s="172"/>
      <c r="I2104" s="174"/>
      <c r="J2104" s="174"/>
      <c r="K2104" s="175"/>
      <c r="L2104" s="175"/>
      <c r="M2104" s="170"/>
      <c r="N2104" s="170"/>
      <c r="O2104" s="176"/>
      <c r="P2104" s="173"/>
      <c r="Q2104" s="177"/>
      <c r="R2104" s="178"/>
      <c r="S2104" s="178"/>
      <c r="T2104" s="179"/>
      <c r="U2104" s="179"/>
      <c r="V2104" s="179"/>
      <c r="W2104" s="176"/>
      <c r="X2104" s="180"/>
      <c r="Y2104" s="170"/>
      <c r="Z2104" s="170"/>
    </row>
    <row r="2105" spans="1:26">
      <c r="A2105" s="170"/>
      <c r="B2105" s="171"/>
      <c r="C2105" s="170"/>
      <c r="D2105" s="172"/>
      <c r="E2105" s="172"/>
      <c r="F2105" s="173"/>
      <c r="G2105" s="172"/>
      <c r="H2105" s="172"/>
      <c r="I2105" s="174"/>
      <c r="J2105" s="174"/>
      <c r="K2105" s="175"/>
      <c r="L2105" s="175"/>
      <c r="M2105" s="170"/>
      <c r="N2105" s="170"/>
      <c r="O2105" s="176"/>
      <c r="P2105" s="173"/>
      <c r="Q2105" s="177"/>
      <c r="R2105" s="178"/>
      <c r="S2105" s="178"/>
      <c r="T2105" s="179"/>
      <c r="U2105" s="179"/>
      <c r="V2105" s="179"/>
      <c r="W2105" s="176"/>
      <c r="X2105" s="180"/>
      <c r="Y2105" s="170"/>
      <c r="Z2105" s="170"/>
    </row>
    <row r="2106" spans="1:26">
      <c r="A2106" s="170"/>
      <c r="B2106" s="171"/>
      <c r="C2106" s="170"/>
      <c r="D2106" s="172"/>
      <c r="E2106" s="172"/>
      <c r="F2106" s="173"/>
      <c r="G2106" s="172"/>
      <c r="H2106" s="172"/>
      <c r="I2106" s="174"/>
      <c r="J2106" s="174"/>
      <c r="K2106" s="175"/>
      <c r="L2106" s="175"/>
      <c r="M2106" s="170"/>
      <c r="N2106" s="170"/>
      <c r="O2106" s="176"/>
      <c r="P2106" s="173"/>
      <c r="Q2106" s="177"/>
      <c r="R2106" s="178"/>
      <c r="S2106" s="178"/>
      <c r="T2106" s="179"/>
      <c r="U2106" s="179"/>
      <c r="V2106" s="179"/>
      <c r="W2106" s="176"/>
      <c r="X2106" s="180"/>
      <c r="Y2106" s="170"/>
      <c r="Z2106" s="170"/>
    </row>
    <row r="2107" spans="1:26">
      <c r="A2107" s="170"/>
      <c r="B2107" s="171"/>
      <c r="C2107" s="170"/>
      <c r="D2107" s="172"/>
      <c r="E2107" s="172"/>
      <c r="F2107" s="173"/>
      <c r="G2107" s="172"/>
      <c r="H2107" s="172"/>
      <c r="I2107" s="174"/>
      <c r="J2107" s="174"/>
      <c r="K2107" s="175"/>
      <c r="L2107" s="175"/>
      <c r="M2107" s="170"/>
      <c r="N2107" s="170"/>
      <c r="O2107" s="176"/>
      <c r="P2107" s="173"/>
      <c r="Q2107" s="177"/>
      <c r="R2107" s="178"/>
      <c r="S2107" s="178"/>
      <c r="T2107" s="179"/>
      <c r="U2107" s="179"/>
      <c r="V2107" s="179"/>
      <c r="W2107" s="176"/>
      <c r="X2107" s="180"/>
      <c r="Y2107" s="170"/>
      <c r="Z2107" s="170"/>
    </row>
    <row r="2108" spans="1:26">
      <c r="A2108" s="170"/>
      <c r="B2108" s="171"/>
      <c r="C2108" s="170"/>
      <c r="D2108" s="172"/>
      <c r="E2108" s="172"/>
      <c r="F2108" s="173"/>
      <c r="G2108" s="172"/>
      <c r="H2108" s="172"/>
      <c r="I2108" s="174"/>
      <c r="J2108" s="174"/>
      <c r="K2108" s="175"/>
      <c r="L2108" s="175"/>
      <c r="M2108" s="170"/>
      <c r="N2108" s="170"/>
      <c r="O2108" s="176"/>
      <c r="P2108" s="173"/>
      <c r="Q2108" s="177"/>
      <c r="R2108" s="178"/>
      <c r="S2108" s="178"/>
      <c r="T2108" s="179"/>
      <c r="U2108" s="179"/>
      <c r="V2108" s="179"/>
      <c r="W2108" s="176"/>
      <c r="X2108" s="180"/>
      <c r="Y2108" s="170"/>
      <c r="Z2108" s="170"/>
    </row>
    <row r="2109" spans="1:26">
      <c r="A2109" s="170"/>
      <c r="B2109" s="171"/>
      <c r="C2109" s="170"/>
      <c r="D2109" s="172"/>
      <c r="E2109" s="172"/>
      <c r="F2109" s="173"/>
      <c r="G2109" s="172"/>
      <c r="H2109" s="172"/>
      <c r="I2109" s="174"/>
      <c r="J2109" s="174"/>
      <c r="K2109" s="175"/>
      <c r="L2109" s="175"/>
      <c r="M2109" s="170"/>
      <c r="N2109" s="170"/>
      <c r="O2109" s="176"/>
      <c r="P2109" s="173"/>
      <c r="Q2109" s="177"/>
      <c r="R2109" s="178"/>
      <c r="S2109" s="178"/>
      <c r="T2109" s="179"/>
      <c r="U2109" s="179"/>
      <c r="V2109" s="179"/>
      <c r="W2109" s="176"/>
      <c r="X2109" s="180"/>
      <c r="Y2109" s="170"/>
      <c r="Z2109" s="170"/>
    </row>
    <row r="2110" spans="1:26">
      <c r="A2110" s="170"/>
      <c r="B2110" s="171"/>
      <c r="C2110" s="170"/>
      <c r="D2110" s="172"/>
      <c r="E2110" s="172"/>
      <c r="F2110" s="173"/>
      <c r="G2110" s="172"/>
      <c r="H2110" s="172"/>
      <c r="I2110" s="174"/>
      <c r="J2110" s="174"/>
      <c r="K2110" s="175"/>
      <c r="L2110" s="175"/>
      <c r="M2110" s="170"/>
      <c r="N2110" s="170"/>
      <c r="O2110" s="176"/>
      <c r="P2110" s="173"/>
      <c r="Q2110" s="177"/>
      <c r="R2110" s="178"/>
      <c r="S2110" s="178"/>
      <c r="T2110" s="179"/>
      <c r="U2110" s="179"/>
      <c r="V2110" s="179"/>
      <c r="W2110" s="176"/>
      <c r="X2110" s="180"/>
      <c r="Y2110" s="170"/>
      <c r="Z2110" s="170"/>
    </row>
    <row r="2111" spans="1:26">
      <c r="A2111" s="170"/>
      <c r="B2111" s="171"/>
      <c r="C2111" s="170"/>
      <c r="D2111" s="172"/>
      <c r="E2111" s="172"/>
      <c r="F2111" s="173"/>
      <c r="G2111" s="172"/>
      <c r="H2111" s="172"/>
      <c r="I2111" s="174"/>
      <c r="J2111" s="174"/>
      <c r="K2111" s="175"/>
      <c r="L2111" s="175"/>
      <c r="M2111" s="170"/>
      <c r="N2111" s="170"/>
      <c r="O2111" s="176"/>
      <c r="P2111" s="173"/>
      <c r="Q2111" s="177"/>
      <c r="R2111" s="178"/>
      <c r="S2111" s="178"/>
      <c r="T2111" s="179"/>
      <c r="U2111" s="179"/>
      <c r="V2111" s="179"/>
      <c r="W2111" s="176"/>
      <c r="X2111" s="180"/>
      <c r="Y2111" s="170"/>
      <c r="Z2111" s="170"/>
    </row>
    <row r="2112" spans="1:26">
      <c r="A2112" s="170"/>
      <c r="B2112" s="171"/>
      <c r="C2112" s="170"/>
      <c r="D2112" s="172"/>
      <c r="E2112" s="172"/>
      <c r="F2112" s="173"/>
      <c r="G2112" s="172"/>
      <c r="H2112" s="172"/>
      <c r="I2112" s="174"/>
      <c r="J2112" s="174"/>
      <c r="K2112" s="175"/>
      <c r="L2112" s="175"/>
      <c r="M2112" s="170"/>
      <c r="N2112" s="170"/>
      <c r="O2112" s="176"/>
      <c r="P2112" s="173"/>
      <c r="Q2112" s="177"/>
      <c r="R2112" s="178"/>
      <c r="S2112" s="178"/>
      <c r="T2112" s="179"/>
      <c r="U2112" s="179"/>
      <c r="V2112" s="179"/>
      <c r="W2112" s="176"/>
      <c r="X2112" s="180"/>
      <c r="Y2112" s="170"/>
      <c r="Z2112" s="170"/>
    </row>
    <row r="2113" spans="1:26">
      <c r="A2113" s="170"/>
      <c r="B2113" s="171"/>
      <c r="C2113" s="170"/>
      <c r="D2113" s="172"/>
      <c r="E2113" s="172"/>
      <c r="F2113" s="173"/>
      <c r="G2113" s="172"/>
      <c r="H2113" s="172"/>
      <c r="I2113" s="174"/>
      <c r="J2113" s="174"/>
      <c r="K2113" s="175"/>
      <c r="L2113" s="175"/>
      <c r="M2113" s="170"/>
      <c r="N2113" s="170"/>
      <c r="O2113" s="176"/>
      <c r="P2113" s="173"/>
      <c r="Q2113" s="177"/>
      <c r="R2113" s="178"/>
      <c r="S2113" s="178"/>
      <c r="T2113" s="179"/>
      <c r="U2113" s="179"/>
      <c r="V2113" s="179"/>
      <c r="W2113" s="176"/>
      <c r="X2113" s="180"/>
      <c r="Y2113" s="170"/>
      <c r="Z2113" s="170"/>
    </row>
    <row r="2114" spans="1:26">
      <c r="A2114" s="170"/>
      <c r="B2114" s="171"/>
      <c r="C2114" s="170"/>
      <c r="D2114" s="172"/>
      <c r="E2114" s="172"/>
      <c r="F2114" s="173"/>
      <c r="G2114" s="172"/>
      <c r="H2114" s="172"/>
      <c r="I2114" s="174"/>
      <c r="J2114" s="174"/>
      <c r="K2114" s="175"/>
      <c r="L2114" s="175"/>
      <c r="M2114" s="170"/>
      <c r="N2114" s="170"/>
      <c r="O2114" s="176"/>
      <c r="P2114" s="173"/>
      <c r="Q2114" s="177"/>
      <c r="R2114" s="178"/>
      <c r="S2114" s="178"/>
      <c r="T2114" s="179"/>
      <c r="U2114" s="179"/>
      <c r="V2114" s="179"/>
      <c r="W2114" s="176"/>
      <c r="X2114" s="180"/>
      <c r="Y2114" s="170"/>
      <c r="Z2114" s="170"/>
    </row>
    <row r="2115" spans="1:26">
      <c r="A2115" s="170"/>
      <c r="B2115" s="171"/>
      <c r="C2115" s="170"/>
      <c r="D2115" s="172"/>
      <c r="E2115" s="172"/>
      <c r="F2115" s="173"/>
      <c r="G2115" s="172"/>
      <c r="H2115" s="172"/>
      <c r="I2115" s="174"/>
      <c r="J2115" s="174"/>
      <c r="K2115" s="175"/>
      <c r="L2115" s="175"/>
      <c r="M2115" s="170"/>
      <c r="N2115" s="170"/>
      <c r="O2115" s="176"/>
      <c r="P2115" s="173"/>
      <c r="Q2115" s="177"/>
      <c r="R2115" s="178"/>
      <c r="S2115" s="178"/>
      <c r="T2115" s="179"/>
      <c r="U2115" s="179"/>
      <c r="V2115" s="179"/>
      <c r="W2115" s="176"/>
      <c r="X2115" s="180"/>
      <c r="Y2115" s="170"/>
      <c r="Z2115" s="170"/>
    </row>
    <row r="2116" spans="1:26">
      <c r="A2116" s="170"/>
      <c r="B2116" s="171"/>
      <c r="C2116" s="170"/>
      <c r="D2116" s="172"/>
      <c r="E2116" s="172"/>
      <c r="F2116" s="173"/>
      <c r="G2116" s="172"/>
      <c r="H2116" s="172"/>
      <c r="I2116" s="174"/>
      <c r="J2116" s="174"/>
      <c r="K2116" s="175"/>
      <c r="L2116" s="175"/>
      <c r="M2116" s="170"/>
      <c r="N2116" s="170"/>
      <c r="O2116" s="176"/>
      <c r="P2116" s="173"/>
      <c r="Q2116" s="177"/>
      <c r="R2116" s="178"/>
      <c r="S2116" s="178"/>
      <c r="T2116" s="179"/>
      <c r="U2116" s="179"/>
      <c r="V2116" s="179"/>
      <c r="W2116" s="176"/>
      <c r="X2116" s="180"/>
      <c r="Y2116" s="170"/>
      <c r="Z2116" s="170"/>
    </row>
    <row r="2117" spans="1:26">
      <c r="A2117" s="170"/>
      <c r="B2117" s="171"/>
      <c r="C2117" s="170"/>
      <c r="D2117" s="172"/>
      <c r="E2117" s="172"/>
      <c r="F2117" s="173"/>
      <c r="G2117" s="172"/>
      <c r="H2117" s="172"/>
      <c r="I2117" s="174"/>
      <c r="J2117" s="174"/>
      <c r="K2117" s="175"/>
      <c r="L2117" s="175"/>
      <c r="M2117" s="170"/>
      <c r="N2117" s="170"/>
      <c r="O2117" s="176"/>
      <c r="P2117" s="173"/>
      <c r="Q2117" s="177"/>
      <c r="R2117" s="178"/>
      <c r="S2117" s="178"/>
      <c r="T2117" s="179"/>
      <c r="U2117" s="179"/>
      <c r="V2117" s="179"/>
      <c r="W2117" s="176"/>
      <c r="X2117" s="180"/>
      <c r="Y2117" s="170"/>
      <c r="Z2117" s="170"/>
    </row>
    <row r="2118" spans="1:26">
      <c r="A2118" s="170"/>
      <c r="B2118" s="171"/>
      <c r="C2118" s="170"/>
      <c r="D2118" s="172"/>
      <c r="E2118" s="172"/>
      <c r="F2118" s="173"/>
      <c r="G2118" s="172"/>
      <c r="H2118" s="172"/>
      <c r="I2118" s="174"/>
      <c r="J2118" s="174"/>
      <c r="K2118" s="175"/>
      <c r="L2118" s="175"/>
      <c r="M2118" s="170"/>
      <c r="N2118" s="170"/>
      <c r="O2118" s="176"/>
      <c r="P2118" s="173"/>
      <c r="Q2118" s="177"/>
      <c r="R2118" s="178"/>
      <c r="S2118" s="178"/>
      <c r="T2118" s="179"/>
      <c r="U2118" s="179"/>
      <c r="V2118" s="179"/>
      <c r="W2118" s="176"/>
      <c r="X2118" s="180"/>
      <c r="Y2118" s="170"/>
      <c r="Z2118" s="170"/>
    </row>
    <row r="2119" spans="1:26">
      <c r="A2119" s="170"/>
      <c r="B2119" s="171"/>
      <c r="C2119" s="170"/>
      <c r="D2119" s="172"/>
      <c r="E2119" s="172"/>
      <c r="F2119" s="173"/>
      <c r="G2119" s="172"/>
      <c r="H2119" s="172"/>
      <c r="I2119" s="174"/>
      <c r="J2119" s="174"/>
      <c r="K2119" s="175"/>
      <c r="L2119" s="175"/>
      <c r="M2119" s="170"/>
      <c r="N2119" s="170"/>
      <c r="O2119" s="176"/>
      <c r="P2119" s="173"/>
      <c r="Q2119" s="177"/>
      <c r="R2119" s="178"/>
      <c r="S2119" s="178"/>
      <c r="T2119" s="179"/>
      <c r="U2119" s="179"/>
      <c r="V2119" s="179"/>
      <c r="W2119" s="176"/>
      <c r="X2119" s="180"/>
      <c r="Y2119" s="170"/>
      <c r="Z2119" s="170"/>
    </row>
    <row r="2120" spans="1:26">
      <c r="A2120" s="170"/>
      <c r="B2120" s="171"/>
      <c r="C2120" s="170"/>
      <c r="D2120" s="172"/>
      <c r="E2120" s="172"/>
      <c r="F2120" s="173"/>
      <c r="G2120" s="172"/>
      <c r="H2120" s="172"/>
      <c r="I2120" s="174"/>
      <c r="J2120" s="174"/>
      <c r="K2120" s="175"/>
      <c r="L2120" s="175"/>
      <c r="M2120" s="170"/>
      <c r="N2120" s="170"/>
      <c r="O2120" s="176"/>
      <c r="P2120" s="173"/>
      <c r="Q2120" s="177"/>
      <c r="R2120" s="178"/>
      <c r="S2120" s="178"/>
      <c r="T2120" s="179"/>
      <c r="U2120" s="179"/>
      <c r="V2120" s="179"/>
      <c r="W2120" s="176"/>
      <c r="X2120" s="180"/>
      <c r="Y2120" s="170"/>
      <c r="Z2120" s="170"/>
    </row>
    <row r="2121" spans="1:26">
      <c r="A2121" s="170"/>
      <c r="B2121" s="171"/>
      <c r="C2121" s="170"/>
      <c r="D2121" s="172"/>
      <c r="E2121" s="172"/>
      <c r="F2121" s="173"/>
      <c r="G2121" s="172"/>
      <c r="H2121" s="172"/>
      <c r="I2121" s="174"/>
      <c r="J2121" s="174"/>
      <c r="K2121" s="175"/>
      <c r="L2121" s="175"/>
      <c r="M2121" s="170"/>
      <c r="N2121" s="170"/>
      <c r="O2121" s="176"/>
      <c r="P2121" s="173"/>
      <c r="Q2121" s="177"/>
      <c r="R2121" s="178"/>
      <c r="S2121" s="178"/>
      <c r="T2121" s="179"/>
      <c r="U2121" s="179"/>
      <c r="V2121" s="179"/>
      <c r="W2121" s="176"/>
      <c r="X2121" s="180"/>
      <c r="Y2121" s="170"/>
      <c r="Z2121" s="170"/>
    </row>
    <row r="2122" spans="1:26">
      <c r="A2122" s="170"/>
      <c r="B2122" s="171"/>
      <c r="C2122" s="170"/>
      <c r="D2122" s="172"/>
      <c r="E2122" s="172"/>
      <c r="F2122" s="173"/>
      <c r="G2122" s="172"/>
      <c r="H2122" s="172"/>
      <c r="I2122" s="174"/>
      <c r="J2122" s="174"/>
      <c r="K2122" s="175"/>
      <c r="L2122" s="175"/>
      <c r="M2122" s="170"/>
      <c r="N2122" s="170"/>
      <c r="O2122" s="176"/>
      <c r="P2122" s="173"/>
      <c r="Q2122" s="177"/>
      <c r="R2122" s="178"/>
      <c r="S2122" s="178"/>
      <c r="T2122" s="179"/>
      <c r="U2122" s="179"/>
      <c r="V2122" s="179"/>
      <c r="W2122" s="176"/>
      <c r="X2122" s="180"/>
      <c r="Y2122" s="170"/>
      <c r="Z2122" s="170"/>
    </row>
    <row r="2123" spans="1:26">
      <c r="A2123" s="170"/>
      <c r="B2123" s="171"/>
      <c r="C2123" s="170"/>
      <c r="D2123" s="172"/>
      <c r="E2123" s="172"/>
      <c r="F2123" s="173"/>
      <c r="G2123" s="172"/>
      <c r="H2123" s="172"/>
      <c r="I2123" s="174"/>
      <c r="J2123" s="174"/>
      <c r="K2123" s="175"/>
      <c r="L2123" s="175"/>
      <c r="M2123" s="170"/>
      <c r="N2123" s="170"/>
      <c r="O2123" s="176"/>
      <c r="P2123" s="173"/>
      <c r="Q2123" s="177"/>
      <c r="R2123" s="178"/>
      <c r="S2123" s="178"/>
      <c r="T2123" s="179"/>
      <c r="U2123" s="179"/>
      <c r="V2123" s="179"/>
      <c r="W2123" s="176"/>
      <c r="X2123" s="180"/>
      <c r="Y2123" s="170"/>
      <c r="Z2123" s="170"/>
    </row>
    <row r="2124" spans="1:26">
      <c r="A2124" s="170"/>
      <c r="B2124" s="171"/>
      <c r="C2124" s="170"/>
      <c r="D2124" s="172"/>
      <c r="E2124" s="172"/>
      <c r="F2124" s="173"/>
      <c r="G2124" s="172"/>
      <c r="H2124" s="172"/>
      <c r="I2124" s="174"/>
      <c r="J2124" s="174"/>
      <c r="K2124" s="175"/>
      <c r="L2124" s="175"/>
      <c r="M2124" s="170"/>
      <c r="N2124" s="170"/>
      <c r="O2124" s="176"/>
      <c r="P2124" s="173"/>
      <c r="Q2124" s="177"/>
      <c r="R2124" s="178"/>
      <c r="S2124" s="178"/>
      <c r="T2124" s="179"/>
      <c r="U2124" s="179"/>
      <c r="V2124" s="179"/>
      <c r="W2124" s="176"/>
      <c r="X2124" s="180"/>
      <c r="Y2124" s="170"/>
      <c r="Z2124" s="170"/>
    </row>
    <row r="2125" spans="1:26">
      <c r="A2125" s="170"/>
      <c r="B2125" s="171"/>
      <c r="C2125" s="170"/>
      <c r="D2125" s="172"/>
      <c r="E2125" s="172"/>
      <c r="F2125" s="173"/>
      <c r="G2125" s="172"/>
      <c r="H2125" s="172"/>
      <c r="I2125" s="174"/>
      <c r="J2125" s="174"/>
      <c r="K2125" s="175"/>
      <c r="L2125" s="175"/>
      <c r="M2125" s="170"/>
      <c r="N2125" s="170"/>
      <c r="O2125" s="176"/>
      <c r="P2125" s="173"/>
      <c r="Q2125" s="177"/>
      <c r="R2125" s="178"/>
      <c r="S2125" s="178"/>
      <c r="T2125" s="179"/>
      <c r="U2125" s="179"/>
      <c r="V2125" s="179"/>
      <c r="W2125" s="176"/>
      <c r="X2125" s="180"/>
      <c r="Y2125" s="170"/>
      <c r="Z2125" s="170"/>
    </row>
    <row r="2126" spans="1:26">
      <c r="A2126" s="170"/>
      <c r="B2126" s="171"/>
      <c r="C2126" s="170"/>
      <c r="D2126" s="172"/>
      <c r="E2126" s="172"/>
      <c r="F2126" s="173"/>
      <c r="G2126" s="172"/>
      <c r="H2126" s="172"/>
      <c r="I2126" s="174"/>
      <c r="J2126" s="174"/>
      <c r="K2126" s="175"/>
      <c r="L2126" s="175"/>
      <c r="M2126" s="170"/>
      <c r="N2126" s="170"/>
      <c r="O2126" s="176"/>
      <c r="P2126" s="173"/>
      <c r="Q2126" s="177"/>
      <c r="R2126" s="178"/>
      <c r="S2126" s="178"/>
      <c r="T2126" s="179"/>
      <c r="U2126" s="179"/>
      <c r="V2126" s="179"/>
      <c r="W2126" s="176"/>
      <c r="X2126" s="180"/>
      <c r="Y2126" s="170"/>
      <c r="Z2126" s="170"/>
    </row>
    <row r="2127" spans="1:26">
      <c r="A2127" s="170"/>
      <c r="B2127" s="171"/>
      <c r="C2127" s="170"/>
      <c r="D2127" s="172"/>
      <c r="E2127" s="172"/>
      <c r="F2127" s="173"/>
      <c r="G2127" s="172"/>
      <c r="H2127" s="172"/>
      <c r="I2127" s="174"/>
      <c r="J2127" s="174"/>
      <c r="K2127" s="175"/>
      <c r="L2127" s="175"/>
      <c r="M2127" s="170"/>
      <c r="N2127" s="170"/>
      <c r="O2127" s="176"/>
      <c r="P2127" s="173"/>
      <c r="Q2127" s="177"/>
      <c r="R2127" s="178"/>
      <c r="S2127" s="178"/>
      <c r="T2127" s="179"/>
      <c r="U2127" s="179"/>
      <c r="V2127" s="179"/>
      <c r="W2127" s="176"/>
      <c r="X2127" s="180"/>
      <c r="Y2127" s="170"/>
      <c r="Z2127" s="170"/>
    </row>
    <row r="2128" spans="1:26">
      <c r="A2128" s="170"/>
      <c r="B2128" s="171"/>
      <c r="C2128" s="170"/>
      <c r="D2128" s="172"/>
      <c r="E2128" s="172"/>
      <c r="F2128" s="173"/>
      <c r="G2128" s="172"/>
      <c r="H2128" s="172"/>
      <c r="I2128" s="174"/>
      <c r="J2128" s="174"/>
      <c r="K2128" s="175"/>
      <c r="L2128" s="175"/>
      <c r="M2128" s="170"/>
      <c r="N2128" s="170"/>
      <c r="O2128" s="176"/>
      <c r="P2128" s="173"/>
      <c r="Q2128" s="177"/>
      <c r="R2128" s="178"/>
      <c r="S2128" s="178"/>
      <c r="T2128" s="179"/>
      <c r="U2128" s="179"/>
      <c r="V2128" s="179"/>
      <c r="W2128" s="176"/>
      <c r="X2128" s="180"/>
      <c r="Y2128" s="170"/>
      <c r="Z2128" s="170"/>
    </row>
    <row r="2129" spans="1:26">
      <c r="A2129" s="170"/>
      <c r="B2129" s="171"/>
      <c r="C2129" s="170"/>
      <c r="D2129" s="172"/>
      <c r="E2129" s="172"/>
      <c r="F2129" s="173"/>
      <c r="G2129" s="172"/>
      <c r="H2129" s="172"/>
      <c r="I2129" s="174"/>
      <c r="J2129" s="174"/>
      <c r="K2129" s="175"/>
      <c r="L2129" s="175"/>
      <c r="M2129" s="170"/>
      <c r="N2129" s="170"/>
      <c r="O2129" s="176"/>
      <c r="P2129" s="173"/>
      <c r="Q2129" s="177"/>
      <c r="R2129" s="178"/>
      <c r="S2129" s="178"/>
      <c r="T2129" s="179"/>
      <c r="U2129" s="179"/>
      <c r="V2129" s="179"/>
      <c r="W2129" s="176"/>
      <c r="X2129" s="180"/>
      <c r="Y2129" s="170"/>
      <c r="Z2129" s="170"/>
    </row>
    <row r="2130" spans="1:26">
      <c r="A2130" s="170"/>
      <c r="B2130" s="171"/>
      <c r="C2130" s="170"/>
      <c r="D2130" s="172"/>
      <c r="E2130" s="172"/>
      <c r="F2130" s="173"/>
      <c r="G2130" s="172"/>
      <c r="H2130" s="172"/>
      <c r="I2130" s="174"/>
      <c r="J2130" s="174"/>
      <c r="K2130" s="175"/>
      <c r="L2130" s="175"/>
      <c r="M2130" s="170"/>
      <c r="N2130" s="170"/>
      <c r="O2130" s="176"/>
      <c r="P2130" s="173"/>
      <c r="Q2130" s="177"/>
      <c r="R2130" s="178"/>
      <c r="S2130" s="178"/>
      <c r="T2130" s="179"/>
      <c r="U2130" s="179"/>
      <c r="V2130" s="179"/>
      <c r="W2130" s="176"/>
      <c r="X2130" s="180"/>
      <c r="Y2130" s="170"/>
      <c r="Z2130" s="170"/>
    </row>
    <row r="2131" spans="1:26">
      <c r="A2131" s="170"/>
      <c r="B2131" s="171"/>
      <c r="C2131" s="170"/>
      <c r="D2131" s="172"/>
      <c r="E2131" s="172"/>
      <c r="F2131" s="173"/>
      <c r="G2131" s="172"/>
      <c r="H2131" s="172"/>
      <c r="I2131" s="174"/>
      <c r="J2131" s="174"/>
      <c r="K2131" s="175"/>
      <c r="L2131" s="175"/>
      <c r="M2131" s="170"/>
      <c r="N2131" s="170"/>
      <c r="O2131" s="176"/>
      <c r="P2131" s="173"/>
      <c r="Q2131" s="177"/>
      <c r="R2131" s="178"/>
      <c r="S2131" s="178"/>
      <c r="T2131" s="179"/>
      <c r="U2131" s="179"/>
      <c r="V2131" s="179"/>
      <c r="W2131" s="176"/>
      <c r="X2131" s="180"/>
      <c r="Y2131" s="170"/>
      <c r="Z2131" s="170"/>
    </row>
    <row r="2132" spans="1:26">
      <c r="A2132" s="170"/>
      <c r="B2132" s="171"/>
      <c r="C2132" s="170"/>
      <c r="D2132" s="172"/>
      <c r="E2132" s="172"/>
      <c r="F2132" s="173"/>
      <c r="G2132" s="172"/>
      <c r="H2132" s="172"/>
      <c r="I2132" s="174"/>
      <c r="J2132" s="174"/>
      <c r="K2132" s="175"/>
      <c r="L2132" s="175"/>
      <c r="M2132" s="170"/>
      <c r="N2132" s="170"/>
      <c r="O2132" s="176"/>
      <c r="P2132" s="173"/>
      <c r="Q2132" s="177"/>
      <c r="R2132" s="178"/>
      <c r="S2132" s="178"/>
      <c r="T2132" s="179"/>
      <c r="U2132" s="179"/>
      <c r="V2132" s="179"/>
      <c r="W2132" s="176"/>
      <c r="X2132" s="180"/>
      <c r="Y2132" s="170"/>
      <c r="Z2132" s="170"/>
    </row>
    <row r="2133" spans="1:26">
      <c r="A2133" s="170"/>
      <c r="B2133" s="171"/>
      <c r="C2133" s="170"/>
      <c r="D2133" s="172"/>
      <c r="E2133" s="172"/>
      <c r="F2133" s="173"/>
      <c r="G2133" s="172"/>
      <c r="H2133" s="172"/>
      <c r="I2133" s="174"/>
      <c r="J2133" s="174"/>
      <c r="K2133" s="175"/>
      <c r="L2133" s="175"/>
      <c r="M2133" s="170"/>
      <c r="N2133" s="170"/>
      <c r="O2133" s="176"/>
      <c r="P2133" s="173"/>
      <c r="Q2133" s="177"/>
      <c r="R2133" s="178"/>
      <c r="S2133" s="178"/>
      <c r="T2133" s="179"/>
      <c r="U2133" s="179"/>
      <c r="V2133" s="179"/>
      <c r="W2133" s="176"/>
      <c r="X2133" s="180"/>
      <c r="Y2133" s="170"/>
      <c r="Z2133" s="170"/>
    </row>
    <row r="2134" spans="1:26">
      <c r="A2134" s="170"/>
      <c r="B2134" s="171"/>
      <c r="C2134" s="170"/>
      <c r="D2134" s="172"/>
      <c r="E2134" s="172"/>
      <c r="F2134" s="173"/>
      <c r="G2134" s="172"/>
      <c r="H2134" s="172"/>
      <c r="I2134" s="174"/>
      <c r="J2134" s="174"/>
      <c r="K2134" s="175"/>
      <c r="L2134" s="175"/>
      <c r="M2134" s="170"/>
      <c r="N2134" s="170"/>
      <c r="O2134" s="176"/>
      <c r="P2134" s="173"/>
      <c r="Q2134" s="177"/>
      <c r="R2134" s="178"/>
      <c r="S2134" s="178"/>
      <c r="T2134" s="179"/>
      <c r="U2134" s="179"/>
      <c r="V2134" s="179"/>
      <c r="W2134" s="176"/>
      <c r="X2134" s="180"/>
      <c r="Y2134" s="170"/>
      <c r="Z2134" s="170"/>
    </row>
    <row r="2135" spans="1:26">
      <c r="A2135" s="170"/>
      <c r="B2135" s="171"/>
      <c r="C2135" s="170"/>
      <c r="D2135" s="172"/>
      <c r="E2135" s="172"/>
      <c r="F2135" s="173"/>
      <c r="G2135" s="172"/>
      <c r="H2135" s="172"/>
      <c r="I2135" s="174"/>
      <c r="J2135" s="174"/>
      <c r="K2135" s="175"/>
      <c r="L2135" s="175"/>
      <c r="M2135" s="170"/>
      <c r="N2135" s="170"/>
      <c r="O2135" s="176"/>
      <c r="P2135" s="173"/>
      <c r="Q2135" s="177"/>
      <c r="R2135" s="178"/>
      <c r="S2135" s="178"/>
      <c r="T2135" s="179"/>
      <c r="U2135" s="179"/>
      <c r="V2135" s="179"/>
      <c r="W2135" s="176"/>
      <c r="X2135" s="180"/>
      <c r="Y2135" s="170"/>
      <c r="Z2135" s="170"/>
    </row>
    <row r="2136" spans="1:26">
      <c r="A2136" s="170"/>
      <c r="B2136" s="171"/>
      <c r="C2136" s="170"/>
      <c r="D2136" s="172"/>
      <c r="E2136" s="172"/>
      <c r="F2136" s="173"/>
      <c r="G2136" s="172"/>
      <c r="H2136" s="172"/>
      <c r="I2136" s="174"/>
      <c r="J2136" s="174"/>
      <c r="K2136" s="175"/>
      <c r="L2136" s="175"/>
      <c r="M2136" s="170"/>
      <c r="N2136" s="170"/>
      <c r="O2136" s="176"/>
      <c r="P2136" s="173"/>
      <c r="Q2136" s="177"/>
      <c r="R2136" s="178"/>
      <c r="S2136" s="178"/>
      <c r="T2136" s="179"/>
      <c r="U2136" s="179"/>
      <c r="V2136" s="179"/>
      <c r="W2136" s="176"/>
      <c r="X2136" s="180"/>
      <c r="Y2136" s="170"/>
      <c r="Z2136" s="170"/>
    </row>
    <row r="2137" spans="1:26">
      <c r="A2137" s="170"/>
      <c r="B2137" s="171"/>
      <c r="C2137" s="170"/>
      <c r="D2137" s="172"/>
      <c r="E2137" s="172"/>
      <c r="F2137" s="173"/>
      <c r="G2137" s="172"/>
      <c r="H2137" s="172"/>
      <c r="I2137" s="174"/>
      <c r="J2137" s="174"/>
      <c r="K2137" s="175"/>
      <c r="L2137" s="175"/>
      <c r="M2137" s="170"/>
      <c r="N2137" s="170"/>
      <c r="O2137" s="176"/>
      <c r="P2137" s="173"/>
      <c r="Q2137" s="177"/>
      <c r="R2137" s="178"/>
      <c r="S2137" s="178"/>
      <c r="T2137" s="179"/>
      <c r="U2137" s="179"/>
      <c r="V2137" s="179"/>
      <c r="W2137" s="176"/>
      <c r="X2137" s="180"/>
      <c r="Y2137" s="170"/>
      <c r="Z2137" s="170"/>
    </row>
    <row r="2138" spans="1:26">
      <c r="A2138" s="170"/>
      <c r="B2138" s="171"/>
      <c r="C2138" s="170"/>
      <c r="D2138" s="172"/>
      <c r="E2138" s="172"/>
      <c r="F2138" s="173"/>
      <c r="G2138" s="172"/>
      <c r="H2138" s="172"/>
      <c r="I2138" s="174"/>
      <c r="J2138" s="174"/>
      <c r="K2138" s="175"/>
      <c r="L2138" s="175"/>
      <c r="M2138" s="170"/>
      <c r="N2138" s="170"/>
      <c r="O2138" s="176"/>
      <c r="P2138" s="173"/>
      <c r="Q2138" s="177"/>
      <c r="R2138" s="178"/>
      <c r="S2138" s="178"/>
      <c r="T2138" s="179"/>
      <c r="U2138" s="179"/>
      <c r="V2138" s="179"/>
      <c r="W2138" s="176"/>
      <c r="X2138" s="180"/>
      <c r="Y2138" s="170"/>
      <c r="Z2138" s="170"/>
    </row>
    <row r="2139" spans="1:26">
      <c r="A2139" s="170"/>
      <c r="B2139" s="171"/>
      <c r="C2139" s="170"/>
      <c r="D2139" s="172"/>
      <c r="E2139" s="172"/>
      <c r="F2139" s="173"/>
      <c r="G2139" s="172"/>
      <c r="H2139" s="172"/>
      <c r="I2139" s="174"/>
      <c r="J2139" s="174"/>
      <c r="K2139" s="175"/>
      <c r="L2139" s="175"/>
      <c r="M2139" s="170"/>
      <c r="N2139" s="170"/>
      <c r="O2139" s="176"/>
      <c r="P2139" s="173"/>
      <c r="Q2139" s="177"/>
      <c r="R2139" s="178"/>
      <c r="S2139" s="178"/>
      <c r="T2139" s="179"/>
      <c r="U2139" s="179"/>
      <c r="V2139" s="179"/>
      <c r="W2139" s="176"/>
      <c r="X2139" s="180"/>
      <c r="Y2139" s="170"/>
      <c r="Z2139" s="170"/>
    </row>
    <row r="2140" spans="1:26">
      <c r="A2140" s="170"/>
      <c r="B2140" s="171"/>
      <c r="C2140" s="170"/>
      <c r="D2140" s="172"/>
      <c r="E2140" s="172"/>
      <c r="F2140" s="173"/>
      <c r="G2140" s="172"/>
      <c r="H2140" s="172"/>
      <c r="I2140" s="174"/>
      <c r="J2140" s="174"/>
      <c r="K2140" s="175"/>
      <c r="L2140" s="175"/>
      <c r="M2140" s="170"/>
      <c r="N2140" s="170"/>
      <c r="O2140" s="176"/>
      <c r="P2140" s="173"/>
      <c r="Q2140" s="177"/>
      <c r="R2140" s="178"/>
      <c r="S2140" s="178"/>
      <c r="T2140" s="179"/>
      <c r="U2140" s="179"/>
      <c r="V2140" s="179"/>
      <c r="W2140" s="176"/>
      <c r="X2140" s="180"/>
      <c r="Y2140" s="170"/>
      <c r="Z2140" s="170"/>
    </row>
    <row r="2141" spans="1:26">
      <c r="A2141" s="170"/>
      <c r="B2141" s="171"/>
      <c r="C2141" s="170"/>
      <c r="D2141" s="172"/>
      <c r="E2141" s="172"/>
      <c r="F2141" s="173"/>
      <c r="G2141" s="172"/>
      <c r="H2141" s="172"/>
      <c r="I2141" s="174"/>
      <c r="J2141" s="174"/>
      <c r="K2141" s="175"/>
      <c r="L2141" s="175"/>
      <c r="M2141" s="170"/>
      <c r="N2141" s="170"/>
      <c r="O2141" s="176"/>
      <c r="P2141" s="173"/>
      <c r="Q2141" s="177"/>
      <c r="R2141" s="178"/>
      <c r="S2141" s="178"/>
      <c r="T2141" s="179"/>
      <c r="U2141" s="179"/>
      <c r="V2141" s="179"/>
      <c r="W2141" s="176"/>
      <c r="X2141" s="180"/>
      <c r="Y2141" s="170"/>
      <c r="Z2141" s="170"/>
    </row>
    <row r="2142" spans="1:26">
      <c r="A2142" s="170"/>
      <c r="B2142" s="171"/>
      <c r="C2142" s="170"/>
      <c r="D2142" s="172"/>
      <c r="E2142" s="172"/>
      <c r="F2142" s="173"/>
      <c r="G2142" s="172"/>
      <c r="H2142" s="172"/>
      <c r="I2142" s="174"/>
      <c r="J2142" s="174"/>
      <c r="K2142" s="175"/>
      <c r="L2142" s="175"/>
      <c r="M2142" s="170"/>
      <c r="N2142" s="170"/>
      <c r="O2142" s="176"/>
      <c r="P2142" s="173"/>
      <c r="Q2142" s="177"/>
      <c r="R2142" s="178"/>
      <c r="S2142" s="178"/>
      <c r="T2142" s="179"/>
      <c r="U2142" s="179"/>
      <c r="V2142" s="179"/>
      <c r="W2142" s="176"/>
      <c r="X2142" s="180"/>
      <c r="Y2142" s="170"/>
      <c r="Z2142" s="170"/>
    </row>
    <row r="2143" spans="1:26">
      <c r="A2143" s="170"/>
      <c r="B2143" s="171"/>
      <c r="C2143" s="170"/>
      <c r="D2143" s="172"/>
      <c r="E2143" s="172"/>
      <c r="F2143" s="173"/>
      <c r="G2143" s="172"/>
      <c r="H2143" s="172"/>
      <c r="I2143" s="174"/>
      <c r="J2143" s="174"/>
      <c r="K2143" s="175"/>
      <c r="L2143" s="175"/>
      <c r="M2143" s="170"/>
      <c r="N2143" s="170"/>
      <c r="O2143" s="176"/>
      <c r="P2143" s="173"/>
      <c r="Q2143" s="177"/>
      <c r="R2143" s="178"/>
      <c r="S2143" s="178"/>
      <c r="T2143" s="179"/>
      <c r="U2143" s="179"/>
      <c r="V2143" s="179"/>
      <c r="W2143" s="176"/>
      <c r="X2143" s="180"/>
      <c r="Y2143" s="170"/>
      <c r="Z2143" s="170"/>
    </row>
    <row r="2144" spans="1:26">
      <c r="A2144" s="170"/>
      <c r="B2144" s="171"/>
      <c r="C2144" s="170"/>
      <c r="D2144" s="172"/>
      <c r="E2144" s="172"/>
      <c r="F2144" s="173"/>
      <c r="G2144" s="172"/>
      <c r="H2144" s="172"/>
      <c r="I2144" s="174"/>
      <c r="J2144" s="174"/>
      <c r="K2144" s="175"/>
      <c r="L2144" s="175"/>
      <c r="M2144" s="170"/>
      <c r="N2144" s="170"/>
      <c r="O2144" s="176"/>
      <c r="P2144" s="173"/>
      <c r="Q2144" s="177"/>
      <c r="R2144" s="178"/>
      <c r="S2144" s="178"/>
      <c r="T2144" s="179"/>
      <c r="U2144" s="179"/>
      <c r="V2144" s="179"/>
      <c r="W2144" s="176"/>
      <c r="X2144" s="180"/>
      <c r="Y2144" s="170"/>
      <c r="Z2144" s="170"/>
    </row>
    <row r="2145" spans="1:26">
      <c r="A2145" s="170"/>
      <c r="B2145" s="171"/>
      <c r="C2145" s="170"/>
      <c r="D2145" s="172"/>
      <c r="E2145" s="172"/>
      <c r="F2145" s="173"/>
      <c r="G2145" s="172"/>
      <c r="H2145" s="172"/>
      <c r="I2145" s="174"/>
      <c r="J2145" s="174"/>
      <c r="K2145" s="175"/>
      <c r="L2145" s="175"/>
      <c r="M2145" s="170"/>
      <c r="N2145" s="170"/>
      <c r="O2145" s="176"/>
      <c r="P2145" s="173"/>
      <c r="Q2145" s="177"/>
      <c r="R2145" s="178"/>
      <c r="S2145" s="178"/>
      <c r="T2145" s="179"/>
      <c r="U2145" s="179"/>
      <c r="V2145" s="179"/>
      <c r="W2145" s="176"/>
      <c r="X2145" s="180"/>
      <c r="Y2145" s="170"/>
      <c r="Z2145" s="170"/>
    </row>
    <row r="2146" spans="1:26">
      <c r="A2146" s="170"/>
      <c r="B2146" s="171"/>
      <c r="C2146" s="170"/>
      <c r="D2146" s="172"/>
      <c r="E2146" s="172"/>
      <c r="F2146" s="173"/>
      <c r="G2146" s="172"/>
      <c r="H2146" s="172"/>
      <c r="I2146" s="174"/>
      <c r="J2146" s="174"/>
      <c r="K2146" s="175"/>
      <c r="L2146" s="175"/>
      <c r="M2146" s="170"/>
      <c r="N2146" s="170"/>
      <c r="O2146" s="176"/>
      <c r="P2146" s="173"/>
      <c r="Q2146" s="177"/>
      <c r="R2146" s="178"/>
      <c r="S2146" s="178"/>
      <c r="T2146" s="179"/>
      <c r="U2146" s="179"/>
      <c r="V2146" s="179"/>
      <c r="W2146" s="176"/>
      <c r="X2146" s="180"/>
      <c r="Y2146" s="170"/>
      <c r="Z2146" s="170"/>
    </row>
    <row r="2147" spans="1:26">
      <c r="A2147" s="170"/>
      <c r="B2147" s="171"/>
      <c r="C2147" s="170"/>
      <c r="D2147" s="172"/>
      <c r="E2147" s="172"/>
      <c r="F2147" s="173"/>
      <c r="G2147" s="172"/>
      <c r="H2147" s="172"/>
      <c r="I2147" s="174"/>
      <c r="J2147" s="174"/>
      <c r="K2147" s="175"/>
      <c r="L2147" s="175"/>
      <c r="M2147" s="170"/>
      <c r="N2147" s="170"/>
      <c r="O2147" s="176"/>
      <c r="P2147" s="173"/>
      <c r="Q2147" s="177"/>
      <c r="R2147" s="178"/>
      <c r="S2147" s="178"/>
      <c r="T2147" s="179"/>
      <c r="U2147" s="179"/>
      <c r="V2147" s="179"/>
      <c r="W2147" s="176"/>
      <c r="X2147" s="180"/>
      <c r="Y2147" s="170"/>
      <c r="Z2147" s="170"/>
    </row>
    <row r="2148" spans="1:26">
      <c r="A2148" s="170"/>
      <c r="B2148" s="171"/>
      <c r="C2148" s="170"/>
      <c r="D2148" s="172"/>
      <c r="E2148" s="172"/>
      <c r="F2148" s="173"/>
      <c r="G2148" s="172"/>
      <c r="H2148" s="172"/>
      <c r="I2148" s="174"/>
      <c r="J2148" s="174"/>
      <c r="K2148" s="175"/>
      <c r="L2148" s="175"/>
      <c r="M2148" s="170"/>
      <c r="N2148" s="170"/>
      <c r="O2148" s="176"/>
      <c r="P2148" s="173"/>
      <c r="Q2148" s="177"/>
      <c r="R2148" s="178"/>
      <c r="S2148" s="178"/>
      <c r="T2148" s="179"/>
      <c r="U2148" s="179"/>
      <c r="V2148" s="179"/>
      <c r="W2148" s="176"/>
      <c r="X2148" s="180"/>
      <c r="Y2148" s="170"/>
      <c r="Z2148" s="170"/>
    </row>
    <row r="2149" spans="1:26">
      <c r="A2149" s="170"/>
      <c r="B2149" s="171"/>
      <c r="C2149" s="170"/>
      <c r="D2149" s="172"/>
      <c r="E2149" s="172"/>
      <c r="F2149" s="173"/>
      <c r="G2149" s="172"/>
      <c r="H2149" s="172"/>
      <c r="I2149" s="174"/>
      <c r="J2149" s="174"/>
      <c r="K2149" s="175"/>
      <c r="L2149" s="175"/>
      <c r="M2149" s="170"/>
      <c r="N2149" s="170"/>
      <c r="O2149" s="176"/>
      <c r="P2149" s="173"/>
      <c r="Q2149" s="177"/>
      <c r="R2149" s="178"/>
      <c r="S2149" s="178"/>
      <c r="T2149" s="179"/>
      <c r="U2149" s="179"/>
      <c r="V2149" s="179"/>
      <c r="W2149" s="176"/>
      <c r="X2149" s="180"/>
      <c r="Y2149" s="170"/>
      <c r="Z2149" s="170"/>
    </row>
    <row r="2150" spans="1:26">
      <c r="A2150" s="170"/>
      <c r="B2150" s="171"/>
      <c r="C2150" s="170"/>
      <c r="D2150" s="172"/>
      <c r="E2150" s="172"/>
      <c r="F2150" s="173"/>
      <c r="G2150" s="172"/>
      <c r="H2150" s="172"/>
      <c r="I2150" s="174"/>
      <c r="J2150" s="174"/>
      <c r="K2150" s="175"/>
      <c r="L2150" s="175"/>
      <c r="M2150" s="170"/>
      <c r="N2150" s="170"/>
      <c r="O2150" s="176"/>
      <c r="P2150" s="173"/>
      <c r="Q2150" s="177"/>
      <c r="R2150" s="178"/>
      <c r="S2150" s="178"/>
      <c r="T2150" s="179"/>
      <c r="U2150" s="179"/>
      <c r="V2150" s="179"/>
      <c r="W2150" s="176"/>
      <c r="X2150" s="180"/>
      <c r="Y2150" s="170"/>
      <c r="Z2150" s="170"/>
    </row>
    <row r="2151" spans="1:26">
      <c r="A2151" s="170"/>
      <c r="B2151" s="171"/>
      <c r="C2151" s="170"/>
      <c r="D2151" s="172"/>
      <c r="E2151" s="172"/>
      <c r="F2151" s="173"/>
      <c r="G2151" s="172"/>
      <c r="H2151" s="172"/>
      <c r="I2151" s="174"/>
      <c r="J2151" s="174"/>
      <c r="K2151" s="175"/>
      <c r="L2151" s="175"/>
      <c r="M2151" s="170"/>
      <c r="N2151" s="170"/>
      <c r="O2151" s="176"/>
      <c r="P2151" s="173"/>
      <c r="Q2151" s="177"/>
      <c r="R2151" s="178"/>
      <c r="S2151" s="178"/>
      <c r="T2151" s="179"/>
      <c r="U2151" s="179"/>
      <c r="V2151" s="179"/>
      <c r="W2151" s="176"/>
      <c r="X2151" s="180"/>
      <c r="Y2151" s="170"/>
      <c r="Z2151" s="170"/>
    </row>
    <row r="2152" spans="1:26">
      <c r="A2152" s="170"/>
      <c r="B2152" s="171"/>
      <c r="C2152" s="170"/>
      <c r="D2152" s="172"/>
      <c r="E2152" s="172"/>
      <c r="F2152" s="173"/>
      <c r="G2152" s="172"/>
      <c r="H2152" s="172"/>
      <c r="I2152" s="174"/>
      <c r="J2152" s="174"/>
      <c r="K2152" s="175"/>
      <c r="L2152" s="175"/>
      <c r="M2152" s="170"/>
      <c r="N2152" s="170"/>
      <c r="O2152" s="176"/>
      <c r="P2152" s="173"/>
      <c r="Q2152" s="177"/>
      <c r="R2152" s="178"/>
      <c r="S2152" s="178"/>
      <c r="T2152" s="179"/>
      <c r="U2152" s="179"/>
      <c r="V2152" s="179"/>
      <c r="W2152" s="176"/>
      <c r="X2152" s="180"/>
      <c r="Y2152" s="170"/>
      <c r="Z2152" s="170"/>
    </row>
    <row r="2153" spans="1:26">
      <c r="A2153" s="170"/>
      <c r="B2153" s="171"/>
      <c r="C2153" s="170"/>
      <c r="D2153" s="172"/>
      <c r="E2153" s="172"/>
      <c r="F2153" s="173"/>
      <c r="G2153" s="172"/>
      <c r="H2153" s="172"/>
      <c r="I2153" s="174"/>
      <c r="J2153" s="174"/>
      <c r="K2153" s="175"/>
      <c r="L2153" s="175"/>
      <c r="M2153" s="170"/>
      <c r="N2153" s="170"/>
      <c r="O2153" s="176"/>
      <c r="P2153" s="173"/>
      <c r="Q2153" s="177"/>
      <c r="R2153" s="178"/>
      <c r="S2153" s="178"/>
      <c r="T2153" s="179"/>
      <c r="U2153" s="179"/>
      <c r="V2153" s="179"/>
      <c r="W2153" s="176"/>
      <c r="X2153" s="180"/>
      <c r="Y2153" s="170"/>
      <c r="Z2153" s="170"/>
    </row>
    <row r="2154" spans="1:26">
      <c r="A2154" s="170"/>
      <c r="B2154" s="171"/>
      <c r="C2154" s="170"/>
      <c r="D2154" s="172"/>
      <c r="E2154" s="172"/>
      <c r="F2154" s="173"/>
      <c r="G2154" s="172"/>
      <c r="H2154" s="172"/>
      <c r="I2154" s="174"/>
      <c r="J2154" s="174"/>
      <c r="K2154" s="175"/>
      <c r="L2154" s="175"/>
      <c r="M2154" s="170"/>
      <c r="N2154" s="170"/>
      <c r="O2154" s="176"/>
      <c r="P2154" s="173"/>
      <c r="Q2154" s="177"/>
      <c r="R2154" s="178"/>
      <c r="S2154" s="178"/>
      <c r="T2154" s="179"/>
      <c r="U2154" s="179"/>
      <c r="V2154" s="179"/>
      <c r="W2154" s="176"/>
      <c r="X2154" s="180"/>
      <c r="Y2154" s="170"/>
      <c r="Z2154" s="170"/>
    </row>
    <row r="2155" spans="1:26">
      <c r="A2155" s="170"/>
      <c r="B2155" s="171"/>
      <c r="C2155" s="170"/>
      <c r="D2155" s="172"/>
      <c r="E2155" s="172"/>
      <c r="F2155" s="173"/>
      <c r="G2155" s="172"/>
      <c r="H2155" s="172"/>
      <c r="I2155" s="174"/>
      <c r="J2155" s="174"/>
      <c r="K2155" s="175"/>
      <c r="L2155" s="175"/>
      <c r="M2155" s="170"/>
      <c r="N2155" s="170"/>
      <c r="O2155" s="176"/>
      <c r="P2155" s="173"/>
      <c r="Q2155" s="177"/>
      <c r="R2155" s="178"/>
      <c r="S2155" s="178"/>
      <c r="T2155" s="179"/>
      <c r="U2155" s="179"/>
      <c r="V2155" s="179"/>
      <c r="W2155" s="176"/>
      <c r="X2155" s="180"/>
      <c r="Y2155" s="170"/>
      <c r="Z2155" s="170"/>
    </row>
    <row r="2156" spans="1:26">
      <c r="A2156" s="170"/>
      <c r="B2156" s="171"/>
      <c r="C2156" s="170"/>
      <c r="D2156" s="172"/>
      <c r="E2156" s="172"/>
      <c r="F2156" s="173"/>
      <c r="G2156" s="172"/>
      <c r="H2156" s="172"/>
      <c r="I2156" s="174"/>
      <c r="J2156" s="174"/>
      <c r="K2156" s="175"/>
      <c r="L2156" s="175"/>
      <c r="M2156" s="170"/>
      <c r="N2156" s="170"/>
      <c r="O2156" s="176"/>
      <c r="P2156" s="173"/>
      <c r="Q2156" s="177"/>
      <c r="R2156" s="178"/>
      <c r="S2156" s="178"/>
      <c r="T2156" s="179"/>
      <c r="U2156" s="179"/>
      <c r="V2156" s="179"/>
      <c r="W2156" s="176"/>
      <c r="X2156" s="180"/>
      <c r="Y2156" s="170"/>
      <c r="Z2156" s="170"/>
    </row>
    <row r="2157" spans="1:26">
      <c r="A2157" s="170"/>
      <c r="B2157" s="171"/>
      <c r="C2157" s="170"/>
      <c r="D2157" s="172"/>
      <c r="E2157" s="172"/>
      <c r="F2157" s="173"/>
      <c r="G2157" s="172"/>
      <c r="H2157" s="172"/>
      <c r="I2157" s="174"/>
      <c r="J2157" s="174"/>
      <c r="K2157" s="175"/>
      <c r="L2157" s="175"/>
      <c r="M2157" s="170"/>
      <c r="N2157" s="170"/>
      <c r="O2157" s="176"/>
      <c r="P2157" s="173"/>
      <c r="Q2157" s="177"/>
      <c r="R2157" s="178"/>
      <c r="S2157" s="178"/>
      <c r="T2157" s="179"/>
      <c r="U2157" s="179"/>
      <c r="V2157" s="179"/>
      <c r="W2157" s="176"/>
      <c r="X2157" s="180"/>
      <c r="Y2157" s="170"/>
      <c r="Z2157" s="170"/>
    </row>
    <row r="2158" spans="1:26">
      <c r="A2158" s="170"/>
      <c r="B2158" s="171"/>
      <c r="C2158" s="170"/>
      <c r="D2158" s="172"/>
      <c r="E2158" s="172"/>
      <c r="F2158" s="173"/>
      <c r="G2158" s="172"/>
      <c r="H2158" s="172"/>
      <c r="I2158" s="174"/>
      <c r="J2158" s="174"/>
      <c r="K2158" s="175"/>
      <c r="L2158" s="175"/>
      <c r="M2158" s="170"/>
      <c r="N2158" s="170"/>
      <c r="O2158" s="176"/>
      <c r="P2158" s="173"/>
      <c r="Q2158" s="177"/>
      <c r="R2158" s="178"/>
      <c r="S2158" s="178"/>
      <c r="T2158" s="179"/>
      <c r="U2158" s="179"/>
      <c r="V2158" s="179"/>
      <c r="W2158" s="176"/>
      <c r="X2158" s="180"/>
      <c r="Y2158" s="170"/>
      <c r="Z2158" s="170"/>
    </row>
    <row r="2159" spans="1:26">
      <c r="A2159" s="170"/>
      <c r="B2159" s="171"/>
      <c r="C2159" s="170"/>
      <c r="D2159" s="172"/>
      <c r="E2159" s="172"/>
      <c r="F2159" s="173"/>
      <c r="G2159" s="172"/>
      <c r="H2159" s="172"/>
      <c r="I2159" s="174"/>
      <c r="J2159" s="174"/>
      <c r="K2159" s="175"/>
      <c r="L2159" s="175"/>
      <c r="M2159" s="170"/>
      <c r="N2159" s="170"/>
      <c r="O2159" s="176"/>
      <c r="P2159" s="173"/>
      <c r="Q2159" s="177"/>
      <c r="R2159" s="178"/>
      <c r="S2159" s="178"/>
      <c r="T2159" s="179"/>
      <c r="U2159" s="179"/>
      <c r="V2159" s="179"/>
      <c r="W2159" s="176"/>
      <c r="X2159" s="180"/>
      <c r="Y2159" s="170"/>
      <c r="Z2159" s="170"/>
    </row>
    <row r="2160" spans="1:26">
      <c r="A2160" s="170"/>
      <c r="B2160" s="171"/>
      <c r="C2160" s="170"/>
      <c r="D2160" s="172"/>
      <c r="E2160" s="172"/>
      <c r="F2160" s="173"/>
      <c r="G2160" s="172"/>
      <c r="H2160" s="172"/>
      <c r="I2160" s="174"/>
      <c r="J2160" s="174"/>
      <c r="K2160" s="175"/>
      <c r="L2160" s="175"/>
      <c r="M2160" s="170"/>
      <c r="N2160" s="170"/>
      <c r="O2160" s="176"/>
      <c r="P2160" s="173"/>
      <c r="Q2160" s="177"/>
      <c r="R2160" s="178"/>
      <c r="S2160" s="178"/>
      <c r="T2160" s="179"/>
      <c r="U2160" s="179"/>
      <c r="V2160" s="179"/>
      <c r="W2160" s="176"/>
      <c r="X2160" s="180"/>
      <c r="Y2160" s="170"/>
      <c r="Z2160" s="170"/>
    </row>
    <row r="2161" spans="1:26">
      <c r="A2161" s="170"/>
      <c r="B2161" s="171"/>
      <c r="C2161" s="170"/>
      <c r="D2161" s="172"/>
      <c r="E2161" s="172"/>
      <c r="F2161" s="173"/>
      <c r="G2161" s="172"/>
      <c r="H2161" s="172"/>
      <c r="I2161" s="174"/>
      <c r="J2161" s="174"/>
      <c r="K2161" s="175"/>
      <c r="L2161" s="175"/>
      <c r="M2161" s="170"/>
      <c r="N2161" s="170"/>
      <c r="O2161" s="176"/>
      <c r="P2161" s="173"/>
      <c r="Q2161" s="177"/>
      <c r="R2161" s="178"/>
      <c r="S2161" s="178"/>
      <c r="T2161" s="179"/>
      <c r="U2161" s="179"/>
      <c r="V2161" s="179"/>
      <c r="W2161" s="176"/>
      <c r="X2161" s="180"/>
      <c r="Y2161" s="170"/>
      <c r="Z2161" s="170"/>
    </row>
    <row r="2162" spans="1:26">
      <c r="A2162" s="170"/>
      <c r="B2162" s="171"/>
      <c r="C2162" s="170"/>
      <c r="D2162" s="172"/>
      <c r="E2162" s="172"/>
      <c r="F2162" s="173"/>
      <c r="G2162" s="172"/>
      <c r="H2162" s="172"/>
      <c r="I2162" s="174"/>
      <c r="J2162" s="174"/>
      <c r="K2162" s="175"/>
      <c r="L2162" s="175"/>
      <c r="M2162" s="170"/>
      <c r="N2162" s="170"/>
      <c r="O2162" s="176"/>
      <c r="P2162" s="173"/>
      <c r="Q2162" s="177"/>
      <c r="R2162" s="178"/>
      <c r="S2162" s="178"/>
      <c r="T2162" s="179"/>
      <c r="U2162" s="179"/>
      <c r="V2162" s="179"/>
      <c r="W2162" s="176"/>
      <c r="X2162" s="180"/>
      <c r="Y2162" s="170"/>
      <c r="Z2162" s="170"/>
    </row>
    <row r="2163" spans="1:26">
      <c r="A2163" s="170"/>
      <c r="B2163" s="171"/>
      <c r="C2163" s="170"/>
      <c r="D2163" s="172"/>
      <c r="E2163" s="172"/>
      <c r="F2163" s="173"/>
      <c r="G2163" s="172"/>
      <c r="H2163" s="172"/>
      <c r="I2163" s="174"/>
      <c r="J2163" s="174"/>
      <c r="K2163" s="175"/>
      <c r="L2163" s="175"/>
      <c r="M2163" s="170"/>
      <c r="N2163" s="170"/>
      <c r="O2163" s="176"/>
      <c r="P2163" s="173"/>
      <c r="Q2163" s="177"/>
      <c r="R2163" s="178"/>
      <c r="S2163" s="178"/>
      <c r="T2163" s="179"/>
      <c r="U2163" s="179"/>
      <c r="V2163" s="179"/>
      <c r="W2163" s="176"/>
      <c r="X2163" s="180"/>
      <c r="Y2163" s="170"/>
      <c r="Z2163" s="170"/>
    </row>
    <row r="2164" spans="1:26">
      <c r="A2164" s="170"/>
      <c r="B2164" s="171"/>
      <c r="C2164" s="170"/>
      <c r="D2164" s="172"/>
      <c r="E2164" s="172"/>
      <c r="F2164" s="173"/>
      <c r="G2164" s="172"/>
      <c r="H2164" s="172"/>
      <c r="I2164" s="174"/>
      <c r="J2164" s="174"/>
      <c r="K2164" s="175"/>
      <c r="L2164" s="175"/>
      <c r="M2164" s="170"/>
      <c r="N2164" s="170"/>
      <c r="O2164" s="176"/>
      <c r="P2164" s="173"/>
      <c r="Q2164" s="177"/>
      <c r="R2164" s="178"/>
      <c r="S2164" s="178"/>
      <c r="T2164" s="179"/>
      <c r="U2164" s="179"/>
      <c r="V2164" s="179"/>
      <c r="W2164" s="176"/>
      <c r="X2164" s="180"/>
      <c r="Y2164" s="170"/>
      <c r="Z2164" s="170"/>
    </row>
    <row r="2165" spans="1:26">
      <c r="A2165" s="170"/>
      <c r="B2165" s="171"/>
      <c r="C2165" s="170"/>
      <c r="D2165" s="172"/>
      <c r="E2165" s="172"/>
      <c r="F2165" s="173"/>
      <c r="G2165" s="172"/>
      <c r="H2165" s="172"/>
      <c r="I2165" s="174"/>
      <c r="J2165" s="174"/>
      <c r="K2165" s="175"/>
      <c r="L2165" s="175"/>
      <c r="M2165" s="170"/>
      <c r="N2165" s="170"/>
      <c r="O2165" s="176"/>
      <c r="P2165" s="173"/>
      <c r="Q2165" s="177"/>
      <c r="R2165" s="178"/>
      <c r="S2165" s="178"/>
      <c r="T2165" s="179"/>
      <c r="U2165" s="179"/>
      <c r="V2165" s="179"/>
      <c r="W2165" s="176"/>
      <c r="X2165" s="180"/>
      <c r="Y2165" s="170"/>
      <c r="Z2165" s="170"/>
    </row>
    <row r="2166" spans="1:26">
      <c r="A2166" s="170"/>
      <c r="B2166" s="171"/>
      <c r="C2166" s="170"/>
      <c r="D2166" s="172"/>
      <c r="E2166" s="172"/>
      <c r="F2166" s="173"/>
      <c r="G2166" s="172"/>
      <c r="H2166" s="172"/>
      <c r="I2166" s="174"/>
      <c r="J2166" s="174"/>
      <c r="K2166" s="175"/>
      <c r="L2166" s="175"/>
      <c r="M2166" s="170"/>
      <c r="N2166" s="170"/>
      <c r="O2166" s="176"/>
      <c r="P2166" s="173"/>
      <c r="Q2166" s="177"/>
      <c r="R2166" s="178"/>
      <c r="S2166" s="178"/>
      <c r="T2166" s="179"/>
      <c r="U2166" s="179"/>
      <c r="V2166" s="179"/>
      <c r="W2166" s="176"/>
      <c r="X2166" s="180"/>
      <c r="Y2166" s="170"/>
      <c r="Z2166" s="170"/>
    </row>
    <row r="2167" spans="1:26">
      <c r="A2167" s="170"/>
      <c r="B2167" s="171"/>
      <c r="C2167" s="170"/>
      <c r="D2167" s="172"/>
      <c r="E2167" s="172"/>
      <c r="F2167" s="173"/>
      <c r="G2167" s="172"/>
      <c r="H2167" s="172"/>
      <c r="I2167" s="174"/>
      <c r="J2167" s="174"/>
      <c r="K2167" s="175"/>
      <c r="L2167" s="175"/>
      <c r="M2167" s="170"/>
      <c r="N2167" s="170"/>
      <c r="O2167" s="176"/>
      <c r="P2167" s="173"/>
      <c r="Q2167" s="177"/>
      <c r="R2167" s="178"/>
      <c r="S2167" s="178"/>
      <c r="T2167" s="179"/>
      <c r="U2167" s="179"/>
      <c r="V2167" s="179"/>
      <c r="W2167" s="176"/>
      <c r="X2167" s="180"/>
      <c r="Y2167" s="170"/>
      <c r="Z2167" s="170"/>
    </row>
    <row r="2168" spans="1:26">
      <c r="A2168" s="170"/>
      <c r="B2168" s="171"/>
      <c r="C2168" s="170"/>
      <c r="D2168" s="172"/>
      <c r="E2168" s="172"/>
      <c r="F2168" s="173"/>
      <c r="G2168" s="172"/>
      <c r="H2168" s="172"/>
      <c r="I2168" s="174"/>
      <c r="J2168" s="174"/>
      <c r="K2168" s="175"/>
      <c r="L2168" s="175"/>
      <c r="M2168" s="170"/>
      <c r="N2168" s="170"/>
      <c r="O2168" s="176"/>
      <c r="P2168" s="173"/>
      <c r="Q2168" s="177"/>
      <c r="R2168" s="178"/>
      <c r="S2168" s="178"/>
      <c r="T2168" s="179"/>
      <c r="U2168" s="179"/>
      <c r="V2168" s="179"/>
      <c r="W2168" s="176"/>
      <c r="X2168" s="180"/>
      <c r="Y2168" s="170"/>
      <c r="Z2168" s="170"/>
    </row>
    <row r="2169" spans="1:26">
      <c r="A2169" s="170"/>
      <c r="B2169" s="171"/>
      <c r="C2169" s="170"/>
      <c r="D2169" s="172"/>
      <c r="E2169" s="172"/>
      <c r="F2169" s="173"/>
      <c r="G2169" s="172"/>
      <c r="H2169" s="172"/>
      <c r="I2169" s="174"/>
      <c r="J2169" s="174"/>
      <c r="K2169" s="175"/>
      <c r="L2169" s="175"/>
      <c r="M2169" s="170"/>
      <c r="N2169" s="170"/>
      <c r="O2169" s="176"/>
      <c r="P2169" s="173"/>
      <c r="Q2169" s="177"/>
      <c r="R2169" s="178"/>
      <c r="S2169" s="178"/>
      <c r="T2169" s="179"/>
      <c r="U2169" s="179"/>
      <c r="V2169" s="179"/>
      <c r="W2169" s="176"/>
      <c r="X2169" s="180"/>
      <c r="Y2169" s="170"/>
      <c r="Z2169" s="170"/>
    </row>
    <row r="2170" spans="1:26">
      <c r="A2170" s="170"/>
      <c r="B2170" s="171"/>
      <c r="C2170" s="170"/>
      <c r="D2170" s="172"/>
      <c r="E2170" s="172"/>
      <c r="F2170" s="173"/>
      <c r="G2170" s="172"/>
      <c r="H2170" s="172"/>
      <c r="I2170" s="174"/>
      <c r="J2170" s="174"/>
      <c r="K2170" s="175"/>
      <c r="L2170" s="175"/>
      <c r="M2170" s="170"/>
      <c r="N2170" s="170"/>
      <c r="O2170" s="176"/>
      <c r="P2170" s="173"/>
      <c r="Q2170" s="177"/>
      <c r="R2170" s="178"/>
      <c r="S2170" s="178"/>
      <c r="T2170" s="179"/>
      <c r="U2170" s="179"/>
      <c r="V2170" s="179"/>
      <c r="W2170" s="176"/>
      <c r="X2170" s="180"/>
      <c r="Y2170" s="170"/>
      <c r="Z2170" s="170"/>
    </row>
    <row r="2171" spans="1:26">
      <c r="A2171" s="170"/>
      <c r="B2171" s="171"/>
      <c r="C2171" s="170"/>
      <c r="D2171" s="172"/>
      <c r="E2171" s="172"/>
      <c r="F2171" s="173"/>
      <c r="G2171" s="172"/>
      <c r="H2171" s="172"/>
      <c r="I2171" s="174"/>
      <c r="J2171" s="174"/>
      <c r="K2171" s="175"/>
      <c r="L2171" s="175"/>
      <c r="M2171" s="170"/>
      <c r="N2171" s="170"/>
      <c r="O2171" s="176"/>
      <c r="P2171" s="173"/>
      <c r="Q2171" s="177"/>
      <c r="R2171" s="178"/>
      <c r="S2171" s="178"/>
      <c r="T2171" s="179"/>
      <c r="U2171" s="179"/>
      <c r="V2171" s="179"/>
      <c r="W2171" s="176"/>
      <c r="X2171" s="180"/>
      <c r="Y2171" s="170"/>
      <c r="Z2171" s="170"/>
    </row>
    <row r="2172" spans="1:26">
      <c r="A2172" s="170"/>
      <c r="B2172" s="171"/>
      <c r="C2172" s="170"/>
      <c r="D2172" s="172"/>
      <c r="E2172" s="172"/>
      <c r="F2172" s="173"/>
      <c r="G2172" s="172"/>
      <c r="H2172" s="172"/>
      <c r="I2172" s="174"/>
      <c r="J2172" s="174"/>
      <c r="K2172" s="175"/>
      <c r="L2172" s="175"/>
      <c r="M2172" s="170"/>
      <c r="N2172" s="170"/>
      <c r="O2172" s="176"/>
      <c r="P2172" s="173"/>
      <c r="Q2172" s="177"/>
      <c r="R2172" s="178"/>
      <c r="S2172" s="178"/>
      <c r="T2172" s="179"/>
      <c r="U2172" s="179"/>
      <c r="V2172" s="179"/>
      <c r="W2172" s="176"/>
      <c r="X2172" s="180"/>
      <c r="Y2172" s="170"/>
      <c r="Z2172" s="170"/>
    </row>
    <row r="2173" spans="1:26">
      <c r="A2173" s="170"/>
      <c r="B2173" s="171"/>
      <c r="C2173" s="170"/>
      <c r="D2173" s="172"/>
      <c r="E2173" s="172"/>
      <c r="F2173" s="173"/>
      <c r="G2173" s="172"/>
      <c r="H2173" s="172"/>
      <c r="I2173" s="174"/>
      <c r="J2173" s="174"/>
      <c r="K2173" s="175"/>
      <c r="L2173" s="175"/>
      <c r="M2173" s="170"/>
      <c r="N2173" s="170"/>
      <c r="O2173" s="176"/>
      <c r="P2173" s="173"/>
      <c r="Q2173" s="177"/>
      <c r="R2173" s="178"/>
      <c r="S2173" s="178"/>
      <c r="T2173" s="179"/>
      <c r="U2173" s="179"/>
      <c r="V2173" s="179"/>
      <c r="W2173" s="176"/>
      <c r="X2173" s="180"/>
      <c r="Y2173" s="170"/>
      <c r="Z2173" s="170"/>
    </row>
    <row r="2174" spans="1:26">
      <c r="A2174" s="170"/>
      <c r="B2174" s="171"/>
      <c r="C2174" s="170"/>
      <c r="D2174" s="172"/>
      <c r="E2174" s="172"/>
      <c r="F2174" s="173"/>
      <c r="G2174" s="172"/>
      <c r="H2174" s="172"/>
      <c r="I2174" s="174"/>
      <c r="J2174" s="174"/>
      <c r="K2174" s="175"/>
      <c r="L2174" s="175"/>
      <c r="M2174" s="170"/>
      <c r="N2174" s="170"/>
      <c r="O2174" s="176"/>
      <c r="P2174" s="173"/>
      <c r="Q2174" s="177"/>
      <c r="R2174" s="178"/>
      <c r="S2174" s="178"/>
      <c r="T2174" s="179"/>
      <c r="U2174" s="179"/>
      <c r="V2174" s="179"/>
      <c r="W2174" s="176"/>
      <c r="X2174" s="180"/>
      <c r="Y2174" s="170"/>
      <c r="Z2174" s="170"/>
    </row>
    <row r="2175" spans="1:26">
      <c r="A2175" s="170"/>
      <c r="B2175" s="171"/>
      <c r="C2175" s="170"/>
      <c r="D2175" s="172"/>
      <c r="E2175" s="172"/>
      <c r="F2175" s="173"/>
      <c r="G2175" s="172"/>
      <c r="H2175" s="172"/>
      <c r="I2175" s="174"/>
      <c r="J2175" s="174"/>
      <c r="K2175" s="175"/>
      <c r="L2175" s="175"/>
      <c r="M2175" s="170"/>
      <c r="N2175" s="170"/>
      <c r="O2175" s="176"/>
      <c r="P2175" s="173"/>
      <c r="Q2175" s="177"/>
      <c r="R2175" s="178"/>
      <c r="S2175" s="178"/>
      <c r="T2175" s="179"/>
      <c r="U2175" s="179"/>
      <c r="V2175" s="179"/>
      <c r="W2175" s="176"/>
      <c r="X2175" s="180"/>
      <c r="Y2175" s="170"/>
      <c r="Z2175" s="170"/>
    </row>
    <row r="2176" spans="1:26">
      <c r="A2176" s="170"/>
      <c r="B2176" s="171"/>
      <c r="C2176" s="170"/>
      <c r="D2176" s="172"/>
      <c r="E2176" s="172"/>
      <c r="F2176" s="173"/>
      <c r="G2176" s="172"/>
      <c r="H2176" s="172"/>
      <c r="I2176" s="174"/>
      <c r="J2176" s="174"/>
      <c r="K2176" s="175"/>
      <c r="L2176" s="175"/>
      <c r="M2176" s="170"/>
      <c r="N2176" s="170"/>
      <c r="O2176" s="176"/>
      <c r="P2176" s="173"/>
      <c r="Q2176" s="177"/>
      <c r="R2176" s="178"/>
      <c r="S2176" s="178"/>
      <c r="T2176" s="179"/>
      <c r="U2176" s="179"/>
      <c r="V2176" s="179"/>
      <c r="W2176" s="176"/>
      <c r="X2176" s="180"/>
      <c r="Y2176" s="170"/>
      <c r="Z2176" s="170"/>
    </row>
    <row r="2177" spans="1:26">
      <c r="A2177" s="170"/>
      <c r="B2177" s="171"/>
      <c r="C2177" s="170"/>
      <c r="D2177" s="172"/>
      <c r="E2177" s="172"/>
      <c r="F2177" s="173"/>
      <c r="G2177" s="172"/>
      <c r="H2177" s="172"/>
      <c r="I2177" s="174"/>
      <c r="J2177" s="174"/>
      <c r="K2177" s="175"/>
      <c r="L2177" s="175"/>
      <c r="M2177" s="170"/>
      <c r="N2177" s="170"/>
      <c r="O2177" s="176"/>
      <c r="P2177" s="173"/>
      <c r="Q2177" s="177"/>
      <c r="R2177" s="178"/>
      <c r="S2177" s="178"/>
      <c r="T2177" s="179"/>
      <c r="U2177" s="179"/>
      <c r="V2177" s="179"/>
      <c r="W2177" s="176"/>
      <c r="X2177" s="180"/>
      <c r="Y2177" s="170"/>
      <c r="Z2177" s="170"/>
    </row>
    <row r="2178" spans="1:26">
      <c r="A2178" s="170"/>
      <c r="B2178" s="171"/>
      <c r="C2178" s="170"/>
      <c r="D2178" s="172"/>
      <c r="E2178" s="172"/>
      <c r="F2178" s="173"/>
      <c r="G2178" s="172"/>
      <c r="H2178" s="172"/>
      <c r="I2178" s="174"/>
      <c r="J2178" s="174"/>
      <c r="K2178" s="175"/>
      <c r="L2178" s="175"/>
      <c r="M2178" s="170"/>
      <c r="N2178" s="170"/>
      <c r="O2178" s="176"/>
      <c r="P2178" s="173"/>
      <c r="Q2178" s="177"/>
      <c r="R2178" s="178"/>
      <c r="S2178" s="178"/>
      <c r="T2178" s="179"/>
      <c r="U2178" s="179"/>
      <c r="V2178" s="179"/>
      <c r="W2178" s="176"/>
      <c r="X2178" s="180"/>
      <c r="Y2178" s="170"/>
      <c r="Z2178" s="170"/>
    </row>
    <row r="2179" spans="1:26">
      <c r="A2179" s="170"/>
      <c r="B2179" s="171"/>
      <c r="C2179" s="170"/>
      <c r="D2179" s="172"/>
      <c r="E2179" s="172"/>
      <c r="F2179" s="173"/>
      <c r="G2179" s="172"/>
      <c r="H2179" s="172"/>
      <c r="I2179" s="174"/>
      <c r="J2179" s="174"/>
      <c r="K2179" s="175"/>
      <c r="L2179" s="175"/>
      <c r="M2179" s="170"/>
      <c r="N2179" s="170"/>
      <c r="O2179" s="176"/>
      <c r="P2179" s="173"/>
      <c r="Q2179" s="177"/>
      <c r="R2179" s="178"/>
      <c r="S2179" s="178"/>
      <c r="T2179" s="179"/>
      <c r="U2179" s="179"/>
      <c r="V2179" s="179"/>
      <c r="W2179" s="176"/>
      <c r="X2179" s="180"/>
      <c r="Y2179" s="170"/>
      <c r="Z2179" s="170"/>
    </row>
    <row r="2180" spans="1:26">
      <c r="A2180" s="170"/>
      <c r="B2180" s="171"/>
      <c r="C2180" s="170"/>
      <c r="D2180" s="172"/>
      <c r="E2180" s="172"/>
      <c r="F2180" s="173"/>
      <c r="G2180" s="172"/>
      <c r="H2180" s="172"/>
      <c r="I2180" s="174"/>
      <c r="J2180" s="174"/>
      <c r="K2180" s="175"/>
      <c r="L2180" s="175"/>
      <c r="M2180" s="170"/>
      <c r="N2180" s="170"/>
      <c r="O2180" s="176"/>
      <c r="P2180" s="173"/>
      <c r="Q2180" s="177"/>
      <c r="R2180" s="178"/>
      <c r="S2180" s="178"/>
      <c r="T2180" s="179"/>
      <c r="U2180" s="179"/>
      <c r="V2180" s="179"/>
      <c r="W2180" s="176"/>
      <c r="X2180" s="180"/>
      <c r="Y2180" s="170"/>
      <c r="Z2180" s="170"/>
    </row>
    <row r="2181" spans="1:26">
      <c r="A2181" s="170"/>
      <c r="B2181" s="171"/>
      <c r="C2181" s="170"/>
      <c r="D2181" s="172"/>
      <c r="E2181" s="172"/>
      <c r="F2181" s="173"/>
      <c r="G2181" s="172"/>
      <c r="H2181" s="172"/>
      <c r="I2181" s="174"/>
      <c r="J2181" s="174"/>
      <c r="K2181" s="175"/>
      <c r="L2181" s="175"/>
      <c r="M2181" s="170"/>
      <c r="N2181" s="170"/>
      <c r="O2181" s="176"/>
      <c r="P2181" s="173"/>
      <c r="Q2181" s="177"/>
      <c r="R2181" s="178"/>
      <c r="S2181" s="178"/>
      <c r="T2181" s="179"/>
      <c r="U2181" s="179"/>
      <c r="V2181" s="179"/>
      <c r="W2181" s="176"/>
      <c r="X2181" s="180"/>
      <c r="Y2181" s="170"/>
      <c r="Z2181" s="170"/>
    </row>
    <row r="2182" spans="1:26">
      <c r="A2182" s="170"/>
      <c r="B2182" s="171"/>
      <c r="C2182" s="170"/>
      <c r="D2182" s="172"/>
      <c r="E2182" s="172"/>
      <c r="F2182" s="173"/>
      <c r="G2182" s="172"/>
      <c r="H2182" s="172"/>
      <c r="I2182" s="174"/>
      <c r="J2182" s="174"/>
      <c r="K2182" s="175"/>
      <c r="L2182" s="175"/>
      <c r="M2182" s="170"/>
      <c r="N2182" s="170"/>
      <c r="O2182" s="176"/>
      <c r="P2182" s="173"/>
      <c r="Q2182" s="177"/>
      <c r="R2182" s="178"/>
      <c r="S2182" s="178"/>
      <c r="T2182" s="179"/>
      <c r="U2182" s="179"/>
      <c r="V2182" s="179"/>
      <c r="W2182" s="176"/>
      <c r="X2182" s="180"/>
      <c r="Y2182" s="170"/>
      <c r="Z2182" s="170"/>
    </row>
    <row r="2183" spans="1:26">
      <c r="A2183" s="170"/>
      <c r="B2183" s="171"/>
      <c r="C2183" s="170"/>
      <c r="D2183" s="172"/>
      <c r="E2183" s="172"/>
      <c r="F2183" s="173"/>
      <c r="G2183" s="172"/>
      <c r="H2183" s="172"/>
      <c r="I2183" s="174"/>
      <c r="J2183" s="174"/>
      <c r="K2183" s="175"/>
      <c r="L2183" s="175"/>
      <c r="M2183" s="170"/>
      <c r="N2183" s="170"/>
      <c r="O2183" s="176"/>
      <c r="P2183" s="173"/>
      <c r="Q2183" s="177"/>
      <c r="R2183" s="178"/>
      <c r="S2183" s="178"/>
      <c r="T2183" s="179"/>
      <c r="U2183" s="179"/>
      <c r="V2183" s="179"/>
      <c r="W2183" s="176"/>
      <c r="X2183" s="180"/>
      <c r="Y2183" s="170"/>
      <c r="Z2183" s="170"/>
    </row>
    <row r="2184" spans="1:26">
      <c r="A2184" s="170"/>
      <c r="B2184" s="171"/>
      <c r="C2184" s="170"/>
      <c r="D2184" s="172"/>
      <c r="E2184" s="172"/>
      <c r="F2184" s="173"/>
      <c r="G2184" s="172"/>
      <c r="H2184" s="172"/>
      <c r="I2184" s="174"/>
      <c r="J2184" s="174"/>
      <c r="K2184" s="175"/>
      <c r="L2184" s="175"/>
      <c r="M2184" s="170"/>
      <c r="N2184" s="170"/>
      <c r="O2184" s="176"/>
      <c r="P2184" s="173"/>
      <c r="Q2184" s="177"/>
      <c r="R2184" s="178"/>
      <c r="S2184" s="178"/>
      <c r="T2184" s="179"/>
      <c r="U2184" s="179"/>
      <c r="V2184" s="179"/>
      <c r="W2184" s="176"/>
      <c r="X2184" s="180"/>
      <c r="Y2184" s="170"/>
      <c r="Z2184" s="170"/>
    </row>
    <row r="2185" spans="1:26">
      <c r="A2185" s="170"/>
      <c r="B2185" s="171"/>
      <c r="C2185" s="170"/>
      <c r="D2185" s="172"/>
      <c r="E2185" s="172"/>
      <c r="F2185" s="173"/>
      <c r="G2185" s="172"/>
      <c r="H2185" s="172"/>
      <c r="I2185" s="174"/>
      <c r="J2185" s="174"/>
      <c r="K2185" s="175"/>
      <c r="L2185" s="175"/>
      <c r="M2185" s="170"/>
      <c r="N2185" s="170"/>
      <c r="O2185" s="176"/>
      <c r="P2185" s="173"/>
      <c r="Q2185" s="177"/>
      <c r="R2185" s="178"/>
      <c r="S2185" s="178"/>
      <c r="T2185" s="179"/>
      <c r="U2185" s="179"/>
      <c r="V2185" s="179"/>
      <c r="W2185" s="176"/>
      <c r="X2185" s="180"/>
      <c r="Y2185" s="170"/>
      <c r="Z2185" s="170"/>
    </row>
    <row r="2186" spans="1:26">
      <c r="A2186" s="170"/>
      <c r="B2186" s="171"/>
      <c r="C2186" s="170"/>
      <c r="D2186" s="172"/>
      <c r="E2186" s="172"/>
      <c r="F2186" s="173"/>
      <c r="G2186" s="172"/>
      <c r="H2186" s="172"/>
      <c r="I2186" s="174"/>
      <c r="J2186" s="174"/>
      <c r="K2186" s="175"/>
      <c r="L2186" s="175"/>
      <c r="M2186" s="170"/>
      <c r="N2186" s="170"/>
      <c r="O2186" s="176"/>
      <c r="P2186" s="173"/>
      <c r="Q2186" s="177"/>
      <c r="R2186" s="178"/>
      <c r="S2186" s="178"/>
      <c r="T2186" s="179"/>
      <c r="U2186" s="179"/>
      <c r="V2186" s="179"/>
      <c r="W2186" s="176"/>
      <c r="X2186" s="180"/>
      <c r="Y2186" s="170"/>
      <c r="Z2186" s="170"/>
    </row>
    <row r="2187" spans="1:26">
      <c r="A2187" s="170"/>
      <c r="B2187" s="171"/>
      <c r="C2187" s="170"/>
      <c r="D2187" s="172"/>
      <c r="E2187" s="172"/>
      <c r="F2187" s="173"/>
      <c r="G2187" s="172"/>
      <c r="H2187" s="172"/>
      <c r="I2187" s="174"/>
      <c r="J2187" s="174"/>
      <c r="K2187" s="175"/>
      <c r="L2187" s="175"/>
      <c r="M2187" s="170"/>
      <c r="N2187" s="170"/>
      <c r="O2187" s="176"/>
      <c r="P2187" s="173"/>
      <c r="Q2187" s="177"/>
      <c r="R2187" s="178"/>
      <c r="S2187" s="178"/>
      <c r="T2187" s="179"/>
      <c r="U2187" s="179"/>
      <c r="V2187" s="179"/>
      <c r="W2187" s="176"/>
      <c r="X2187" s="180"/>
      <c r="Y2187" s="170"/>
      <c r="Z2187" s="170"/>
    </row>
    <row r="2188" spans="1:26">
      <c r="A2188" s="170"/>
      <c r="B2188" s="171"/>
      <c r="C2188" s="170"/>
      <c r="D2188" s="172"/>
      <c r="E2188" s="172"/>
      <c r="F2188" s="173"/>
      <c r="G2188" s="172"/>
      <c r="H2188" s="172"/>
      <c r="I2188" s="174"/>
      <c r="J2188" s="174"/>
      <c r="K2188" s="175"/>
      <c r="L2188" s="175"/>
      <c r="M2188" s="170"/>
      <c r="N2188" s="170"/>
      <c r="O2188" s="176"/>
      <c r="P2188" s="173"/>
      <c r="Q2188" s="177"/>
      <c r="R2188" s="178"/>
      <c r="S2188" s="178"/>
      <c r="T2188" s="179"/>
      <c r="U2188" s="179"/>
      <c r="V2188" s="179"/>
      <c r="W2188" s="176"/>
      <c r="X2188" s="180"/>
      <c r="Y2188" s="170"/>
      <c r="Z2188" s="170"/>
    </row>
    <row r="2189" spans="1:26">
      <c r="A2189" s="170"/>
      <c r="B2189" s="171"/>
      <c r="C2189" s="170"/>
      <c r="D2189" s="172"/>
      <c r="E2189" s="172"/>
      <c r="F2189" s="173"/>
      <c r="G2189" s="172"/>
      <c r="H2189" s="172"/>
      <c r="I2189" s="174"/>
      <c r="J2189" s="174"/>
      <c r="K2189" s="175"/>
      <c r="L2189" s="175"/>
      <c r="M2189" s="170"/>
      <c r="N2189" s="170"/>
      <c r="O2189" s="176"/>
      <c r="P2189" s="173"/>
      <c r="Q2189" s="177"/>
      <c r="R2189" s="178"/>
      <c r="S2189" s="178"/>
      <c r="T2189" s="179"/>
      <c r="U2189" s="179"/>
      <c r="V2189" s="179"/>
      <c r="W2189" s="176"/>
      <c r="X2189" s="180"/>
      <c r="Y2189" s="170"/>
      <c r="Z2189" s="170"/>
    </row>
    <row r="2190" spans="1:26">
      <c r="A2190" s="170"/>
      <c r="B2190" s="171"/>
      <c r="C2190" s="170"/>
      <c r="D2190" s="172"/>
      <c r="E2190" s="172"/>
      <c r="F2190" s="173"/>
      <c r="G2190" s="172"/>
      <c r="H2190" s="172"/>
      <c r="I2190" s="174"/>
      <c r="J2190" s="174"/>
      <c r="K2190" s="175"/>
      <c r="L2190" s="175"/>
      <c r="M2190" s="170"/>
      <c r="N2190" s="170"/>
      <c r="O2190" s="176"/>
      <c r="P2190" s="173"/>
      <c r="Q2190" s="177"/>
      <c r="R2190" s="178"/>
      <c r="S2190" s="178"/>
      <c r="T2190" s="179"/>
      <c r="U2190" s="179"/>
      <c r="V2190" s="179"/>
      <c r="W2190" s="176"/>
      <c r="X2190" s="180"/>
      <c r="Y2190" s="170"/>
      <c r="Z2190" s="170"/>
    </row>
    <row r="2191" spans="1:26">
      <c r="A2191" s="170"/>
      <c r="B2191" s="171"/>
      <c r="C2191" s="170"/>
      <c r="D2191" s="172"/>
      <c r="E2191" s="172"/>
      <c r="F2191" s="173"/>
      <c r="G2191" s="172"/>
      <c r="H2191" s="172"/>
      <c r="I2191" s="174"/>
      <c r="J2191" s="174"/>
      <c r="K2191" s="175"/>
      <c r="L2191" s="175"/>
      <c r="M2191" s="170"/>
      <c r="N2191" s="170"/>
      <c r="O2191" s="176"/>
      <c r="P2191" s="173"/>
      <c r="Q2191" s="177"/>
      <c r="R2191" s="178"/>
      <c r="S2191" s="178"/>
      <c r="T2191" s="179"/>
      <c r="U2191" s="179"/>
      <c r="V2191" s="179"/>
      <c r="W2191" s="176"/>
      <c r="X2191" s="180"/>
      <c r="Y2191" s="170"/>
      <c r="Z2191" s="170"/>
    </row>
    <row r="2192" spans="1:26">
      <c r="A2192" s="170"/>
      <c r="B2192" s="171"/>
      <c r="C2192" s="170"/>
      <c r="D2192" s="172"/>
      <c r="E2192" s="172"/>
      <c r="F2192" s="173"/>
      <c r="G2192" s="172"/>
      <c r="H2192" s="172"/>
      <c r="I2192" s="174"/>
      <c r="J2192" s="174"/>
      <c r="K2192" s="175"/>
      <c r="L2192" s="175"/>
      <c r="M2192" s="170"/>
      <c r="N2192" s="170"/>
      <c r="O2192" s="176"/>
      <c r="P2192" s="173"/>
      <c r="Q2192" s="177"/>
      <c r="R2192" s="178"/>
      <c r="S2192" s="178"/>
      <c r="T2192" s="179"/>
      <c r="U2192" s="179"/>
      <c r="V2192" s="179"/>
      <c r="W2192" s="176"/>
      <c r="X2192" s="180"/>
      <c r="Y2192" s="170"/>
      <c r="Z2192" s="170"/>
    </row>
    <row r="2193" spans="1:26">
      <c r="A2193" s="170"/>
      <c r="B2193" s="171"/>
      <c r="C2193" s="170"/>
      <c r="D2193" s="172"/>
      <c r="E2193" s="172"/>
      <c r="F2193" s="173"/>
      <c r="G2193" s="172"/>
      <c r="H2193" s="172"/>
      <c r="I2193" s="174"/>
      <c r="J2193" s="174"/>
      <c r="K2193" s="175"/>
      <c r="L2193" s="175"/>
      <c r="M2193" s="170"/>
      <c r="N2193" s="170"/>
      <c r="O2193" s="176"/>
      <c r="P2193" s="173"/>
      <c r="Q2193" s="177"/>
      <c r="R2193" s="178"/>
      <c r="S2193" s="178"/>
      <c r="T2193" s="179"/>
      <c r="U2193" s="179"/>
      <c r="V2193" s="179"/>
      <c r="W2193" s="176"/>
      <c r="X2193" s="180"/>
      <c r="Y2193" s="170"/>
      <c r="Z2193" s="170"/>
    </row>
    <row r="2194" spans="1:26">
      <c r="A2194" s="170"/>
      <c r="B2194" s="171"/>
      <c r="C2194" s="170"/>
      <c r="D2194" s="172"/>
      <c r="E2194" s="172"/>
      <c r="F2194" s="173"/>
      <c r="G2194" s="172"/>
      <c r="H2194" s="172"/>
      <c r="I2194" s="174"/>
      <c r="J2194" s="174"/>
      <c r="K2194" s="175"/>
      <c r="L2194" s="175"/>
      <c r="M2194" s="170"/>
      <c r="N2194" s="170"/>
      <c r="O2194" s="176"/>
      <c r="P2194" s="173"/>
      <c r="Q2194" s="177"/>
      <c r="R2194" s="178"/>
      <c r="S2194" s="178"/>
      <c r="T2194" s="179"/>
      <c r="U2194" s="179"/>
      <c r="V2194" s="179"/>
      <c r="W2194" s="176"/>
      <c r="X2194" s="180"/>
      <c r="Y2194" s="170"/>
      <c r="Z2194" s="170"/>
    </row>
    <row r="2195" spans="1:26">
      <c r="A2195" s="170"/>
      <c r="B2195" s="171"/>
      <c r="C2195" s="170"/>
      <c r="D2195" s="172"/>
      <c r="E2195" s="172"/>
      <c r="F2195" s="173"/>
      <c r="G2195" s="172"/>
      <c r="H2195" s="172"/>
      <c r="I2195" s="174"/>
      <c r="J2195" s="174"/>
      <c r="K2195" s="175"/>
      <c r="L2195" s="175"/>
      <c r="M2195" s="170"/>
      <c r="N2195" s="170"/>
      <c r="O2195" s="176"/>
      <c r="P2195" s="173"/>
      <c r="Q2195" s="177"/>
      <c r="R2195" s="178"/>
      <c r="S2195" s="178"/>
      <c r="T2195" s="179"/>
      <c r="U2195" s="179"/>
      <c r="V2195" s="179"/>
      <c r="W2195" s="176"/>
      <c r="X2195" s="180"/>
      <c r="Y2195" s="170"/>
      <c r="Z2195" s="170"/>
    </row>
    <row r="2196" spans="1:26">
      <c r="A2196" s="170"/>
      <c r="B2196" s="171"/>
      <c r="C2196" s="170"/>
      <c r="D2196" s="172"/>
      <c r="E2196" s="172"/>
      <c r="F2196" s="173"/>
      <c r="G2196" s="172"/>
      <c r="H2196" s="172"/>
      <c r="I2196" s="174"/>
      <c r="J2196" s="174"/>
      <c r="K2196" s="175"/>
      <c r="L2196" s="175"/>
      <c r="M2196" s="170"/>
      <c r="N2196" s="170"/>
      <c r="O2196" s="176"/>
      <c r="P2196" s="173"/>
      <c r="Q2196" s="177"/>
      <c r="R2196" s="178"/>
      <c r="S2196" s="178"/>
      <c r="T2196" s="179"/>
      <c r="U2196" s="179"/>
      <c r="V2196" s="179"/>
      <c r="W2196" s="176"/>
      <c r="X2196" s="180"/>
      <c r="Y2196" s="170"/>
      <c r="Z2196" s="170"/>
    </row>
    <row r="2197" spans="1:26">
      <c r="A2197" s="170"/>
      <c r="B2197" s="171"/>
      <c r="C2197" s="170"/>
      <c r="D2197" s="172"/>
      <c r="E2197" s="172"/>
      <c r="F2197" s="173"/>
      <c r="G2197" s="172"/>
      <c r="H2197" s="172"/>
      <c r="I2197" s="174"/>
      <c r="J2197" s="174"/>
      <c r="K2197" s="175"/>
      <c r="L2197" s="175"/>
      <c r="M2197" s="170"/>
      <c r="N2197" s="170"/>
      <c r="O2197" s="176"/>
      <c r="P2197" s="173"/>
      <c r="Q2197" s="177"/>
      <c r="R2197" s="178"/>
      <c r="S2197" s="178"/>
      <c r="T2197" s="179"/>
      <c r="U2197" s="179"/>
      <c r="V2197" s="179"/>
      <c r="W2197" s="176"/>
      <c r="X2197" s="180"/>
      <c r="Y2197" s="170"/>
      <c r="Z2197" s="170"/>
    </row>
    <row r="2198" spans="1:26">
      <c r="A2198" s="170"/>
      <c r="B2198" s="171"/>
      <c r="C2198" s="170"/>
      <c r="D2198" s="172"/>
      <c r="E2198" s="172"/>
      <c r="F2198" s="173"/>
      <c r="G2198" s="172"/>
      <c r="H2198" s="172"/>
      <c r="I2198" s="174"/>
      <c r="J2198" s="174"/>
      <c r="K2198" s="175"/>
      <c r="L2198" s="175"/>
      <c r="M2198" s="170"/>
      <c r="N2198" s="170"/>
      <c r="O2198" s="176"/>
      <c r="P2198" s="173"/>
      <c r="Q2198" s="177"/>
      <c r="R2198" s="178"/>
      <c r="S2198" s="178"/>
      <c r="T2198" s="179"/>
      <c r="U2198" s="179"/>
      <c r="V2198" s="179"/>
      <c r="W2198" s="176"/>
      <c r="X2198" s="180"/>
      <c r="Y2198" s="170"/>
      <c r="Z2198" s="170"/>
    </row>
    <row r="2199" spans="1:26">
      <c r="A2199" s="170"/>
      <c r="B2199" s="171"/>
      <c r="C2199" s="170"/>
      <c r="D2199" s="172"/>
      <c r="E2199" s="172"/>
      <c r="F2199" s="173"/>
      <c r="G2199" s="172"/>
      <c r="H2199" s="172"/>
      <c r="I2199" s="174"/>
      <c r="J2199" s="174"/>
      <c r="K2199" s="175"/>
      <c r="L2199" s="175"/>
      <c r="M2199" s="170"/>
      <c r="N2199" s="170"/>
      <c r="O2199" s="176"/>
      <c r="P2199" s="173"/>
      <c r="Q2199" s="177"/>
      <c r="R2199" s="178"/>
      <c r="S2199" s="178"/>
      <c r="T2199" s="179"/>
      <c r="U2199" s="179"/>
      <c r="V2199" s="179"/>
      <c r="W2199" s="176"/>
      <c r="X2199" s="180"/>
      <c r="Y2199" s="170"/>
      <c r="Z2199" s="170"/>
    </row>
    <row r="2200" spans="1:26">
      <c r="A2200" s="170"/>
      <c r="B2200" s="171"/>
      <c r="C2200" s="170"/>
      <c r="D2200" s="172"/>
      <c r="E2200" s="172"/>
      <c r="F2200" s="173"/>
      <c r="G2200" s="172"/>
      <c r="H2200" s="172"/>
      <c r="I2200" s="174"/>
      <c r="J2200" s="174"/>
      <c r="K2200" s="175"/>
      <c r="L2200" s="175"/>
      <c r="M2200" s="170"/>
      <c r="N2200" s="170"/>
      <c r="O2200" s="176"/>
      <c r="P2200" s="173"/>
      <c r="Q2200" s="177"/>
      <c r="R2200" s="178"/>
      <c r="S2200" s="178"/>
      <c r="T2200" s="179"/>
      <c r="U2200" s="179"/>
      <c r="V2200" s="179"/>
      <c r="W2200" s="176"/>
      <c r="X2200" s="180"/>
      <c r="Y2200" s="170"/>
      <c r="Z2200" s="170"/>
    </row>
    <row r="2201" spans="1:26">
      <c r="A2201" s="170"/>
      <c r="B2201" s="171"/>
      <c r="C2201" s="170"/>
      <c r="D2201" s="172"/>
      <c r="E2201" s="172"/>
      <c r="F2201" s="173"/>
      <c r="G2201" s="172"/>
      <c r="H2201" s="172"/>
      <c r="I2201" s="174"/>
      <c r="J2201" s="174"/>
      <c r="K2201" s="175"/>
      <c r="L2201" s="175"/>
      <c r="M2201" s="170"/>
      <c r="N2201" s="170"/>
      <c r="O2201" s="176"/>
      <c r="P2201" s="173"/>
      <c r="Q2201" s="177"/>
      <c r="R2201" s="178"/>
      <c r="S2201" s="178"/>
      <c r="T2201" s="179"/>
      <c r="U2201" s="179"/>
      <c r="V2201" s="179"/>
      <c r="W2201" s="176"/>
      <c r="X2201" s="180"/>
      <c r="Y2201" s="170"/>
      <c r="Z2201" s="170"/>
    </row>
    <row r="2202" spans="1:26">
      <c r="A2202" s="170"/>
      <c r="B2202" s="171"/>
      <c r="C2202" s="170"/>
      <c r="D2202" s="172"/>
      <c r="E2202" s="172"/>
      <c r="F2202" s="173"/>
      <c r="G2202" s="172"/>
      <c r="H2202" s="172"/>
      <c r="I2202" s="174"/>
      <c r="J2202" s="174"/>
      <c r="K2202" s="175"/>
      <c r="L2202" s="175"/>
      <c r="M2202" s="170"/>
      <c r="N2202" s="170"/>
      <c r="O2202" s="176"/>
      <c r="P2202" s="173"/>
      <c r="Q2202" s="177"/>
      <c r="R2202" s="178"/>
      <c r="S2202" s="178"/>
      <c r="T2202" s="179"/>
      <c r="U2202" s="179"/>
      <c r="V2202" s="179"/>
      <c r="W2202" s="176"/>
      <c r="X2202" s="180"/>
      <c r="Y2202" s="170"/>
      <c r="Z2202" s="170"/>
    </row>
    <row r="2203" spans="1:26">
      <c r="A2203" s="170"/>
      <c r="B2203" s="171"/>
      <c r="C2203" s="170"/>
      <c r="D2203" s="172"/>
      <c r="E2203" s="172"/>
      <c r="F2203" s="173"/>
      <c r="G2203" s="172"/>
      <c r="H2203" s="172"/>
      <c r="I2203" s="174"/>
      <c r="J2203" s="174"/>
      <c r="K2203" s="175"/>
      <c r="L2203" s="175"/>
      <c r="M2203" s="170"/>
      <c r="N2203" s="170"/>
      <c r="O2203" s="176"/>
      <c r="P2203" s="173"/>
      <c r="Q2203" s="177"/>
      <c r="R2203" s="178"/>
      <c r="S2203" s="178"/>
      <c r="T2203" s="179"/>
      <c r="U2203" s="179"/>
      <c r="V2203" s="179"/>
      <c r="W2203" s="176"/>
      <c r="X2203" s="180"/>
      <c r="Y2203" s="170"/>
      <c r="Z2203" s="170"/>
    </row>
    <row r="2204" spans="1:26">
      <c r="A2204" s="170"/>
      <c r="B2204" s="171"/>
      <c r="C2204" s="170"/>
      <c r="D2204" s="172"/>
      <c r="E2204" s="172"/>
      <c r="F2204" s="173"/>
      <c r="G2204" s="172"/>
      <c r="H2204" s="172"/>
      <c r="I2204" s="174"/>
      <c r="J2204" s="174"/>
      <c r="K2204" s="175"/>
      <c r="L2204" s="175"/>
      <c r="M2204" s="170"/>
      <c r="N2204" s="170"/>
      <c r="O2204" s="176"/>
      <c r="P2204" s="173"/>
      <c r="Q2204" s="177"/>
      <c r="R2204" s="178"/>
      <c r="S2204" s="178"/>
      <c r="T2204" s="179"/>
      <c r="U2204" s="179"/>
      <c r="V2204" s="179"/>
      <c r="W2204" s="176"/>
      <c r="X2204" s="180"/>
      <c r="Y2204" s="170"/>
      <c r="Z2204" s="170"/>
    </row>
    <row r="2205" spans="1:26">
      <c r="A2205" s="170"/>
      <c r="B2205" s="171"/>
      <c r="C2205" s="170"/>
      <c r="D2205" s="172"/>
      <c r="E2205" s="172"/>
      <c r="F2205" s="173"/>
      <c r="G2205" s="172"/>
      <c r="H2205" s="172"/>
      <c r="I2205" s="174"/>
      <c r="J2205" s="174"/>
      <c r="K2205" s="175"/>
      <c r="L2205" s="175"/>
      <c r="M2205" s="170"/>
      <c r="N2205" s="170"/>
      <c r="O2205" s="176"/>
      <c r="P2205" s="173"/>
      <c r="Q2205" s="177"/>
      <c r="R2205" s="178"/>
      <c r="S2205" s="178"/>
      <c r="T2205" s="179"/>
      <c r="U2205" s="179"/>
      <c r="V2205" s="179"/>
      <c r="W2205" s="176"/>
      <c r="X2205" s="180"/>
      <c r="Y2205" s="170"/>
      <c r="Z2205" s="170"/>
    </row>
    <row r="2206" spans="1:26">
      <c r="A2206" s="170"/>
      <c r="B2206" s="171"/>
      <c r="C2206" s="170"/>
      <c r="D2206" s="172"/>
      <c r="E2206" s="172"/>
      <c r="F2206" s="173"/>
      <c r="G2206" s="172"/>
      <c r="H2206" s="172"/>
      <c r="I2206" s="174"/>
      <c r="J2206" s="174"/>
      <c r="K2206" s="175"/>
      <c r="L2206" s="175"/>
      <c r="M2206" s="170"/>
      <c r="N2206" s="170"/>
      <c r="O2206" s="176"/>
      <c r="P2206" s="173"/>
      <c r="Q2206" s="177"/>
      <c r="R2206" s="178"/>
      <c r="S2206" s="178"/>
      <c r="T2206" s="179"/>
      <c r="U2206" s="179"/>
      <c r="V2206" s="179"/>
      <c r="W2206" s="176"/>
      <c r="X2206" s="180"/>
      <c r="Y2206" s="170"/>
      <c r="Z2206" s="170"/>
    </row>
    <row r="2207" spans="1:26">
      <c r="A2207" s="170"/>
      <c r="B2207" s="171"/>
      <c r="C2207" s="170"/>
      <c r="D2207" s="172"/>
      <c r="E2207" s="172"/>
      <c r="F2207" s="173"/>
      <c r="G2207" s="172"/>
      <c r="H2207" s="172"/>
      <c r="I2207" s="174"/>
      <c r="J2207" s="174"/>
      <c r="K2207" s="175"/>
      <c r="L2207" s="175"/>
      <c r="M2207" s="170"/>
      <c r="N2207" s="170"/>
      <c r="O2207" s="176"/>
      <c r="P2207" s="173"/>
      <c r="Q2207" s="177"/>
      <c r="R2207" s="178"/>
      <c r="S2207" s="178"/>
      <c r="T2207" s="179"/>
      <c r="U2207" s="179"/>
      <c r="V2207" s="179"/>
      <c r="W2207" s="176"/>
      <c r="X2207" s="180"/>
      <c r="Y2207" s="170"/>
      <c r="Z2207" s="170"/>
    </row>
    <row r="2208" spans="1:26">
      <c r="A2208" s="170"/>
      <c r="B2208" s="171"/>
      <c r="C2208" s="170"/>
      <c r="D2208" s="172"/>
      <c r="E2208" s="172"/>
      <c r="F2208" s="173"/>
      <c r="G2208" s="172"/>
      <c r="H2208" s="172"/>
      <c r="I2208" s="174"/>
      <c r="J2208" s="174"/>
      <c r="K2208" s="175"/>
      <c r="L2208" s="175"/>
      <c r="M2208" s="170"/>
      <c r="N2208" s="170"/>
      <c r="O2208" s="176"/>
      <c r="P2208" s="173"/>
      <c r="Q2208" s="177"/>
      <c r="R2208" s="178"/>
      <c r="S2208" s="178"/>
      <c r="T2208" s="179"/>
      <c r="U2208" s="179"/>
      <c r="V2208" s="179"/>
      <c r="W2208" s="176"/>
      <c r="X2208" s="180"/>
      <c r="Y2208" s="170"/>
      <c r="Z2208" s="170"/>
    </row>
    <row r="2209" spans="1:26">
      <c r="A2209" s="170"/>
      <c r="B2209" s="171"/>
      <c r="C2209" s="170"/>
      <c r="D2209" s="172"/>
      <c r="E2209" s="172"/>
      <c r="F2209" s="173"/>
      <c r="G2209" s="172"/>
      <c r="H2209" s="172"/>
      <c r="I2209" s="174"/>
      <c r="J2209" s="174"/>
      <c r="K2209" s="175"/>
      <c r="L2209" s="175"/>
      <c r="M2209" s="170"/>
      <c r="N2209" s="170"/>
      <c r="O2209" s="176"/>
      <c r="P2209" s="173"/>
      <c r="Q2209" s="177"/>
      <c r="R2209" s="178"/>
      <c r="S2209" s="178"/>
      <c r="T2209" s="179"/>
      <c r="U2209" s="179"/>
      <c r="V2209" s="179"/>
      <c r="W2209" s="176"/>
      <c r="X2209" s="180"/>
      <c r="Y2209" s="170"/>
      <c r="Z2209" s="170"/>
    </row>
    <row r="2210" spans="1:26">
      <c r="A2210" s="170"/>
      <c r="B2210" s="171"/>
      <c r="C2210" s="170"/>
      <c r="D2210" s="172"/>
      <c r="E2210" s="172"/>
      <c r="F2210" s="173"/>
      <c r="G2210" s="172"/>
      <c r="H2210" s="172"/>
      <c r="I2210" s="174"/>
      <c r="J2210" s="174"/>
      <c r="K2210" s="175"/>
      <c r="L2210" s="175"/>
      <c r="M2210" s="170"/>
      <c r="N2210" s="170"/>
      <c r="O2210" s="176"/>
      <c r="P2210" s="173"/>
      <c r="Q2210" s="177"/>
      <c r="R2210" s="178"/>
      <c r="S2210" s="178"/>
      <c r="T2210" s="179"/>
      <c r="U2210" s="179"/>
      <c r="V2210" s="179"/>
      <c r="W2210" s="176"/>
      <c r="X2210" s="180"/>
      <c r="Y2210" s="170"/>
      <c r="Z2210" s="170"/>
    </row>
    <row r="2211" spans="1:26">
      <c r="A2211" s="170"/>
      <c r="B2211" s="171"/>
      <c r="C2211" s="170"/>
      <c r="D2211" s="172"/>
      <c r="E2211" s="172"/>
      <c r="F2211" s="173"/>
      <c r="G2211" s="172"/>
      <c r="H2211" s="172"/>
      <c r="I2211" s="174"/>
      <c r="J2211" s="174"/>
      <c r="K2211" s="175"/>
      <c r="L2211" s="175"/>
      <c r="M2211" s="170"/>
      <c r="N2211" s="170"/>
      <c r="O2211" s="176"/>
      <c r="P2211" s="173"/>
      <c r="Q2211" s="177"/>
      <c r="R2211" s="178"/>
      <c r="S2211" s="178"/>
      <c r="T2211" s="179"/>
      <c r="U2211" s="179"/>
      <c r="V2211" s="179"/>
      <c r="W2211" s="176"/>
      <c r="X2211" s="180"/>
      <c r="Y2211" s="170"/>
      <c r="Z2211" s="170"/>
    </row>
    <row r="2212" spans="1:26">
      <c r="A2212" s="170"/>
      <c r="B2212" s="171"/>
      <c r="C2212" s="170"/>
      <c r="D2212" s="172"/>
      <c r="E2212" s="172"/>
      <c r="F2212" s="173"/>
      <c r="G2212" s="172"/>
      <c r="H2212" s="172"/>
      <c r="I2212" s="174"/>
      <c r="J2212" s="174"/>
      <c r="K2212" s="175"/>
      <c r="L2212" s="175"/>
      <c r="M2212" s="170"/>
      <c r="N2212" s="170"/>
      <c r="O2212" s="176"/>
      <c r="P2212" s="173"/>
      <c r="Q2212" s="177"/>
      <c r="R2212" s="178"/>
      <c r="S2212" s="178"/>
      <c r="T2212" s="179"/>
      <c r="U2212" s="179"/>
      <c r="V2212" s="179"/>
      <c r="W2212" s="176"/>
      <c r="X2212" s="180"/>
      <c r="Y2212" s="170"/>
      <c r="Z2212" s="170"/>
    </row>
    <row r="2213" spans="1:26">
      <c r="A2213" s="170"/>
      <c r="B2213" s="171"/>
      <c r="C2213" s="170"/>
      <c r="D2213" s="172"/>
      <c r="E2213" s="172"/>
      <c r="F2213" s="173"/>
      <c r="G2213" s="172"/>
      <c r="H2213" s="172"/>
      <c r="I2213" s="174"/>
      <c r="J2213" s="174"/>
      <c r="K2213" s="175"/>
      <c r="L2213" s="175"/>
      <c r="M2213" s="170"/>
      <c r="N2213" s="170"/>
      <c r="O2213" s="176"/>
      <c r="P2213" s="173"/>
      <c r="Q2213" s="177"/>
      <c r="R2213" s="178"/>
      <c r="S2213" s="178"/>
      <c r="T2213" s="179"/>
      <c r="U2213" s="179"/>
      <c r="V2213" s="179"/>
      <c r="W2213" s="176"/>
      <c r="X2213" s="180"/>
      <c r="Y2213" s="170"/>
      <c r="Z2213" s="170"/>
    </row>
    <row r="2214" spans="1:26">
      <c r="A2214" s="170"/>
      <c r="B2214" s="171"/>
      <c r="C2214" s="170"/>
      <c r="D2214" s="172"/>
      <c r="E2214" s="172"/>
      <c r="F2214" s="173"/>
      <c r="G2214" s="172"/>
      <c r="H2214" s="172"/>
      <c r="I2214" s="174"/>
      <c r="J2214" s="174"/>
      <c r="K2214" s="175"/>
      <c r="L2214" s="175"/>
      <c r="M2214" s="170"/>
      <c r="N2214" s="170"/>
      <c r="O2214" s="176"/>
      <c r="P2214" s="173"/>
      <c r="Q2214" s="177"/>
      <c r="R2214" s="178"/>
      <c r="S2214" s="178"/>
      <c r="T2214" s="179"/>
      <c r="U2214" s="179"/>
      <c r="V2214" s="179"/>
      <c r="W2214" s="176"/>
      <c r="X2214" s="180"/>
      <c r="Y2214" s="170"/>
      <c r="Z2214" s="170"/>
    </row>
    <row r="2215" spans="1:26">
      <c r="A2215" s="170"/>
      <c r="B2215" s="171"/>
      <c r="C2215" s="170"/>
      <c r="D2215" s="172"/>
      <c r="E2215" s="172"/>
      <c r="F2215" s="173"/>
      <c r="G2215" s="172"/>
      <c r="H2215" s="172"/>
      <c r="I2215" s="174"/>
      <c r="J2215" s="174"/>
      <c r="K2215" s="175"/>
      <c r="L2215" s="175"/>
      <c r="M2215" s="170"/>
      <c r="N2215" s="170"/>
      <c r="O2215" s="176"/>
      <c r="P2215" s="173"/>
      <c r="Q2215" s="177"/>
      <c r="R2215" s="178"/>
      <c r="S2215" s="178"/>
      <c r="T2215" s="179"/>
      <c r="U2215" s="179"/>
      <c r="V2215" s="179"/>
      <c r="W2215" s="176"/>
      <c r="X2215" s="180"/>
      <c r="Y2215" s="170"/>
      <c r="Z2215" s="170"/>
    </row>
    <row r="2216" spans="1:26">
      <c r="A2216" s="170"/>
      <c r="B2216" s="171"/>
      <c r="C2216" s="170"/>
      <c r="D2216" s="172"/>
      <c r="E2216" s="172"/>
      <c r="F2216" s="173"/>
      <c r="G2216" s="172"/>
      <c r="H2216" s="172"/>
      <c r="I2216" s="174"/>
      <c r="J2216" s="174"/>
      <c r="K2216" s="175"/>
      <c r="L2216" s="175"/>
      <c r="M2216" s="170"/>
      <c r="N2216" s="170"/>
      <c r="O2216" s="176"/>
      <c r="P2216" s="173"/>
      <c r="Q2216" s="177"/>
      <c r="R2216" s="178"/>
      <c r="S2216" s="178"/>
      <c r="T2216" s="179"/>
      <c r="U2216" s="179"/>
      <c r="V2216" s="179"/>
      <c r="W2216" s="176"/>
      <c r="X2216" s="180"/>
      <c r="Y2216" s="170"/>
      <c r="Z2216" s="170"/>
    </row>
    <row r="2217" spans="1:26">
      <c r="A2217" s="170"/>
      <c r="B2217" s="171"/>
      <c r="C2217" s="170"/>
      <c r="D2217" s="172"/>
      <c r="E2217" s="172"/>
      <c r="F2217" s="173"/>
      <c r="G2217" s="172"/>
      <c r="H2217" s="172"/>
      <c r="I2217" s="174"/>
      <c r="J2217" s="174"/>
      <c r="K2217" s="175"/>
      <c r="L2217" s="175"/>
      <c r="M2217" s="170"/>
      <c r="N2217" s="170"/>
      <c r="O2217" s="176"/>
      <c r="P2217" s="173"/>
      <c r="Q2217" s="177"/>
      <c r="R2217" s="178"/>
      <c r="S2217" s="178"/>
      <c r="T2217" s="179"/>
      <c r="U2217" s="179"/>
      <c r="V2217" s="179"/>
      <c r="W2217" s="176"/>
      <c r="X2217" s="180"/>
      <c r="Y2217" s="170"/>
      <c r="Z2217" s="170"/>
    </row>
    <row r="2218" spans="1:26">
      <c r="A2218" s="170"/>
      <c r="B2218" s="171"/>
      <c r="C2218" s="170"/>
      <c r="D2218" s="172"/>
      <c r="E2218" s="172"/>
      <c r="F2218" s="173"/>
      <c r="G2218" s="172"/>
      <c r="H2218" s="172"/>
      <c r="I2218" s="174"/>
      <c r="J2218" s="174"/>
      <c r="K2218" s="175"/>
      <c r="L2218" s="175"/>
      <c r="M2218" s="170"/>
      <c r="N2218" s="170"/>
      <c r="O2218" s="176"/>
      <c r="P2218" s="173"/>
      <c r="Q2218" s="177"/>
      <c r="R2218" s="178"/>
      <c r="S2218" s="178"/>
      <c r="T2218" s="179"/>
      <c r="U2218" s="179"/>
      <c r="V2218" s="179"/>
      <c r="W2218" s="176"/>
      <c r="X2218" s="180"/>
      <c r="Y2218" s="170"/>
      <c r="Z2218" s="170"/>
    </row>
    <row r="2219" spans="1:26">
      <c r="A2219" s="170"/>
      <c r="B2219" s="171"/>
      <c r="C2219" s="170"/>
      <c r="D2219" s="172"/>
      <c r="E2219" s="172"/>
      <c r="F2219" s="173"/>
      <c r="G2219" s="172"/>
      <c r="H2219" s="172"/>
      <c r="I2219" s="174"/>
      <c r="J2219" s="174"/>
      <c r="K2219" s="175"/>
      <c r="L2219" s="175"/>
      <c r="M2219" s="170"/>
      <c r="N2219" s="170"/>
      <c r="O2219" s="176"/>
      <c r="P2219" s="173"/>
      <c r="Q2219" s="177"/>
      <c r="R2219" s="178"/>
      <c r="S2219" s="178"/>
      <c r="T2219" s="179"/>
      <c r="U2219" s="179"/>
      <c r="V2219" s="179"/>
      <c r="W2219" s="176"/>
      <c r="X2219" s="180"/>
      <c r="Y2219" s="170"/>
      <c r="Z2219" s="170"/>
    </row>
    <row r="2220" spans="1:26">
      <c r="A2220" s="170"/>
      <c r="B2220" s="171"/>
      <c r="C2220" s="170"/>
      <c r="D2220" s="172"/>
      <c r="E2220" s="172"/>
      <c r="F2220" s="173"/>
      <c r="G2220" s="172"/>
      <c r="H2220" s="172"/>
      <c r="I2220" s="174"/>
      <c r="J2220" s="174"/>
      <c r="K2220" s="175"/>
      <c r="L2220" s="175"/>
      <c r="M2220" s="170"/>
      <c r="N2220" s="170"/>
      <c r="O2220" s="176"/>
      <c r="P2220" s="173"/>
      <c r="Q2220" s="177"/>
      <c r="R2220" s="178"/>
      <c r="S2220" s="178"/>
      <c r="T2220" s="179"/>
      <c r="U2220" s="179"/>
      <c r="V2220" s="179"/>
      <c r="W2220" s="176"/>
      <c r="X2220" s="180"/>
      <c r="Y2220" s="170"/>
      <c r="Z2220" s="170"/>
    </row>
    <row r="2221" spans="1:26">
      <c r="A2221" s="170"/>
      <c r="B2221" s="171"/>
      <c r="C2221" s="170"/>
      <c r="D2221" s="172"/>
      <c r="E2221" s="172"/>
      <c r="F2221" s="173"/>
      <c r="G2221" s="172"/>
      <c r="H2221" s="172"/>
      <c r="I2221" s="174"/>
      <c r="J2221" s="174"/>
      <c r="K2221" s="175"/>
      <c r="L2221" s="175"/>
      <c r="M2221" s="170"/>
      <c r="N2221" s="170"/>
      <c r="O2221" s="176"/>
      <c r="P2221" s="173"/>
      <c r="Q2221" s="177"/>
      <c r="R2221" s="178"/>
      <c r="S2221" s="178"/>
      <c r="T2221" s="179"/>
      <c r="U2221" s="179"/>
      <c r="V2221" s="179"/>
      <c r="W2221" s="176"/>
      <c r="X2221" s="180"/>
      <c r="Y2221" s="170"/>
      <c r="Z2221" s="170"/>
    </row>
    <row r="2222" spans="1:26">
      <c r="A2222" s="170"/>
      <c r="B2222" s="171"/>
      <c r="C2222" s="170"/>
      <c r="D2222" s="172"/>
      <c r="E2222" s="172"/>
      <c r="F2222" s="173"/>
      <c r="G2222" s="172"/>
      <c r="H2222" s="172"/>
      <c r="I2222" s="174"/>
      <c r="J2222" s="174"/>
      <c r="K2222" s="175"/>
      <c r="L2222" s="175"/>
      <c r="M2222" s="170"/>
      <c r="N2222" s="170"/>
      <c r="O2222" s="176"/>
      <c r="P2222" s="173"/>
      <c r="Q2222" s="177"/>
      <c r="R2222" s="178"/>
      <c r="S2222" s="178"/>
      <c r="T2222" s="179"/>
      <c r="U2222" s="179"/>
      <c r="V2222" s="179"/>
      <c r="W2222" s="176"/>
      <c r="X2222" s="180"/>
      <c r="Y2222" s="170"/>
      <c r="Z2222" s="170"/>
    </row>
    <row r="2223" spans="1:26">
      <c r="A2223" s="170"/>
      <c r="B2223" s="171"/>
      <c r="C2223" s="170"/>
      <c r="D2223" s="172"/>
      <c r="E2223" s="172"/>
      <c r="F2223" s="173"/>
      <c r="G2223" s="172"/>
      <c r="H2223" s="172"/>
      <c r="I2223" s="174"/>
      <c r="J2223" s="174"/>
      <c r="K2223" s="175"/>
      <c r="L2223" s="175"/>
      <c r="M2223" s="170"/>
      <c r="N2223" s="170"/>
      <c r="O2223" s="176"/>
      <c r="P2223" s="173"/>
      <c r="Q2223" s="177"/>
      <c r="R2223" s="178"/>
      <c r="S2223" s="178"/>
      <c r="T2223" s="179"/>
      <c r="U2223" s="179"/>
      <c r="V2223" s="179"/>
      <c r="W2223" s="176"/>
      <c r="X2223" s="180"/>
      <c r="Y2223" s="170"/>
      <c r="Z2223" s="170"/>
    </row>
    <row r="2224" spans="1:26">
      <c r="A2224" s="170"/>
      <c r="B2224" s="171"/>
      <c r="C2224" s="170"/>
      <c r="D2224" s="172"/>
      <c r="E2224" s="172"/>
      <c r="F2224" s="173"/>
      <c r="G2224" s="172"/>
      <c r="H2224" s="172"/>
      <c r="I2224" s="174"/>
      <c r="J2224" s="174"/>
      <c r="K2224" s="175"/>
      <c r="L2224" s="175"/>
      <c r="M2224" s="170"/>
      <c r="N2224" s="170"/>
      <c r="O2224" s="176"/>
      <c r="P2224" s="173"/>
      <c r="Q2224" s="177"/>
      <c r="R2224" s="178"/>
      <c r="S2224" s="178"/>
      <c r="T2224" s="179"/>
      <c r="U2224" s="179"/>
      <c r="V2224" s="179"/>
      <c r="W2224" s="176"/>
      <c r="X2224" s="180"/>
      <c r="Y2224" s="170"/>
      <c r="Z2224" s="170"/>
    </row>
    <row r="2225" spans="1:26">
      <c r="A2225" s="170"/>
      <c r="B2225" s="171"/>
      <c r="C2225" s="170"/>
      <c r="D2225" s="172"/>
      <c r="E2225" s="172"/>
      <c r="F2225" s="173"/>
      <c r="G2225" s="172"/>
      <c r="H2225" s="172"/>
      <c r="I2225" s="174"/>
      <c r="J2225" s="174"/>
      <c r="K2225" s="175"/>
      <c r="L2225" s="175"/>
      <c r="M2225" s="170"/>
      <c r="N2225" s="170"/>
      <c r="O2225" s="176"/>
      <c r="P2225" s="173"/>
      <c r="Q2225" s="177"/>
      <c r="R2225" s="178"/>
      <c r="S2225" s="178"/>
      <c r="T2225" s="179"/>
      <c r="U2225" s="179"/>
      <c r="V2225" s="179"/>
      <c r="W2225" s="176"/>
      <c r="X2225" s="180"/>
      <c r="Y2225" s="170"/>
      <c r="Z2225" s="170"/>
    </row>
    <row r="2226" spans="1:26">
      <c r="A2226" s="170"/>
      <c r="B2226" s="171"/>
      <c r="C2226" s="170"/>
      <c r="D2226" s="172"/>
      <c r="E2226" s="172"/>
      <c r="F2226" s="173"/>
      <c r="G2226" s="172"/>
      <c r="H2226" s="172"/>
      <c r="I2226" s="174"/>
      <c r="J2226" s="174"/>
      <c r="K2226" s="175"/>
      <c r="L2226" s="175"/>
      <c r="M2226" s="170"/>
      <c r="N2226" s="170"/>
      <c r="O2226" s="176"/>
      <c r="P2226" s="173"/>
      <c r="Q2226" s="177"/>
      <c r="R2226" s="178"/>
      <c r="S2226" s="178"/>
      <c r="T2226" s="179"/>
      <c r="U2226" s="179"/>
      <c r="V2226" s="179"/>
      <c r="W2226" s="176"/>
      <c r="X2226" s="180"/>
      <c r="Y2226" s="170"/>
      <c r="Z2226" s="170"/>
    </row>
    <row r="2227" spans="1:26">
      <c r="A2227" s="170"/>
      <c r="B2227" s="171"/>
      <c r="C2227" s="170"/>
      <c r="D2227" s="172"/>
      <c r="E2227" s="172"/>
      <c r="F2227" s="173"/>
      <c r="G2227" s="172"/>
      <c r="H2227" s="172"/>
      <c r="I2227" s="174"/>
      <c r="J2227" s="174"/>
      <c r="K2227" s="175"/>
      <c r="L2227" s="175"/>
      <c r="M2227" s="170"/>
      <c r="N2227" s="170"/>
      <c r="O2227" s="176"/>
      <c r="P2227" s="173"/>
      <c r="Q2227" s="177"/>
      <c r="R2227" s="178"/>
      <c r="S2227" s="178"/>
      <c r="T2227" s="179"/>
      <c r="U2227" s="179"/>
      <c r="V2227" s="179"/>
      <c r="W2227" s="176"/>
      <c r="X2227" s="180"/>
      <c r="Y2227" s="170"/>
      <c r="Z2227" s="170"/>
    </row>
    <row r="2228" spans="1:26">
      <c r="A2228" s="170"/>
      <c r="B2228" s="171"/>
      <c r="C2228" s="170"/>
      <c r="D2228" s="172"/>
      <c r="E2228" s="172"/>
      <c r="F2228" s="173"/>
      <c r="G2228" s="172"/>
      <c r="H2228" s="172"/>
      <c r="I2228" s="174"/>
      <c r="J2228" s="174"/>
      <c r="K2228" s="175"/>
      <c r="L2228" s="175"/>
      <c r="M2228" s="170"/>
      <c r="N2228" s="170"/>
      <c r="O2228" s="176"/>
      <c r="P2228" s="173"/>
      <c r="Q2228" s="177"/>
      <c r="R2228" s="178"/>
      <c r="S2228" s="178"/>
      <c r="T2228" s="179"/>
      <c r="U2228" s="179"/>
      <c r="V2228" s="179"/>
      <c r="W2228" s="176"/>
      <c r="X2228" s="180"/>
      <c r="Y2228" s="170"/>
      <c r="Z2228" s="170"/>
    </row>
    <row r="2229" spans="1:26">
      <c r="A2229" s="170"/>
      <c r="B2229" s="171"/>
      <c r="C2229" s="170"/>
      <c r="D2229" s="172"/>
      <c r="E2229" s="172"/>
      <c r="F2229" s="173"/>
      <c r="G2229" s="172"/>
      <c r="H2229" s="172"/>
      <c r="I2229" s="174"/>
      <c r="J2229" s="174"/>
      <c r="K2229" s="175"/>
      <c r="L2229" s="175"/>
      <c r="M2229" s="170"/>
      <c r="N2229" s="170"/>
      <c r="O2229" s="176"/>
      <c r="P2229" s="173"/>
      <c r="Q2229" s="177"/>
      <c r="R2229" s="178"/>
      <c r="S2229" s="178"/>
      <c r="T2229" s="179"/>
      <c r="U2229" s="179"/>
      <c r="V2229" s="179"/>
      <c r="W2229" s="176"/>
      <c r="X2229" s="180"/>
      <c r="Y2229" s="170"/>
      <c r="Z2229" s="170"/>
    </row>
    <row r="2230" spans="1:26">
      <c r="A2230" s="170"/>
      <c r="B2230" s="171"/>
      <c r="C2230" s="170"/>
      <c r="D2230" s="172"/>
      <c r="E2230" s="172"/>
      <c r="F2230" s="173"/>
      <c r="G2230" s="172"/>
      <c r="H2230" s="172"/>
      <c r="I2230" s="174"/>
      <c r="J2230" s="174"/>
      <c r="K2230" s="175"/>
      <c r="L2230" s="175"/>
      <c r="M2230" s="170"/>
      <c r="N2230" s="170"/>
      <c r="O2230" s="176"/>
      <c r="P2230" s="173"/>
      <c r="Q2230" s="177"/>
      <c r="R2230" s="178"/>
      <c r="S2230" s="178"/>
      <c r="T2230" s="179"/>
      <c r="U2230" s="179"/>
      <c r="V2230" s="179"/>
      <c r="W2230" s="176"/>
      <c r="X2230" s="180"/>
      <c r="Y2230" s="170"/>
      <c r="Z2230" s="170"/>
    </row>
    <row r="2231" spans="1:26">
      <c r="A2231" s="170"/>
      <c r="B2231" s="171"/>
      <c r="C2231" s="170"/>
      <c r="D2231" s="172"/>
      <c r="E2231" s="172"/>
      <c r="F2231" s="173"/>
      <c r="G2231" s="172"/>
      <c r="H2231" s="172"/>
      <c r="I2231" s="174"/>
      <c r="J2231" s="174"/>
      <c r="K2231" s="175"/>
      <c r="L2231" s="175"/>
      <c r="M2231" s="170"/>
      <c r="N2231" s="170"/>
      <c r="O2231" s="176"/>
      <c r="P2231" s="173"/>
      <c r="Q2231" s="177"/>
      <c r="R2231" s="178"/>
      <c r="S2231" s="178"/>
      <c r="T2231" s="179"/>
      <c r="U2231" s="179"/>
      <c r="V2231" s="179"/>
      <c r="W2231" s="176"/>
      <c r="X2231" s="180"/>
      <c r="Y2231" s="170"/>
      <c r="Z2231" s="170"/>
    </row>
    <row r="2232" spans="1:26">
      <c r="A2232" s="170"/>
      <c r="B2232" s="171"/>
      <c r="C2232" s="170"/>
      <c r="D2232" s="172"/>
      <c r="E2232" s="172"/>
      <c r="F2232" s="173"/>
      <c r="G2232" s="172"/>
      <c r="H2232" s="172"/>
      <c r="I2232" s="174"/>
      <c r="J2232" s="174"/>
      <c r="K2232" s="175"/>
      <c r="L2232" s="175"/>
      <c r="M2232" s="170"/>
      <c r="N2232" s="170"/>
      <c r="O2232" s="176"/>
      <c r="P2232" s="173"/>
      <c r="Q2232" s="177"/>
      <c r="R2232" s="178"/>
      <c r="S2232" s="178"/>
      <c r="T2232" s="179"/>
      <c r="U2232" s="179"/>
      <c r="V2232" s="179"/>
      <c r="W2232" s="176"/>
      <c r="X2232" s="180"/>
      <c r="Y2232" s="170"/>
      <c r="Z2232" s="170"/>
    </row>
    <row r="2233" spans="1:26">
      <c r="A2233" s="170"/>
      <c r="B2233" s="171"/>
      <c r="C2233" s="170"/>
      <c r="D2233" s="172"/>
      <c r="E2233" s="172"/>
      <c r="F2233" s="173"/>
      <c r="G2233" s="172"/>
      <c r="H2233" s="172"/>
      <c r="I2233" s="174"/>
      <c r="J2233" s="174"/>
      <c r="K2233" s="175"/>
      <c r="L2233" s="175"/>
      <c r="M2233" s="170"/>
      <c r="N2233" s="170"/>
      <c r="O2233" s="176"/>
      <c r="P2233" s="173"/>
      <c r="Q2233" s="177"/>
      <c r="R2233" s="178"/>
      <c r="S2233" s="178"/>
      <c r="T2233" s="179"/>
      <c r="U2233" s="179"/>
      <c r="V2233" s="179"/>
      <c r="W2233" s="176"/>
      <c r="X2233" s="180"/>
      <c r="Y2233" s="170"/>
      <c r="Z2233" s="170"/>
    </row>
    <row r="2234" spans="1:26">
      <c r="A2234" s="170"/>
      <c r="B2234" s="171"/>
      <c r="C2234" s="170"/>
      <c r="D2234" s="172"/>
      <c r="E2234" s="172"/>
      <c r="F2234" s="173"/>
      <c r="G2234" s="172"/>
      <c r="H2234" s="172"/>
      <c r="I2234" s="174"/>
      <c r="J2234" s="174"/>
      <c r="K2234" s="175"/>
      <c r="L2234" s="175"/>
      <c r="M2234" s="170"/>
      <c r="N2234" s="170"/>
      <c r="O2234" s="176"/>
      <c r="P2234" s="173"/>
      <c r="Q2234" s="177"/>
      <c r="R2234" s="178"/>
      <c r="S2234" s="178"/>
      <c r="T2234" s="179"/>
      <c r="U2234" s="179"/>
      <c r="V2234" s="179"/>
      <c r="W2234" s="176"/>
      <c r="X2234" s="180"/>
      <c r="Y2234" s="170"/>
      <c r="Z2234" s="170"/>
    </row>
    <row r="2235" spans="1:26">
      <c r="A2235" s="170"/>
      <c r="B2235" s="171"/>
      <c r="C2235" s="170"/>
      <c r="D2235" s="172"/>
      <c r="E2235" s="172"/>
      <c r="F2235" s="173"/>
      <c r="G2235" s="172"/>
      <c r="H2235" s="172"/>
      <c r="I2235" s="174"/>
      <c r="J2235" s="174"/>
      <c r="K2235" s="175"/>
      <c r="L2235" s="175"/>
      <c r="M2235" s="170"/>
      <c r="N2235" s="170"/>
      <c r="O2235" s="176"/>
      <c r="P2235" s="173"/>
      <c r="Q2235" s="177"/>
      <c r="R2235" s="178"/>
      <c r="S2235" s="178"/>
      <c r="T2235" s="179"/>
      <c r="U2235" s="179"/>
      <c r="V2235" s="179"/>
      <c r="W2235" s="176"/>
      <c r="X2235" s="180"/>
      <c r="Y2235" s="170"/>
      <c r="Z2235" s="170"/>
    </row>
    <row r="2236" spans="1:26">
      <c r="A2236" s="170"/>
      <c r="B2236" s="171"/>
      <c r="C2236" s="170"/>
      <c r="D2236" s="172"/>
      <c r="E2236" s="172"/>
      <c r="F2236" s="173"/>
      <c r="G2236" s="172"/>
      <c r="H2236" s="172"/>
      <c r="I2236" s="174"/>
      <c r="J2236" s="174"/>
      <c r="K2236" s="175"/>
      <c r="L2236" s="175"/>
      <c r="M2236" s="170"/>
      <c r="N2236" s="170"/>
      <c r="O2236" s="176"/>
      <c r="P2236" s="173"/>
      <c r="Q2236" s="177"/>
      <c r="R2236" s="178"/>
      <c r="S2236" s="178"/>
      <c r="T2236" s="179"/>
      <c r="U2236" s="179"/>
      <c r="V2236" s="179"/>
      <c r="W2236" s="176"/>
      <c r="X2236" s="180"/>
      <c r="Y2236" s="170"/>
      <c r="Z2236" s="170"/>
    </row>
    <row r="2237" spans="1:26">
      <c r="A2237" s="170"/>
      <c r="B2237" s="171"/>
      <c r="C2237" s="170"/>
      <c r="D2237" s="172"/>
      <c r="E2237" s="172"/>
      <c r="F2237" s="173"/>
      <c r="G2237" s="172"/>
      <c r="H2237" s="172"/>
      <c r="I2237" s="174"/>
      <c r="J2237" s="174"/>
      <c r="K2237" s="175"/>
      <c r="L2237" s="175"/>
      <c r="M2237" s="170"/>
      <c r="N2237" s="170"/>
      <c r="O2237" s="176"/>
      <c r="P2237" s="173"/>
      <c r="Q2237" s="177"/>
      <c r="R2237" s="178"/>
      <c r="S2237" s="178"/>
      <c r="T2237" s="179"/>
      <c r="U2237" s="179"/>
      <c r="V2237" s="179"/>
      <c r="W2237" s="176"/>
      <c r="X2237" s="180"/>
      <c r="Y2237" s="170"/>
      <c r="Z2237" s="170"/>
    </row>
    <row r="2238" spans="1:26">
      <c r="A2238" s="170"/>
      <c r="B2238" s="171"/>
      <c r="C2238" s="170"/>
      <c r="D2238" s="172"/>
      <c r="E2238" s="172"/>
      <c r="F2238" s="173"/>
      <c r="G2238" s="172"/>
      <c r="H2238" s="172"/>
      <c r="I2238" s="174"/>
      <c r="J2238" s="174"/>
      <c r="K2238" s="175"/>
      <c r="L2238" s="175"/>
      <c r="M2238" s="170"/>
      <c r="N2238" s="170"/>
      <c r="O2238" s="176"/>
      <c r="P2238" s="173"/>
      <c r="Q2238" s="177"/>
      <c r="R2238" s="178"/>
      <c r="S2238" s="178"/>
      <c r="T2238" s="179"/>
      <c r="U2238" s="179"/>
      <c r="V2238" s="179"/>
      <c r="W2238" s="176"/>
      <c r="X2238" s="180"/>
      <c r="Y2238" s="170"/>
      <c r="Z2238" s="170"/>
    </row>
    <row r="2239" spans="1:26">
      <c r="A2239" s="170"/>
      <c r="B2239" s="171"/>
      <c r="C2239" s="170"/>
      <c r="D2239" s="172"/>
      <c r="E2239" s="172"/>
      <c r="F2239" s="173"/>
      <c r="G2239" s="172"/>
      <c r="H2239" s="172"/>
      <c r="I2239" s="174"/>
      <c r="J2239" s="174"/>
      <c r="K2239" s="175"/>
      <c r="L2239" s="175"/>
      <c r="M2239" s="170"/>
      <c r="N2239" s="170"/>
      <c r="O2239" s="176"/>
      <c r="P2239" s="173"/>
      <c r="Q2239" s="177"/>
      <c r="R2239" s="178"/>
      <c r="S2239" s="178"/>
      <c r="T2239" s="179"/>
      <c r="U2239" s="179"/>
      <c r="V2239" s="179"/>
      <c r="W2239" s="176"/>
      <c r="X2239" s="180"/>
      <c r="Y2239" s="170"/>
      <c r="Z2239" s="170"/>
    </row>
    <row r="2240" spans="1:26">
      <c r="A2240" s="170"/>
      <c r="B2240" s="171"/>
      <c r="C2240" s="170"/>
      <c r="D2240" s="172"/>
      <c r="E2240" s="172"/>
      <c r="F2240" s="173"/>
      <c r="G2240" s="172"/>
      <c r="H2240" s="172"/>
      <c r="I2240" s="174"/>
      <c r="J2240" s="174"/>
      <c r="K2240" s="175"/>
      <c r="L2240" s="175"/>
      <c r="M2240" s="170"/>
      <c r="N2240" s="170"/>
      <c r="O2240" s="176"/>
      <c r="P2240" s="173"/>
      <c r="Q2240" s="177"/>
      <c r="R2240" s="178"/>
      <c r="S2240" s="178"/>
      <c r="T2240" s="179"/>
      <c r="U2240" s="179"/>
      <c r="V2240" s="179"/>
      <c r="W2240" s="176"/>
      <c r="X2240" s="180"/>
      <c r="Y2240" s="170"/>
      <c r="Z2240" s="170"/>
    </row>
    <row r="2241" spans="1:26">
      <c r="A2241" s="170"/>
      <c r="B2241" s="171"/>
      <c r="C2241" s="170"/>
      <c r="D2241" s="172"/>
      <c r="E2241" s="172"/>
      <c r="F2241" s="173"/>
      <c r="G2241" s="172"/>
      <c r="H2241" s="172"/>
      <c r="I2241" s="174"/>
      <c r="J2241" s="174"/>
      <c r="K2241" s="175"/>
      <c r="L2241" s="175"/>
      <c r="M2241" s="170"/>
      <c r="N2241" s="170"/>
      <c r="O2241" s="176"/>
      <c r="P2241" s="173"/>
      <c r="Q2241" s="177"/>
      <c r="R2241" s="178"/>
      <c r="S2241" s="178"/>
      <c r="T2241" s="179"/>
      <c r="U2241" s="179"/>
      <c r="V2241" s="179"/>
      <c r="W2241" s="176"/>
      <c r="X2241" s="180"/>
      <c r="Y2241" s="170"/>
      <c r="Z2241" s="170"/>
    </row>
    <row r="2242" spans="1:26">
      <c r="A2242" s="170"/>
      <c r="B2242" s="171"/>
      <c r="C2242" s="170"/>
      <c r="D2242" s="172"/>
      <c r="E2242" s="172"/>
      <c r="F2242" s="173"/>
      <c r="G2242" s="172"/>
      <c r="H2242" s="172"/>
      <c r="I2242" s="174"/>
      <c r="J2242" s="174"/>
      <c r="K2242" s="175"/>
      <c r="L2242" s="175"/>
      <c r="M2242" s="170"/>
      <c r="N2242" s="170"/>
      <c r="O2242" s="176"/>
      <c r="P2242" s="173"/>
      <c r="Q2242" s="177"/>
      <c r="R2242" s="178"/>
      <c r="S2242" s="178"/>
      <c r="T2242" s="179"/>
      <c r="U2242" s="179"/>
      <c r="V2242" s="179"/>
      <c r="W2242" s="176"/>
      <c r="X2242" s="180"/>
      <c r="Y2242" s="170"/>
      <c r="Z2242" s="170"/>
    </row>
    <row r="2243" spans="1:26">
      <c r="A2243" s="170"/>
      <c r="B2243" s="171"/>
      <c r="C2243" s="170"/>
      <c r="D2243" s="172"/>
      <c r="E2243" s="172"/>
      <c r="F2243" s="173"/>
      <c r="G2243" s="172"/>
      <c r="H2243" s="172"/>
      <c r="I2243" s="174"/>
      <c r="J2243" s="174"/>
      <c r="K2243" s="175"/>
      <c r="L2243" s="175"/>
      <c r="M2243" s="170"/>
      <c r="N2243" s="170"/>
      <c r="O2243" s="176"/>
      <c r="P2243" s="173"/>
      <c r="Q2243" s="177"/>
      <c r="R2243" s="178"/>
      <c r="S2243" s="178"/>
      <c r="T2243" s="179"/>
      <c r="U2243" s="179"/>
      <c r="V2243" s="179"/>
      <c r="W2243" s="176"/>
      <c r="X2243" s="180"/>
      <c r="Y2243" s="170"/>
      <c r="Z2243" s="170"/>
    </row>
    <row r="2244" spans="1:26">
      <c r="A2244" s="170"/>
      <c r="B2244" s="171"/>
      <c r="C2244" s="170"/>
      <c r="D2244" s="172"/>
      <c r="E2244" s="172"/>
      <c r="F2244" s="173"/>
      <c r="G2244" s="172"/>
      <c r="H2244" s="172"/>
      <c r="I2244" s="174"/>
      <c r="J2244" s="174"/>
      <c r="K2244" s="175"/>
      <c r="L2244" s="175"/>
      <c r="M2244" s="170"/>
      <c r="N2244" s="170"/>
      <c r="O2244" s="176"/>
      <c r="P2244" s="173"/>
      <c r="Q2244" s="177"/>
      <c r="R2244" s="178"/>
      <c r="S2244" s="178"/>
      <c r="T2244" s="179"/>
      <c r="U2244" s="179"/>
      <c r="V2244" s="179"/>
      <c r="W2244" s="176"/>
      <c r="X2244" s="180"/>
      <c r="Y2244" s="170"/>
      <c r="Z2244" s="170"/>
    </row>
    <row r="2245" spans="1:26">
      <c r="A2245" s="170"/>
      <c r="B2245" s="171"/>
      <c r="C2245" s="170"/>
      <c r="D2245" s="172"/>
      <c r="E2245" s="172"/>
      <c r="F2245" s="173"/>
      <c r="G2245" s="172"/>
      <c r="H2245" s="172"/>
      <c r="I2245" s="174"/>
      <c r="J2245" s="174"/>
      <c r="K2245" s="175"/>
      <c r="L2245" s="175"/>
      <c r="M2245" s="170"/>
      <c r="N2245" s="170"/>
      <c r="O2245" s="176"/>
      <c r="P2245" s="173"/>
      <c r="Q2245" s="177"/>
      <c r="R2245" s="178"/>
      <c r="S2245" s="178"/>
      <c r="T2245" s="179"/>
      <c r="U2245" s="179"/>
      <c r="V2245" s="179"/>
      <c r="W2245" s="176"/>
      <c r="X2245" s="180"/>
      <c r="Y2245" s="170"/>
      <c r="Z2245" s="170"/>
    </row>
    <row r="2246" spans="1:26">
      <c r="A2246" s="170"/>
      <c r="B2246" s="171"/>
      <c r="C2246" s="170"/>
      <c r="D2246" s="172"/>
      <c r="E2246" s="172"/>
      <c r="F2246" s="173"/>
      <c r="G2246" s="172"/>
      <c r="H2246" s="172"/>
      <c r="I2246" s="174"/>
      <c r="J2246" s="174"/>
      <c r="K2246" s="175"/>
      <c r="L2246" s="175"/>
      <c r="M2246" s="170"/>
      <c r="N2246" s="170"/>
      <c r="O2246" s="176"/>
      <c r="P2246" s="173"/>
      <c r="Q2246" s="177"/>
      <c r="R2246" s="178"/>
      <c r="S2246" s="178"/>
      <c r="T2246" s="179"/>
      <c r="U2246" s="179"/>
      <c r="V2246" s="179"/>
      <c r="W2246" s="176"/>
      <c r="X2246" s="180"/>
      <c r="Y2246" s="170"/>
      <c r="Z2246" s="170"/>
    </row>
    <row r="2247" spans="1:26">
      <c r="A2247" s="170"/>
      <c r="B2247" s="171"/>
      <c r="C2247" s="170"/>
      <c r="D2247" s="172"/>
      <c r="E2247" s="172"/>
      <c r="F2247" s="173"/>
      <c r="G2247" s="172"/>
      <c r="H2247" s="172"/>
      <c r="I2247" s="174"/>
      <c r="J2247" s="174"/>
      <c r="K2247" s="175"/>
      <c r="L2247" s="175"/>
      <c r="M2247" s="170"/>
      <c r="N2247" s="170"/>
      <c r="O2247" s="176"/>
      <c r="P2247" s="173"/>
      <c r="Q2247" s="177"/>
      <c r="R2247" s="178"/>
      <c r="S2247" s="178"/>
      <c r="T2247" s="179"/>
      <c r="U2247" s="179"/>
      <c r="V2247" s="179"/>
      <c r="W2247" s="176"/>
      <c r="X2247" s="180"/>
      <c r="Y2247" s="170"/>
      <c r="Z2247" s="170"/>
    </row>
    <row r="2248" spans="1:26">
      <c r="A2248" s="170"/>
      <c r="B2248" s="171"/>
      <c r="C2248" s="170"/>
      <c r="D2248" s="172"/>
      <c r="E2248" s="172"/>
      <c r="F2248" s="173"/>
      <c r="G2248" s="172"/>
      <c r="H2248" s="172"/>
      <c r="I2248" s="174"/>
      <c r="J2248" s="174"/>
      <c r="K2248" s="175"/>
      <c r="L2248" s="175"/>
      <c r="M2248" s="170"/>
      <c r="N2248" s="170"/>
      <c r="O2248" s="176"/>
      <c r="P2248" s="173"/>
      <c r="Q2248" s="177"/>
      <c r="R2248" s="178"/>
      <c r="S2248" s="178"/>
      <c r="T2248" s="179"/>
      <c r="U2248" s="179"/>
      <c r="V2248" s="179"/>
      <c r="W2248" s="176"/>
      <c r="X2248" s="180"/>
      <c r="Y2248" s="170"/>
      <c r="Z2248" s="170"/>
    </row>
    <row r="2249" spans="1:26">
      <c r="A2249" s="170"/>
      <c r="B2249" s="171"/>
      <c r="C2249" s="170"/>
      <c r="D2249" s="172"/>
      <c r="E2249" s="172"/>
      <c r="F2249" s="173"/>
      <c r="G2249" s="172"/>
      <c r="H2249" s="172"/>
      <c r="I2249" s="174"/>
      <c r="J2249" s="174"/>
      <c r="K2249" s="175"/>
      <c r="L2249" s="175"/>
      <c r="M2249" s="170"/>
      <c r="N2249" s="170"/>
      <c r="O2249" s="176"/>
      <c r="P2249" s="173"/>
      <c r="Q2249" s="177"/>
      <c r="R2249" s="178"/>
      <c r="S2249" s="178"/>
      <c r="T2249" s="179"/>
      <c r="U2249" s="179"/>
      <c r="V2249" s="179"/>
      <c r="W2249" s="176"/>
      <c r="X2249" s="180"/>
      <c r="Y2249" s="170"/>
      <c r="Z2249" s="170"/>
    </row>
    <row r="2250" spans="1:26">
      <c r="A2250" s="170"/>
      <c r="B2250" s="171"/>
      <c r="C2250" s="170"/>
      <c r="D2250" s="172"/>
      <c r="E2250" s="172"/>
      <c r="F2250" s="173"/>
      <c r="G2250" s="172"/>
      <c r="H2250" s="172"/>
      <c r="I2250" s="174"/>
      <c r="J2250" s="174"/>
      <c r="K2250" s="175"/>
      <c r="L2250" s="175"/>
      <c r="M2250" s="170"/>
      <c r="N2250" s="170"/>
      <c r="O2250" s="176"/>
      <c r="P2250" s="173"/>
      <c r="Q2250" s="177"/>
      <c r="R2250" s="178"/>
      <c r="S2250" s="178"/>
      <c r="T2250" s="179"/>
      <c r="U2250" s="179"/>
      <c r="V2250" s="179"/>
      <c r="W2250" s="176"/>
      <c r="X2250" s="180"/>
      <c r="Y2250" s="170"/>
      <c r="Z2250" s="170"/>
    </row>
    <row r="2251" spans="1:26">
      <c r="A2251" s="170"/>
      <c r="B2251" s="171"/>
      <c r="C2251" s="170"/>
      <c r="D2251" s="172"/>
      <c r="E2251" s="172"/>
      <c r="F2251" s="173"/>
      <c r="G2251" s="172"/>
      <c r="H2251" s="172"/>
      <c r="I2251" s="174"/>
      <c r="J2251" s="174"/>
      <c r="K2251" s="175"/>
      <c r="L2251" s="175"/>
      <c r="M2251" s="170"/>
      <c r="N2251" s="170"/>
      <c r="O2251" s="176"/>
      <c r="P2251" s="173"/>
      <c r="Q2251" s="177"/>
      <c r="R2251" s="178"/>
      <c r="S2251" s="178"/>
      <c r="T2251" s="179"/>
      <c r="U2251" s="179"/>
      <c r="V2251" s="179"/>
      <c r="W2251" s="176"/>
      <c r="X2251" s="180"/>
      <c r="Y2251" s="170"/>
      <c r="Z2251" s="170"/>
    </row>
    <row r="2252" spans="1:26">
      <c r="A2252" s="170"/>
      <c r="B2252" s="171"/>
      <c r="C2252" s="170"/>
      <c r="D2252" s="172"/>
      <c r="E2252" s="172"/>
      <c r="F2252" s="173"/>
      <c r="G2252" s="172"/>
      <c r="H2252" s="172"/>
      <c r="I2252" s="174"/>
      <c r="J2252" s="174"/>
      <c r="K2252" s="175"/>
      <c r="L2252" s="175"/>
      <c r="M2252" s="170"/>
      <c r="N2252" s="170"/>
      <c r="O2252" s="176"/>
      <c r="P2252" s="173"/>
      <c r="Q2252" s="177"/>
      <c r="R2252" s="178"/>
      <c r="S2252" s="178"/>
      <c r="T2252" s="179"/>
      <c r="U2252" s="179"/>
      <c r="V2252" s="179"/>
      <c r="W2252" s="176"/>
      <c r="X2252" s="180"/>
      <c r="Y2252" s="170"/>
      <c r="Z2252" s="170"/>
    </row>
    <row r="2253" spans="1:26">
      <c r="A2253" s="170"/>
      <c r="B2253" s="171"/>
      <c r="C2253" s="170"/>
      <c r="D2253" s="172"/>
      <c r="E2253" s="172"/>
      <c r="F2253" s="173"/>
      <c r="G2253" s="172"/>
      <c r="H2253" s="172"/>
      <c r="I2253" s="174"/>
      <c r="J2253" s="174"/>
      <c r="K2253" s="175"/>
      <c r="L2253" s="175"/>
      <c r="M2253" s="170"/>
      <c r="N2253" s="170"/>
      <c r="O2253" s="176"/>
      <c r="P2253" s="173"/>
      <c r="Q2253" s="177"/>
      <c r="R2253" s="178"/>
      <c r="S2253" s="178"/>
      <c r="T2253" s="179"/>
      <c r="U2253" s="179"/>
      <c r="V2253" s="179"/>
      <c r="W2253" s="176"/>
      <c r="X2253" s="180"/>
      <c r="Y2253" s="170"/>
      <c r="Z2253" s="170"/>
    </row>
    <row r="2254" spans="1:26">
      <c r="A2254" s="170"/>
      <c r="B2254" s="171"/>
      <c r="C2254" s="170"/>
      <c r="D2254" s="172"/>
      <c r="E2254" s="172"/>
      <c r="F2254" s="173"/>
      <c r="G2254" s="172"/>
      <c r="H2254" s="172"/>
      <c r="I2254" s="174"/>
      <c r="J2254" s="174"/>
      <c r="K2254" s="175"/>
      <c r="L2254" s="175"/>
      <c r="M2254" s="170"/>
      <c r="N2254" s="170"/>
      <c r="O2254" s="176"/>
      <c r="P2254" s="173"/>
      <c r="Q2254" s="177"/>
      <c r="R2254" s="178"/>
      <c r="S2254" s="178"/>
      <c r="T2254" s="179"/>
      <c r="U2254" s="179"/>
      <c r="V2254" s="179"/>
      <c r="W2254" s="176"/>
      <c r="X2254" s="180"/>
      <c r="Y2254" s="170"/>
      <c r="Z2254" s="170"/>
    </row>
    <row r="2255" spans="1:26">
      <c r="A2255" s="170"/>
      <c r="B2255" s="171"/>
      <c r="C2255" s="170"/>
      <c r="D2255" s="172"/>
      <c r="E2255" s="172"/>
      <c r="F2255" s="173"/>
      <c r="G2255" s="172"/>
      <c r="H2255" s="172"/>
      <c r="I2255" s="174"/>
      <c r="J2255" s="174"/>
      <c r="K2255" s="175"/>
      <c r="L2255" s="175"/>
      <c r="M2255" s="170"/>
      <c r="N2255" s="170"/>
      <c r="O2255" s="176"/>
      <c r="P2255" s="173"/>
      <c r="Q2255" s="177"/>
      <c r="R2255" s="178"/>
      <c r="S2255" s="178"/>
      <c r="T2255" s="179"/>
      <c r="U2255" s="179"/>
      <c r="V2255" s="179"/>
      <c r="W2255" s="176"/>
      <c r="X2255" s="180"/>
      <c r="Y2255" s="170"/>
      <c r="Z2255" s="170"/>
    </row>
    <row r="2256" spans="1:26">
      <c r="A2256" s="170"/>
      <c r="B2256" s="171"/>
      <c r="C2256" s="170"/>
      <c r="D2256" s="172"/>
      <c r="E2256" s="172"/>
      <c r="F2256" s="173"/>
      <c r="G2256" s="172"/>
      <c r="H2256" s="172"/>
      <c r="I2256" s="174"/>
      <c r="J2256" s="174"/>
      <c r="K2256" s="175"/>
      <c r="L2256" s="175"/>
      <c r="M2256" s="170"/>
      <c r="N2256" s="170"/>
      <c r="O2256" s="176"/>
      <c r="P2256" s="173"/>
      <c r="Q2256" s="177"/>
      <c r="R2256" s="178"/>
      <c r="S2256" s="178"/>
      <c r="T2256" s="179"/>
      <c r="U2256" s="179"/>
      <c r="V2256" s="179"/>
      <c r="W2256" s="176"/>
      <c r="X2256" s="180"/>
      <c r="Y2256" s="170"/>
      <c r="Z2256" s="170"/>
    </row>
    <row r="2257" spans="1:26">
      <c r="A2257" s="170"/>
      <c r="B2257" s="171"/>
      <c r="C2257" s="170"/>
      <c r="D2257" s="172"/>
      <c r="E2257" s="172"/>
      <c r="F2257" s="173"/>
      <c r="G2257" s="172"/>
      <c r="H2257" s="172"/>
      <c r="I2257" s="174"/>
      <c r="J2257" s="174"/>
      <c r="K2257" s="175"/>
      <c r="L2257" s="175"/>
      <c r="M2257" s="170"/>
      <c r="N2257" s="170"/>
      <c r="O2257" s="176"/>
      <c r="P2257" s="173"/>
      <c r="Q2257" s="177"/>
      <c r="R2257" s="178"/>
      <c r="S2257" s="178"/>
      <c r="T2257" s="179"/>
      <c r="U2257" s="179"/>
      <c r="V2257" s="179"/>
      <c r="W2257" s="176"/>
      <c r="X2257" s="180"/>
      <c r="Y2257" s="170"/>
      <c r="Z2257" s="170"/>
    </row>
    <row r="2258" spans="1:26">
      <c r="A2258" s="170"/>
      <c r="B2258" s="171"/>
      <c r="C2258" s="170"/>
      <c r="D2258" s="172"/>
      <c r="E2258" s="172"/>
      <c r="F2258" s="173"/>
      <c r="G2258" s="172"/>
      <c r="H2258" s="172"/>
      <c r="I2258" s="174"/>
      <c r="J2258" s="174"/>
      <c r="K2258" s="175"/>
      <c r="L2258" s="175"/>
      <c r="M2258" s="170"/>
      <c r="N2258" s="170"/>
      <c r="O2258" s="176"/>
      <c r="P2258" s="173"/>
      <c r="Q2258" s="177"/>
      <c r="R2258" s="178"/>
      <c r="S2258" s="178"/>
      <c r="T2258" s="179"/>
      <c r="U2258" s="179"/>
      <c r="V2258" s="179"/>
      <c r="W2258" s="176"/>
      <c r="X2258" s="180"/>
      <c r="Y2258" s="170"/>
      <c r="Z2258" s="170"/>
    </row>
    <row r="2259" spans="1:26">
      <c r="A2259" s="170"/>
      <c r="B2259" s="171"/>
      <c r="C2259" s="170"/>
      <c r="D2259" s="172"/>
      <c r="E2259" s="172"/>
      <c r="F2259" s="173"/>
      <c r="G2259" s="172"/>
      <c r="H2259" s="172"/>
      <c r="I2259" s="174"/>
      <c r="J2259" s="174"/>
      <c r="K2259" s="175"/>
      <c r="L2259" s="175"/>
      <c r="M2259" s="170"/>
      <c r="N2259" s="170"/>
      <c r="O2259" s="176"/>
      <c r="P2259" s="173"/>
      <c r="Q2259" s="177"/>
      <c r="R2259" s="178"/>
      <c r="S2259" s="178"/>
      <c r="T2259" s="179"/>
      <c r="U2259" s="179"/>
      <c r="V2259" s="179"/>
      <c r="W2259" s="176"/>
      <c r="X2259" s="180"/>
      <c r="Y2259" s="170"/>
      <c r="Z2259" s="170"/>
    </row>
    <row r="2260" spans="1:26">
      <c r="A2260" s="170"/>
      <c r="B2260" s="171"/>
      <c r="C2260" s="170"/>
      <c r="D2260" s="172"/>
      <c r="E2260" s="172"/>
      <c r="F2260" s="173"/>
      <c r="G2260" s="172"/>
      <c r="H2260" s="172"/>
      <c r="I2260" s="174"/>
      <c r="J2260" s="174"/>
      <c r="K2260" s="175"/>
      <c r="L2260" s="175"/>
      <c r="M2260" s="170"/>
      <c r="N2260" s="170"/>
      <c r="O2260" s="176"/>
      <c r="P2260" s="173"/>
      <c r="Q2260" s="177"/>
      <c r="R2260" s="178"/>
      <c r="S2260" s="178"/>
      <c r="T2260" s="179"/>
      <c r="U2260" s="179"/>
      <c r="V2260" s="179"/>
      <c r="W2260" s="176"/>
      <c r="X2260" s="180"/>
      <c r="Y2260" s="170"/>
      <c r="Z2260" s="170"/>
    </row>
    <row r="2261" spans="1:26">
      <c r="A2261" s="170"/>
      <c r="B2261" s="171"/>
      <c r="C2261" s="170"/>
      <c r="D2261" s="172"/>
      <c r="E2261" s="172"/>
      <c r="F2261" s="173"/>
      <c r="G2261" s="172"/>
      <c r="H2261" s="172"/>
      <c r="I2261" s="174"/>
      <c r="J2261" s="174"/>
      <c r="K2261" s="175"/>
      <c r="L2261" s="175"/>
      <c r="M2261" s="170"/>
      <c r="N2261" s="170"/>
      <c r="O2261" s="176"/>
      <c r="P2261" s="173"/>
      <c r="Q2261" s="177"/>
      <c r="R2261" s="178"/>
      <c r="S2261" s="178"/>
      <c r="T2261" s="179"/>
      <c r="U2261" s="179"/>
      <c r="V2261" s="179"/>
      <c r="W2261" s="176"/>
      <c r="X2261" s="180"/>
      <c r="Y2261" s="170"/>
      <c r="Z2261" s="170"/>
    </row>
    <row r="2262" spans="1:26">
      <c r="A2262" s="170"/>
      <c r="B2262" s="171"/>
      <c r="C2262" s="170"/>
      <c r="D2262" s="172"/>
      <c r="E2262" s="172"/>
      <c r="F2262" s="173"/>
      <c r="G2262" s="172"/>
      <c r="H2262" s="172"/>
      <c r="I2262" s="174"/>
      <c r="J2262" s="174"/>
      <c r="K2262" s="175"/>
      <c r="L2262" s="175"/>
      <c r="M2262" s="170"/>
      <c r="N2262" s="170"/>
      <c r="O2262" s="176"/>
      <c r="P2262" s="173"/>
      <c r="Q2262" s="177"/>
      <c r="R2262" s="178"/>
      <c r="S2262" s="178"/>
      <c r="T2262" s="179"/>
      <c r="U2262" s="179"/>
      <c r="V2262" s="179"/>
      <c r="W2262" s="176"/>
      <c r="X2262" s="180"/>
      <c r="Y2262" s="170"/>
      <c r="Z2262" s="170"/>
    </row>
    <row r="2263" spans="1:26">
      <c r="A2263" s="170"/>
      <c r="B2263" s="171"/>
      <c r="C2263" s="170"/>
      <c r="D2263" s="172"/>
      <c r="E2263" s="172"/>
      <c r="F2263" s="173"/>
      <c r="G2263" s="172"/>
      <c r="H2263" s="172"/>
      <c r="I2263" s="174"/>
      <c r="J2263" s="174"/>
      <c r="K2263" s="175"/>
      <c r="L2263" s="175"/>
      <c r="M2263" s="170"/>
      <c r="N2263" s="170"/>
      <c r="O2263" s="176"/>
      <c r="P2263" s="173"/>
      <c r="Q2263" s="177"/>
      <c r="R2263" s="178"/>
      <c r="S2263" s="178"/>
      <c r="T2263" s="179"/>
      <c r="U2263" s="179"/>
      <c r="V2263" s="179"/>
      <c r="W2263" s="176"/>
      <c r="X2263" s="180"/>
      <c r="Y2263" s="170"/>
      <c r="Z2263" s="170"/>
    </row>
    <row r="2264" spans="1:26">
      <c r="A2264" s="170"/>
      <c r="B2264" s="171"/>
      <c r="C2264" s="170"/>
      <c r="D2264" s="172"/>
      <c r="E2264" s="172"/>
      <c r="F2264" s="173"/>
      <c r="G2264" s="172"/>
      <c r="H2264" s="172"/>
      <c r="I2264" s="174"/>
      <c r="J2264" s="174"/>
      <c r="K2264" s="175"/>
      <c r="L2264" s="175"/>
      <c r="M2264" s="170"/>
      <c r="N2264" s="170"/>
      <c r="O2264" s="176"/>
      <c r="P2264" s="173"/>
      <c r="Q2264" s="177"/>
      <c r="R2264" s="178"/>
      <c r="S2264" s="178"/>
      <c r="T2264" s="179"/>
      <c r="U2264" s="179"/>
      <c r="V2264" s="179"/>
      <c r="W2264" s="176"/>
      <c r="X2264" s="180"/>
      <c r="Y2264" s="170"/>
      <c r="Z2264" s="170"/>
    </row>
    <row r="2265" spans="1:26">
      <c r="A2265" s="170"/>
      <c r="B2265" s="171"/>
      <c r="C2265" s="170"/>
      <c r="D2265" s="172"/>
      <c r="E2265" s="172"/>
      <c r="F2265" s="173"/>
      <c r="G2265" s="172"/>
      <c r="H2265" s="172"/>
      <c r="I2265" s="174"/>
      <c r="J2265" s="174"/>
      <c r="K2265" s="175"/>
      <c r="L2265" s="175"/>
      <c r="M2265" s="170"/>
      <c r="N2265" s="170"/>
      <c r="O2265" s="176"/>
      <c r="P2265" s="173"/>
      <c r="Q2265" s="177"/>
      <c r="R2265" s="178"/>
      <c r="S2265" s="178"/>
      <c r="T2265" s="179"/>
      <c r="U2265" s="179"/>
      <c r="V2265" s="179"/>
      <c r="W2265" s="176"/>
      <c r="X2265" s="180"/>
      <c r="Y2265" s="170"/>
      <c r="Z2265" s="170"/>
    </row>
    <row r="2266" spans="1:26">
      <c r="A2266" s="170"/>
      <c r="B2266" s="171"/>
      <c r="C2266" s="170"/>
      <c r="D2266" s="172"/>
      <c r="E2266" s="172"/>
      <c r="F2266" s="173"/>
      <c r="G2266" s="172"/>
      <c r="H2266" s="172"/>
      <c r="I2266" s="174"/>
      <c r="J2266" s="174"/>
      <c r="K2266" s="175"/>
      <c r="L2266" s="175"/>
      <c r="M2266" s="170"/>
      <c r="N2266" s="170"/>
      <c r="O2266" s="176"/>
      <c r="P2266" s="173"/>
      <c r="Q2266" s="177"/>
      <c r="R2266" s="178"/>
      <c r="S2266" s="178"/>
      <c r="T2266" s="179"/>
      <c r="U2266" s="179"/>
      <c r="V2266" s="179"/>
      <c r="W2266" s="176"/>
      <c r="X2266" s="180"/>
      <c r="Y2266" s="170"/>
      <c r="Z2266" s="170"/>
    </row>
    <row r="2267" spans="1:26">
      <c r="A2267" s="170"/>
      <c r="B2267" s="171"/>
      <c r="C2267" s="170"/>
      <c r="D2267" s="172"/>
      <c r="E2267" s="172"/>
      <c r="F2267" s="173"/>
      <c r="G2267" s="172"/>
      <c r="H2267" s="172"/>
      <c r="I2267" s="174"/>
      <c r="J2267" s="174"/>
      <c r="K2267" s="175"/>
      <c r="L2267" s="175"/>
      <c r="M2267" s="170"/>
      <c r="N2267" s="170"/>
      <c r="O2267" s="176"/>
      <c r="P2267" s="173"/>
      <c r="Q2267" s="177"/>
      <c r="R2267" s="178"/>
      <c r="S2267" s="178"/>
      <c r="T2267" s="179"/>
      <c r="U2267" s="179"/>
      <c r="V2267" s="179"/>
      <c r="W2267" s="176"/>
      <c r="X2267" s="180"/>
      <c r="Y2267" s="170"/>
      <c r="Z2267" s="170"/>
    </row>
    <row r="2268" spans="1:26">
      <c r="A2268" s="170"/>
      <c r="B2268" s="171"/>
      <c r="C2268" s="170"/>
      <c r="D2268" s="172"/>
      <c r="E2268" s="172"/>
      <c r="F2268" s="173"/>
      <c r="G2268" s="172"/>
      <c r="H2268" s="172"/>
      <c r="I2268" s="174"/>
      <c r="J2268" s="174"/>
      <c r="K2268" s="175"/>
      <c r="L2268" s="175"/>
      <c r="M2268" s="170"/>
      <c r="N2268" s="170"/>
      <c r="O2268" s="176"/>
      <c r="P2268" s="173"/>
      <c r="Q2268" s="177"/>
      <c r="R2268" s="178"/>
      <c r="S2268" s="178"/>
      <c r="T2268" s="179"/>
      <c r="U2268" s="179"/>
      <c r="V2268" s="179"/>
      <c r="W2268" s="176"/>
      <c r="X2268" s="180"/>
      <c r="Y2268" s="170"/>
      <c r="Z2268" s="170"/>
    </row>
    <row r="2269" spans="1:26">
      <c r="A2269" s="170"/>
      <c r="B2269" s="171"/>
      <c r="C2269" s="170"/>
      <c r="D2269" s="172"/>
      <c r="E2269" s="172"/>
      <c r="F2269" s="173"/>
      <c r="G2269" s="172"/>
      <c r="H2269" s="172"/>
      <c r="I2269" s="174"/>
      <c r="J2269" s="174"/>
      <c r="K2269" s="175"/>
      <c r="L2269" s="175"/>
      <c r="M2269" s="170"/>
      <c r="N2269" s="170"/>
      <c r="O2269" s="176"/>
      <c r="P2269" s="173"/>
      <c r="Q2269" s="177"/>
      <c r="R2269" s="178"/>
      <c r="S2269" s="178"/>
      <c r="T2269" s="179"/>
      <c r="U2269" s="179"/>
      <c r="V2269" s="179"/>
      <c r="W2269" s="176"/>
      <c r="X2269" s="180"/>
      <c r="Y2269" s="170"/>
      <c r="Z2269" s="170"/>
    </row>
    <row r="2270" spans="1:26">
      <c r="A2270" s="170"/>
      <c r="B2270" s="171"/>
      <c r="C2270" s="170"/>
      <c r="D2270" s="172"/>
      <c r="E2270" s="172"/>
      <c r="F2270" s="173"/>
      <c r="G2270" s="172"/>
      <c r="H2270" s="172"/>
      <c r="I2270" s="174"/>
      <c r="J2270" s="174"/>
      <c r="K2270" s="175"/>
      <c r="L2270" s="175"/>
      <c r="M2270" s="170"/>
      <c r="N2270" s="170"/>
      <c r="O2270" s="176"/>
      <c r="P2270" s="173"/>
      <c r="Q2270" s="177"/>
      <c r="R2270" s="178"/>
      <c r="S2270" s="178"/>
      <c r="T2270" s="179"/>
      <c r="U2270" s="179"/>
      <c r="V2270" s="179"/>
      <c r="W2270" s="176"/>
      <c r="X2270" s="180"/>
      <c r="Y2270" s="170"/>
      <c r="Z2270" s="170"/>
    </row>
    <row r="2271" spans="1:26">
      <c r="A2271" s="170"/>
      <c r="B2271" s="171"/>
      <c r="C2271" s="170"/>
      <c r="D2271" s="172"/>
      <c r="E2271" s="172"/>
      <c r="F2271" s="173"/>
      <c r="G2271" s="172"/>
      <c r="H2271" s="172"/>
      <c r="I2271" s="174"/>
      <c r="J2271" s="174"/>
      <c r="K2271" s="175"/>
      <c r="L2271" s="175"/>
      <c r="M2271" s="170"/>
      <c r="N2271" s="170"/>
      <c r="O2271" s="176"/>
      <c r="P2271" s="173"/>
      <c r="Q2271" s="177"/>
      <c r="R2271" s="178"/>
      <c r="S2271" s="178"/>
      <c r="T2271" s="179"/>
      <c r="U2271" s="179"/>
      <c r="V2271" s="179"/>
      <c r="W2271" s="176"/>
      <c r="X2271" s="180"/>
      <c r="Y2271" s="170"/>
      <c r="Z2271" s="170"/>
    </row>
    <row r="2272" spans="1:26">
      <c r="A2272" s="170"/>
      <c r="B2272" s="171"/>
      <c r="C2272" s="170"/>
      <c r="D2272" s="172"/>
      <c r="E2272" s="172"/>
      <c r="F2272" s="173"/>
      <c r="G2272" s="172"/>
      <c r="H2272" s="172"/>
      <c r="I2272" s="174"/>
      <c r="J2272" s="174"/>
      <c r="K2272" s="175"/>
      <c r="L2272" s="175"/>
      <c r="M2272" s="170"/>
      <c r="N2272" s="170"/>
      <c r="O2272" s="176"/>
      <c r="P2272" s="173"/>
      <c r="Q2272" s="177"/>
      <c r="R2272" s="178"/>
      <c r="S2272" s="178"/>
      <c r="T2272" s="179"/>
      <c r="U2272" s="179"/>
      <c r="V2272" s="179"/>
      <c r="W2272" s="176"/>
      <c r="X2272" s="180"/>
      <c r="Y2272" s="170"/>
      <c r="Z2272" s="170"/>
    </row>
    <row r="2273" spans="1:26">
      <c r="A2273" s="170"/>
      <c r="B2273" s="171"/>
      <c r="C2273" s="170"/>
      <c r="D2273" s="172"/>
      <c r="E2273" s="172"/>
      <c r="F2273" s="173"/>
      <c r="G2273" s="172"/>
      <c r="H2273" s="172"/>
      <c r="I2273" s="174"/>
      <c r="J2273" s="174"/>
      <c r="K2273" s="175"/>
      <c r="L2273" s="175"/>
      <c r="M2273" s="170"/>
      <c r="N2273" s="170"/>
      <c r="O2273" s="176"/>
      <c r="P2273" s="173"/>
      <c r="Q2273" s="177"/>
      <c r="R2273" s="178"/>
      <c r="S2273" s="178"/>
      <c r="T2273" s="179"/>
      <c r="U2273" s="179"/>
      <c r="V2273" s="179"/>
      <c r="W2273" s="176"/>
      <c r="X2273" s="180"/>
      <c r="Y2273" s="170"/>
      <c r="Z2273" s="170"/>
    </row>
    <row r="2274" spans="1:26">
      <c r="A2274" s="170"/>
      <c r="B2274" s="171"/>
      <c r="C2274" s="170"/>
      <c r="D2274" s="172"/>
      <c r="E2274" s="172"/>
      <c r="F2274" s="173"/>
      <c r="G2274" s="172"/>
      <c r="H2274" s="172"/>
      <c r="I2274" s="174"/>
      <c r="J2274" s="174"/>
      <c r="K2274" s="175"/>
      <c r="L2274" s="175"/>
      <c r="M2274" s="170"/>
      <c r="N2274" s="170"/>
      <c r="O2274" s="176"/>
      <c r="P2274" s="173"/>
      <c r="Q2274" s="177"/>
      <c r="R2274" s="178"/>
      <c r="S2274" s="178"/>
      <c r="T2274" s="179"/>
      <c r="U2274" s="179"/>
      <c r="V2274" s="179"/>
      <c r="W2274" s="176"/>
      <c r="X2274" s="180"/>
      <c r="Y2274" s="170"/>
      <c r="Z2274" s="170"/>
    </row>
    <row r="2275" spans="1:26">
      <c r="A2275" s="170"/>
      <c r="B2275" s="171"/>
      <c r="C2275" s="170"/>
      <c r="D2275" s="172"/>
      <c r="E2275" s="172"/>
      <c r="F2275" s="173"/>
      <c r="G2275" s="172"/>
      <c r="H2275" s="172"/>
      <c r="I2275" s="174"/>
      <c r="J2275" s="174"/>
      <c r="K2275" s="175"/>
      <c r="L2275" s="175"/>
      <c r="M2275" s="170"/>
      <c r="N2275" s="170"/>
      <c r="O2275" s="176"/>
      <c r="P2275" s="173"/>
      <c r="Q2275" s="177"/>
      <c r="R2275" s="178"/>
      <c r="S2275" s="178"/>
      <c r="T2275" s="179"/>
      <c r="U2275" s="179"/>
      <c r="V2275" s="179"/>
      <c r="W2275" s="176"/>
      <c r="X2275" s="180"/>
      <c r="Y2275" s="170"/>
      <c r="Z2275" s="170"/>
    </row>
    <row r="2276" spans="1:26">
      <c r="A2276" s="170"/>
      <c r="B2276" s="171"/>
      <c r="C2276" s="170"/>
      <c r="D2276" s="172"/>
      <c r="E2276" s="172"/>
      <c r="F2276" s="173"/>
      <c r="G2276" s="172"/>
      <c r="H2276" s="172"/>
      <c r="I2276" s="174"/>
      <c r="J2276" s="174"/>
      <c r="K2276" s="175"/>
      <c r="L2276" s="175"/>
      <c r="M2276" s="170"/>
      <c r="N2276" s="170"/>
      <c r="O2276" s="176"/>
      <c r="P2276" s="173"/>
      <c r="Q2276" s="177"/>
      <c r="R2276" s="178"/>
      <c r="S2276" s="178"/>
      <c r="T2276" s="179"/>
      <c r="U2276" s="179"/>
      <c r="V2276" s="179"/>
      <c r="W2276" s="176"/>
      <c r="X2276" s="180"/>
      <c r="Y2276" s="170"/>
      <c r="Z2276" s="170"/>
    </row>
    <row r="2277" spans="1:26">
      <c r="A2277" s="170"/>
      <c r="B2277" s="171"/>
      <c r="C2277" s="170"/>
      <c r="D2277" s="172"/>
      <c r="E2277" s="172"/>
      <c r="F2277" s="173"/>
      <c r="G2277" s="172"/>
      <c r="H2277" s="172"/>
      <c r="I2277" s="174"/>
      <c r="J2277" s="174"/>
      <c r="K2277" s="175"/>
      <c r="L2277" s="175"/>
      <c r="M2277" s="170"/>
      <c r="N2277" s="170"/>
      <c r="O2277" s="176"/>
      <c r="P2277" s="173"/>
      <c r="Q2277" s="177"/>
      <c r="R2277" s="178"/>
      <c r="S2277" s="178"/>
      <c r="T2277" s="179"/>
      <c r="U2277" s="179"/>
      <c r="V2277" s="179"/>
      <c r="W2277" s="176"/>
      <c r="X2277" s="180"/>
      <c r="Y2277" s="170"/>
      <c r="Z2277" s="170"/>
    </row>
    <row r="2278" spans="1:26">
      <c r="A2278" s="170"/>
      <c r="B2278" s="171"/>
      <c r="C2278" s="170"/>
      <c r="D2278" s="172"/>
      <c r="E2278" s="172"/>
      <c r="F2278" s="173"/>
      <c r="G2278" s="172"/>
      <c r="H2278" s="172"/>
      <c r="I2278" s="174"/>
      <c r="J2278" s="174"/>
      <c r="K2278" s="175"/>
      <c r="L2278" s="175"/>
      <c r="M2278" s="170"/>
      <c r="N2278" s="170"/>
      <c r="O2278" s="176"/>
      <c r="P2278" s="173"/>
      <c r="Q2278" s="177"/>
      <c r="R2278" s="178"/>
      <c r="S2278" s="178"/>
      <c r="T2278" s="179"/>
      <c r="U2278" s="179"/>
      <c r="V2278" s="179"/>
      <c r="W2278" s="176"/>
      <c r="X2278" s="180"/>
      <c r="Y2278" s="170"/>
      <c r="Z2278" s="170"/>
    </row>
    <row r="2279" spans="1:26">
      <c r="A2279" s="170"/>
      <c r="B2279" s="171"/>
      <c r="C2279" s="170"/>
      <c r="D2279" s="172"/>
      <c r="E2279" s="172"/>
      <c r="F2279" s="173"/>
      <c r="G2279" s="172"/>
      <c r="H2279" s="172"/>
      <c r="I2279" s="174"/>
      <c r="J2279" s="174"/>
      <c r="K2279" s="175"/>
      <c r="L2279" s="175"/>
      <c r="M2279" s="170"/>
      <c r="N2279" s="170"/>
      <c r="O2279" s="176"/>
      <c r="P2279" s="173"/>
      <c r="Q2279" s="177"/>
      <c r="R2279" s="178"/>
      <c r="S2279" s="178"/>
      <c r="T2279" s="179"/>
      <c r="U2279" s="179"/>
      <c r="V2279" s="179"/>
      <c r="W2279" s="176"/>
      <c r="X2279" s="180"/>
      <c r="Y2279" s="170"/>
      <c r="Z2279" s="170"/>
    </row>
    <row r="2280" spans="1:26">
      <c r="A2280" s="170"/>
      <c r="B2280" s="171"/>
      <c r="C2280" s="170"/>
      <c r="D2280" s="172"/>
      <c r="E2280" s="172"/>
      <c r="F2280" s="173"/>
      <c r="G2280" s="172"/>
      <c r="H2280" s="172"/>
      <c r="I2280" s="174"/>
      <c r="J2280" s="174"/>
      <c r="K2280" s="175"/>
      <c r="L2280" s="175"/>
      <c r="M2280" s="170"/>
      <c r="N2280" s="170"/>
      <c r="O2280" s="176"/>
      <c r="P2280" s="173"/>
      <c r="Q2280" s="177"/>
      <c r="R2280" s="178"/>
      <c r="S2280" s="178"/>
      <c r="T2280" s="179"/>
      <c r="U2280" s="179"/>
      <c r="V2280" s="179"/>
      <c r="W2280" s="176"/>
      <c r="X2280" s="180"/>
      <c r="Y2280" s="170"/>
      <c r="Z2280" s="170"/>
    </row>
    <row r="2281" spans="1:26">
      <c r="A2281" s="170"/>
      <c r="B2281" s="171"/>
      <c r="C2281" s="170"/>
      <c r="D2281" s="172"/>
      <c r="E2281" s="172"/>
      <c r="F2281" s="173"/>
      <c r="G2281" s="172"/>
      <c r="H2281" s="172"/>
      <c r="I2281" s="174"/>
      <c r="J2281" s="174"/>
      <c r="K2281" s="175"/>
      <c r="L2281" s="175"/>
      <c r="M2281" s="170"/>
      <c r="N2281" s="170"/>
      <c r="O2281" s="176"/>
      <c r="P2281" s="173"/>
      <c r="Q2281" s="177"/>
      <c r="R2281" s="178"/>
      <c r="S2281" s="178"/>
      <c r="T2281" s="179"/>
      <c r="U2281" s="179"/>
      <c r="V2281" s="179"/>
      <c r="W2281" s="176"/>
      <c r="X2281" s="180"/>
      <c r="Y2281" s="170"/>
      <c r="Z2281" s="170"/>
    </row>
    <row r="2282" spans="1:26">
      <c r="A2282" s="170"/>
      <c r="B2282" s="171"/>
      <c r="C2282" s="170"/>
      <c r="D2282" s="172"/>
      <c r="E2282" s="172"/>
      <c r="F2282" s="173"/>
      <c r="G2282" s="172"/>
      <c r="H2282" s="172"/>
      <c r="I2282" s="174"/>
      <c r="J2282" s="174"/>
      <c r="K2282" s="175"/>
      <c r="L2282" s="175"/>
      <c r="M2282" s="170"/>
      <c r="N2282" s="170"/>
      <c r="O2282" s="176"/>
      <c r="P2282" s="173"/>
      <c r="Q2282" s="177"/>
      <c r="R2282" s="178"/>
      <c r="S2282" s="178"/>
      <c r="T2282" s="179"/>
      <c r="U2282" s="179"/>
      <c r="V2282" s="179"/>
      <c r="W2282" s="176"/>
      <c r="X2282" s="180"/>
      <c r="Y2282" s="170"/>
      <c r="Z2282" s="170"/>
    </row>
    <row r="2283" spans="1:26">
      <c r="A2283" s="170"/>
      <c r="B2283" s="171"/>
      <c r="C2283" s="170"/>
      <c r="D2283" s="172"/>
      <c r="E2283" s="172"/>
      <c r="F2283" s="173"/>
      <c r="G2283" s="172"/>
      <c r="H2283" s="172"/>
      <c r="I2283" s="174"/>
      <c r="J2283" s="174"/>
      <c r="K2283" s="175"/>
      <c r="L2283" s="175"/>
      <c r="M2283" s="170"/>
      <c r="N2283" s="170"/>
      <c r="O2283" s="176"/>
      <c r="P2283" s="173"/>
      <c r="Q2283" s="177"/>
      <c r="R2283" s="178"/>
      <c r="S2283" s="178"/>
      <c r="T2283" s="179"/>
      <c r="U2283" s="179"/>
      <c r="V2283" s="179"/>
      <c r="W2283" s="176"/>
      <c r="X2283" s="180"/>
      <c r="Y2283" s="170"/>
      <c r="Z2283" s="170"/>
    </row>
    <row r="2284" spans="1:26">
      <c r="A2284" s="170"/>
      <c r="B2284" s="171"/>
      <c r="C2284" s="170"/>
      <c r="D2284" s="172"/>
      <c r="E2284" s="172"/>
      <c r="F2284" s="173"/>
      <c r="G2284" s="172"/>
      <c r="H2284" s="172"/>
      <c r="I2284" s="174"/>
      <c r="J2284" s="174"/>
      <c r="K2284" s="175"/>
      <c r="L2284" s="175"/>
      <c r="M2284" s="170"/>
      <c r="N2284" s="170"/>
      <c r="O2284" s="176"/>
      <c r="P2284" s="173"/>
      <c r="Q2284" s="177"/>
      <c r="R2284" s="178"/>
      <c r="S2284" s="178"/>
      <c r="T2284" s="179"/>
      <c r="U2284" s="179"/>
      <c r="V2284" s="179"/>
      <c r="W2284" s="176"/>
      <c r="X2284" s="180"/>
      <c r="Y2284" s="170"/>
      <c r="Z2284" s="170"/>
    </row>
    <row r="2285" spans="1:26">
      <c r="A2285" s="170"/>
      <c r="B2285" s="171"/>
      <c r="C2285" s="170"/>
      <c r="D2285" s="172"/>
      <c r="E2285" s="172"/>
      <c r="F2285" s="173"/>
      <c r="G2285" s="172"/>
      <c r="H2285" s="172"/>
      <c r="I2285" s="174"/>
      <c r="J2285" s="174"/>
      <c r="K2285" s="175"/>
      <c r="L2285" s="175"/>
      <c r="M2285" s="170"/>
      <c r="N2285" s="170"/>
      <c r="O2285" s="176"/>
      <c r="P2285" s="173"/>
      <c r="Q2285" s="177"/>
      <c r="R2285" s="178"/>
      <c r="S2285" s="178"/>
      <c r="T2285" s="179"/>
      <c r="U2285" s="179"/>
      <c r="V2285" s="179"/>
      <c r="W2285" s="176"/>
      <c r="X2285" s="180"/>
      <c r="Y2285" s="170"/>
      <c r="Z2285" s="170"/>
    </row>
    <row r="2286" spans="1:26">
      <c r="A2286" s="170"/>
      <c r="B2286" s="171"/>
      <c r="C2286" s="170"/>
      <c r="D2286" s="172"/>
      <c r="E2286" s="172"/>
      <c r="F2286" s="173"/>
      <c r="G2286" s="172"/>
      <c r="H2286" s="172"/>
      <c r="I2286" s="174"/>
      <c r="J2286" s="174"/>
      <c r="K2286" s="175"/>
      <c r="L2286" s="175"/>
      <c r="M2286" s="170"/>
      <c r="N2286" s="170"/>
      <c r="O2286" s="176"/>
      <c r="P2286" s="173"/>
      <c r="Q2286" s="177"/>
      <c r="R2286" s="178"/>
      <c r="S2286" s="178"/>
      <c r="T2286" s="179"/>
      <c r="U2286" s="179"/>
      <c r="V2286" s="179"/>
      <c r="W2286" s="176"/>
      <c r="X2286" s="180"/>
      <c r="Y2286" s="170"/>
      <c r="Z2286" s="170"/>
    </row>
    <row r="2287" spans="1:26">
      <c r="A2287" s="170"/>
      <c r="B2287" s="171"/>
      <c r="C2287" s="170"/>
      <c r="D2287" s="172"/>
      <c r="E2287" s="172"/>
      <c r="F2287" s="173"/>
      <c r="G2287" s="172"/>
      <c r="H2287" s="172"/>
      <c r="I2287" s="174"/>
      <c r="J2287" s="174"/>
      <c r="K2287" s="175"/>
      <c r="L2287" s="175"/>
      <c r="M2287" s="170"/>
      <c r="N2287" s="170"/>
      <c r="O2287" s="176"/>
      <c r="P2287" s="173"/>
      <c r="Q2287" s="177"/>
      <c r="R2287" s="178"/>
      <c r="S2287" s="178"/>
      <c r="T2287" s="179"/>
      <c r="U2287" s="179"/>
      <c r="V2287" s="179"/>
      <c r="W2287" s="176"/>
      <c r="X2287" s="180"/>
      <c r="Y2287" s="170"/>
      <c r="Z2287" s="170"/>
    </row>
    <row r="2288" spans="1:26">
      <c r="A2288" s="170"/>
      <c r="B2288" s="171"/>
      <c r="C2288" s="170"/>
      <c r="D2288" s="172"/>
      <c r="E2288" s="172"/>
      <c r="F2288" s="173"/>
      <c r="G2288" s="172"/>
      <c r="H2288" s="172"/>
      <c r="I2288" s="174"/>
      <c r="J2288" s="174"/>
      <c r="K2288" s="175"/>
      <c r="L2288" s="175"/>
      <c r="M2288" s="170"/>
      <c r="N2288" s="170"/>
      <c r="O2288" s="176"/>
      <c r="P2288" s="173"/>
      <c r="Q2288" s="177"/>
      <c r="R2288" s="178"/>
      <c r="S2288" s="178"/>
      <c r="T2288" s="179"/>
      <c r="U2288" s="179"/>
      <c r="V2288" s="179"/>
      <c r="W2288" s="176"/>
      <c r="X2288" s="180"/>
      <c r="Y2288" s="170"/>
      <c r="Z2288" s="170"/>
    </row>
    <row r="2289" spans="1:26">
      <c r="A2289" s="170"/>
      <c r="B2289" s="171"/>
      <c r="C2289" s="170"/>
      <c r="D2289" s="172"/>
      <c r="E2289" s="172"/>
      <c r="F2289" s="173"/>
      <c r="G2289" s="172"/>
      <c r="H2289" s="172"/>
      <c r="I2289" s="174"/>
      <c r="J2289" s="174"/>
      <c r="K2289" s="175"/>
      <c r="L2289" s="175"/>
      <c r="M2289" s="170"/>
      <c r="N2289" s="170"/>
      <c r="O2289" s="176"/>
      <c r="P2289" s="173"/>
      <c r="Q2289" s="177"/>
      <c r="R2289" s="178"/>
      <c r="S2289" s="178"/>
      <c r="T2289" s="179"/>
      <c r="U2289" s="179"/>
      <c r="V2289" s="179"/>
      <c r="W2289" s="176"/>
      <c r="X2289" s="180"/>
      <c r="Y2289" s="170"/>
      <c r="Z2289" s="170"/>
    </row>
    <row r="2290" spans="1:26">
      <c r="A2290" s="170"/>
      <c r="B2290" s="171"/>
      <c r="C2290" s="170"/>
      <c r="D2290" s="172"/>
      <c r="E2290" s="172"/>
      <c r="F2290" s="173"/>
      <c r="G2290" s="172"/>
      <c r="H2290" s="172"/>
      <c r="I2290" s="174"/>
      <c r="J2290" s="174"/>
      <c r="K2290" s="175"/>
      <c r="L2290" s="175"/>
      <c r="M2290" s="170"/>
      <c r="N2290" s="170"/>
      <c r="O2290" s="176"/>
      <c r="P2290" s="173"/>
      <c r="Q2290" s="177"/>
      <c r="R2290" s="178"/>
      <c r="S2290" s="178"/>
      <c r="T2290" s="179"/>
      <c r="U2290" s="179"/>
      <c r="V2290" s="179"/>
      <c r="W2290" s="176"/>
      <c r="X2290" s="180"/>
      <c r="Y2290" s="170"/>
      <c r="Z2290" s="170"/>
    </row>
    <row r="2291" spans="1:26">
      <c r="A2291" s="170"/>
      <c r="B2291" s="171"/>
      <c r="C2291" s="170"/>
      <c r="D2291" s="172"/>
      <c r="E2291" s="172"/>
      <c r="F2291" s="173"/>
      <c r="G2291" s="172"/>
      <c r="H2291" s="172"/>
      <c r="I2291" s="174"/>
      <c r="J2291" s="174"/>
      <c r="K2291" s="175"/>
      <c r="L2291" s="175"/>
      <c r="M2291" s="170"/>
      <c r="N2291" s="170"/>
      <c r="O2291" s="176"/>
      <c r="P2291" s="173"/>
      <c r="Q2291" s="177"/>
      <c r="R2291" s="178"/>
      <c r="S2291" s="178"/>
      <c r="T2291" s="179"/>
      <c r="U2291" s="179"/>
      <c r="V2291" s="179"/>
      <c r="W2291" s="176"/>
      <c r="X2291" s="180"/>
      <c r="Y2291" s="170"/>
      <c r="Z2291" s="170"/>
    </row>
    <row r="2292" spans="1:26">
      <c r="A2292" s="170"/>
      <c r="B2292" s="171"/>
      <c r="C2292" s="170"/>
      <c r="D2292" s="172"/>
      <c r="E2292" s="172"/>
      <c r="F2292" s="173"/>
      <c r="G2292" s="172"/>
      <c r="H2292" s="172"/>
      <c r="I2292" s="174"/>
      <c r="J2292" s="174"/>
      <c r="K2292" s="175"/>
      <c r="L2292" s="175"/>
      <c r="M2292" s="170"/>
      <c r="N2292" s="170"/>
      <c r="O2292" s="176"/>
      <c r="P2292" s="173"/>
      <c r="Q2292" s="177"/>
      <c r="R2292" s="178"/>
      <c r="S2292" s="178"/>
      <c r="T2292" s="179"/>
      <c r="U2292" s="179"/>
      <c r="V2292" s="179"/>
      <c r="W2292" s="176"/>
      <c r="X2292" s="180"/>
      <c r="Y2292" s="170"/>
      <c r="Z2292" s="170"/>
    </row>
    <row r="2293" spans="1:26">
      <c r="A2293" s="170"/>
      <c r="B2293" s="171"/>
      <c r="C2293" s="170"/>
      <c r="D2293" s="172"/>
      <c r="E2293" s="172"/>
      <c r="F2293" s="173"/>
      <c r="G2293" s="172"/>
      <c r="H2293" s="172"/>
      <c r="I2293" s="174"/>
      <c r="J2293" s="174"/>
      <c r="K2293" s="175"/>
      <c r="L2293" s="175"/>
      <c r="M2293" s="170"/>
      <c r="N2293" s="170"/>
      <c r="O2293" s="176"/>
      <c r="P2293" s="173"/>
      <c r="Q2293" s="177"/>
      <c r="R2293" s="178"/>
      <c r="S2293" s="178"/>
      <c r="T2293" s="179"/>
      <c r="U2293" s="179"/>
      <c r="V2293" s="179"/>
      <c r="W2293" s="176"/>
      <c r="X2293" s="180"/>
      <c r="Y2293" s="170"/>
      <c r="Z2293" s="170"/>
    </row>
    <row r="2294" spans="1:26">
      <c r="A2294" s="170"/>
      <c r="B2294" s="171"/>
      <c r="C2294" s="170"/>
      <c r="D2294" s="172"/>
      <c r="E2294" s="172"/>
      <c r="F2294" s="173"/>
      <c r="G2294" s="172"/>
      <c r="H2294" s="172"/>
      <c r="I2294" s="174"/>
      <c r="J2294" s="174"/>
      <c r="K2294" s="175"/>
      <c r="L2294" s="175"/>
      <c r="M2294" s="170"/>
      <c r="N2294" s="170"/>
      <c r="O2294" s="176"/>
      <c r="P2294" s="173"/>
      <c r="Q2294" s="177"/>
      <c r="R2294" s="178"/>
      <c r="S2294" s="178"/>
      <c r="T2294" s="179"/>
      <c r="U2294" s="179"/>
      <c r="V2294" s="179"/>
      <c r="W2294" s="176"/>
      <c r="X2294" s="180"/>
      <c r="Y2294" s="170"/>
      <c r="Z2294" s="170"/>
    </row>
    <row r="2295" spans="1:26">
      <c r="A2295" s="170"/>
      <c r="B2295" s="171"/>
      <c r="C2295" s="170"/>
      <c r="D2295" s="172"/>
      <c r="E2295" s="172"/>
      <c r="F2295" s="173"/>
      <c r="G2295" s="172"/>
      <c r="H2295" s="172"/>
      <c r="I2295" s="174"/>
      <c r="J2295" s="174"/>
      <c r="K2295" s="175"/>
      <c r="L2295" s="175"/>
      <c r="M2295" s="170"/>
      <c r="N2295" s="170"/>
      <c r="O2295" s="176"/>
      <c r="P2295" s="173"/>
      <c r="Q2295" s="177"/>
      <c r="R2295" s="178"/>
      <c r="S2295" s="178"/>
      <c r="T2295" s="179"/>
      <c r="U2295" s="179"/>
      <c r="V2295" s="179"/>
      <c r="W2295" s="176"/>
      <c r="X2295" s="180"/>
      <c r="Y2295" s="170"/>
      <c r="Z2295" s="170"/>
    </row>
    <row r="2296" spans="1:26">
      <c r="A2296" s="170"/>
      <c r="B2296" s="171"/>
      <c r="C2296" s="170"/>
      <c r="D2296" s="172"/>
      <c r="E2296" s="172"/>
      <c r="F2296" s="173"/>
      <c r="G2296" s="172"/>
      <c r="H2296" s="172"/>
      <c r="I2296" s="174"/>
      <c r="J2296" s="174"/>
      <c r="K2296" s="175"/>
      <c r="L2296" s="175"/>
      <c r="M2296" s="170"/>
      <c r="N2296" s="170"/>
      <c r="O2296" s="176"/>
      <c r="P2296" s="173"/>
      <c r="Q2296" s="177"/>
      <c r="R2296" s="178"/>
      <c r="S2296" s="178"/>
      <c r="T2296" s="179"/>
      <c r="U2296" s="179"/>
      <c r="V2296" s="179"/>
      <c r="W2296" s="176"/>
      <c r="X2296" s="180"/>
      <c r="Y2296" s="170"/>
      <c r="Z2296" s="170"/>
    </row>
    <row r="2297" spans="1:26">
      <c r="A2297" s="170"/>
      <c r="B2297" s="171"/>
      <c r="C2297" s="170"/>
      <c r="D2297" s="172"/>
      <c r="E2297" s="172"/>
      <c r="F2297" s="173"/>
      <c r="G2297" s="172"/>
      <c r="H2297" s="172"/>
      <c r="I2297" s="174"/>
      <c r="J2297" s="174"/>
      <c r="K2297" s="175"/>
      <c r="L2297" s="175"/>
      <c r="M2297" s="170"/>
      <c r="N2297" s="170"/>
      <c r="O2297" s="176"/>
      <c r="P2297" s="173"/>
      <c r="Q2297" s="177"/>
      <c r="R2297" s="178"/>
      <c r="S2297" s="178"/>
      <c r="T2297" s="179"/>
      <c r="U2297" s="179"/>
      <c r="V2297" s="179"/>
      <c r="W2297" s="176"/>
      <c r="X2297" s="180"/>
      <c r="Y2297" s="170"/>
      <c r="Z2297" s="170"/>
    </row>
    <row r="2298" spans="1:26">
      <c r="A2298" s="170"/>
      <c r="B2298" s="171"/>
      <c r="C2298" s="170"/>
      <c r="D2298" s="172"/>
      <c r="E2298" s="172"/>
      <c r="F2298" s="173"/>
      <c r="G2298" s="172"/>
      <c r="H2298" s="172"/>
      <c r="I2298" s="174"/>
      <c r="J2298" s="174"/>
      <c r="K2298" s="175"/>
      <c r="L2298" s="175"/>
      <c r="M2298" s="170"/>
      <c r="N2298" s="170"/>
      <c r="O2298" s="176"/>
      <c r="P2298" s="173"/>
      <c r="Q2298" s="177"/>
      <c r="R2298" s="178"/>
      <c r="S2298" s="178"/>
      <c r="T2298" s="179"/>
      <c r="U2298" s="179"/>
      <c r="V2298" s="179"/>
      <c r="W2298" s="176"/>
      <c r="X2298" s="180"/>
      <c r="Y2298" s="170"/>
      <c r="Z2298" s="170"/>
    </row>
    <row r="2299" spans="1:26">
      <c r="A2299" s="170"/>
      <c r="B2299" s="171"/>
      <c r="C2299" s="170"/>
      <c r="D2299" s="172"/>
      <c r="E2299" s="172"/>
      <c r="F2299" s="173"/>
      <c r="G2299" s="172"/>
      <c r="H2299" s="172"/>
      <c r="I2299" s="174"/>
      <c r="J2299" s="174"/>
      <c r="K2299" s="175"/>
      <c r="L2299" s="175"/>
      <c r="M2299" s="170"/>
      <c r="N2299" s="170"/>
      <c r="O2299" s="176"/>
      <c r="P2299" s="173"/>
      <c r="Q2299" s="177"/>
      <c r="R2299" s="178"/>
      <c r="S2299" s="178"/>
      <c r="T2299" s="179"/>
      <c r="U2299" s="179"/>
      <c r="V2299" s="179"/>
      <c r="W2299" s="176"/>
      <c r="X2299" s="180"/>
      <c r="Y2299" s="170"/>
      <c r="Z2299" s="170"/>
    </row>
    <row r="2300" spans="1:26">
      <c r="A2300" s="170"/>
      <c r="B2300" s="171"/>
      <c r="C2300" s="170"/>
      <c r="D2300" s="172"/>
      <c r="E2300" s="172"/>
      <c r="F2300" s="173"/>
      <c r="G2300" s="172"/>
      <c r="H2300" s="172"/>
      <c r="I2300" s="174"/>
      <c r="J2300" s="174"/>
      <c r="K2300" s="175"/>
      <c r="L2300" s="175"/>
      <c r="M2300" s="170"/>
      <c r="N2300" s="170"/>
      <c r="O2300" s="176"/>
      <c r="P2300" s="173"/>
      <c r="Q2300" s="177"/>
      <c r="R2300" s="178"/>
      <c r="S2300" s="178"/>
      <c r="T2300" s="179"/>
      <c r="U2300" s="179"/>
      <c r="V2300" s="179"/>
      <c r="W2300" s="176"/>
      <c r="X2300" s="180"/>
      <c r="Y2300" s="170"/>
      <c r="Z2300" s="170"/>
    </row>
    <row r="2301" spans="1:26">
      <c r="A2301" s="170"/>
      <c r="B2301" s="171"/>
      <c r="C2301" s="170"/>
      <c r="D2301" s="172"/>
      <c r="E2301" s="172"/>
      <c r="F2301" s="173"/>
      <c r="G2301" s="172"/>
      <c r="H2301" s="172"/>
      <c r="I2301" s="174"/>
      <c r="J2301" s="174"/>
      <c r="K2301" s="175"/>
      <c r="L2301" s="175"/>
      <c r="M2301" s="170"/>
      <c r="N2301" s="170"/>
      <c r="O2301" s="176"/>
      <c r="P2301" s="173"/>
      <c r="Q2301" s="177"/>
      <c r="R2301" s="178"/>
      <c r="S2301" s="178"/>
      <c r="T2301" s="179"/>
      <c r="U2301" s="179"/>
      <c r="V2301" s="179"/>
      <c r="W2301" s="176"/>
      <c r="X2301" s="180"/>
      <c r="Y2301" s="170"/>
      <c r="Z2301" s="170"/>
    </row>
    <row r="2302" spans="1:26">
      <c r="A2302" s="170"/>
      <c r="B2302" s="171"/>
      <c r="C2302" s="170"/>
      <c r="D2302" s="172"/>
      <c r="E2302" s="172"/>
      <c r="F2302" s="173"/>
      <c r="G2302" s="172"/>
      <c r="H2302" s="172"/>
      <c r="I2302" s="174"/>
      <c r="J2302" s="174"/>
      <c r="K2302" s="175"/>
      <c r="L2302" s="175"/>
      <c r="M2302" s="170"/>
      <c r="N2302" s="170"/>
      <c r="O2302" s="176"/>
      <c r="P2302" s="173"/>
      <c r="Q2302" s="177"/>
      <c r="R2302" s="178"/>
      <c r="S2302" s="178"/>
      <c r="T2302" s="179"/>
      <c r="U2302" s="179"/>
      <c r="V2302" s="179"/>
      <c r="W2302" s="176"/>
      <c r="X2302" s="180"/>
      <c r="Y2302" s="170"/>
      <c r="Z2302" s="170"/>
    </row>
    <row r="2303" spans="1:26">
      <c r="A2303" s="170"/>
      <c r="B2303" s="171"/>
      <c r="C2303" s="170"/>
      <c r="D2303" s="172"/>
      <c r="E2303" s="172"/>
      <c r="F2303" s="173"/>
      <c r="G2303" s="172"/>
      <c r="H2303" s="172"/>
      <c r="I2303" s="174"/>
      <c r="J2303" s="174"/>
      <c r="K2303" s="175"/>
      <c r="L2303" s="175"/>
      <c r="M2303" s="170"/>
      <c r="N2303" s="170"/>
      <c r="O2303" s="176"/>
      <c r="P2303" s="173"/>
      <c r="Q2303" s="177"/>
      <c r="R2303" s="178"/>
      <c r="S2303" s="178"/>
      <c r="T2303" s="179"/>
      <c r="U2303" s="179"/>
      <c r="V2303" s="179"/>
      <c r="W2303" s="176"/>
      <c r="X2303" s="180"/>
      <c r="Y2303" s="170"/>
      <c r="Z2303" s="170"/>
    </row>
    <row r="2304" spans="1:26">
      <c r="A2304" s="170"/>
      <c r="B2304" s="171"/>
      <c r="C2304" s="170"/>
      <c r="D2304" s="172"/>
      <c r="E2304" s="172"/>
      <c r="F2304" s="173"/>
      <c r="G2304" s="172"/>
      <c r="H2304" s="172"/>
      <c r="I2304" s="174"/>
      <c r="J2304" s="174"/>
      <c r="K2304" s="175"/>
      <c r="L2304" s="175"/>
      <c r="M2304" s="170"/>
      <c r="N2304" s="170"/>
      <c r="O2304" s="176"/>
      <c r="P2304" s="173"/>
      <c r="Q2304" s="177"/>
      <c r="R2304" s="178"/>
      <c r="S2304" s="178"/>
      <c r="T2304" s="179"/>
      <c r="U2304" s="179"/>
      <c r="V2304" s="179"/>
      <c r="W2304" s="176"/>
      <c r="X2304" s="180"/>
      <c r="Y2304" s="170"/>
      <c r="Z2304" s="170"/>
    </row>
    <row r="2305" spans="1:26">
      <c r="A2305" s="170"/>
      <c r="B2305" s="171"/>
      <c r="C2305" s="170"/>
      <c r="D2305" s="172"/>
      <c r="E2305" s="172"/>
      <c r="F2305" s="173"/>
      <c r="G2305" s="172"/>
      <c r="H2305" s="172"/>
      <c r="I2305" s="174"/>
      <c r="J2305" s="174"/>
      <c r="K2305" s="175"/>
      <c r="L2305" s="175"/>
      <c r="M2305" s="170"/>
      <c r="N2305" s="170"/>
      <c r="O2305" s="176"/>
      <c r="P2305" s="173"/>
      <c r="Q2305" s="177"/>
      <c r="R2305" s="178"/>
      <c r="S2305" s="178"/>
      <c r="T2305" s="179"/>
      <c r="U2305" s="179"/>
      <c r="V2305" s="179"/>
      <c r="W2305" s="176"/>
      <c r="X2305" s="180"/>
      <c r="Y2305" s="170"/>
      <c r="Z2305" s="170"/>
    </row>
    <row r="2306" spans="1:26">
      <c r="A2306" s="170"/>
      <c r="B2306" s="171"/>
      <c r="C2306" s="170"/>
      <c r="D2306" s="172"/>
      <c r="E2306" s="172"/>
      <c r="F2306" s="173"/>
      <c r="G2306" s="172"/>
      <c r="H2306" s="172"/>
      <c r="I2306" s="174"/>
      <c r="J2306" s="174"/>
      <c r="K2306" s="175"/>
      <c r="L2306" s="175"/>
      <c r="M2306" s="170"/>
      <c r="N2306" s="170"/>
      <c r="O2306" s="176"/>
      <c r="P2306" s="173"/>
      <c r="Q2306" s="177"/>
      <c r="R2306" s="178"/>
      <c r="S2306" s="178"/>
      <c r="T2306" s="179"/>
      <c r="U2306" s="179"/>
      <c r="V2306" s="179"/>
      <c r="W2306" s="176"/>
      <c r="X2306" s="180"/>
      <c r="Y2306" s="170"/>
      <c r="Z2306" s="170"/>
    </row>
    <row r="2307" spans="1:26">
      <c r="A2307" s="170"/>
      <c r="B2307" s="171"/>
      <c r="C2307" s="170"/>
      <c r="D2307" s="172"/>
      <c r="E2307" s="172"/>
      <c r="F2307" s="173"/>
      <c r="G2307" s="172"/>
      <c r="H2307" s="172"/>
      <c r="I2307" s="174"/>
      <c r="J2307" s="174"/>
      <c r="K2307" s="175"/>
      <c r="L2307" s="175"/>
      <c r="M2307" s="170"/>
      <c r="N2307" s="170"/>
      <c r="O2307" s="176"/>
      <c r="P2307" s="173"/>
      <c r="Q2307" s="177"/>
      <c r="R2307" s="178"/>
      <c r="S2307" s="178"/>
      <c r="T2307" s="179"/>
      <c r="U2307" s="179"/>
      <c r="V2307" s="179"/>
      <c r="W2307" s="176"/>
      <c r="X2307" s="180"/>
      <c r="Y2307" s="170"/>
      <c r="Z2307" s="170"/>
    </row>
    <row r="2308" spans="1:26">
      <c r="A2308" s="170"/>
      <c r="B2308" s="171"/>
      <c r="C2308" s="170"/>
      <c r="D2308" s="172"/>
      <c r="E2308" s="172"/>
      <c r="F2308" s="173"/>
      <c r="G2308" s="172"/>
      <c r="H2308" s="172"/>
      <c r="I2308" s="174"/>
      <c r="J2308" s="174"/>
      <c r="K2308" s="175"/>
      <c r="L2308" s="175"/>
      <c r="M2308" s="170"/>
      <c r="N2308" s="170"/>
      <c r="O2308" s="176"/>
      <c r="P2308" s="173"/>
      <c r="Q2308" s="177"/>
      <c r="R2308" s="178"/>
      <c r="S2308" s="178"/>
      <c r="T2308" s="179"/>
      <c r="U2308" s="179"/>
      <c r="V2308" s="179"/>
      <c r="W2308" s="176"/>
      <c r="X2308" s="180"/>
      <c r="Y2308" s="170"/>
      <c r="Z2308" s="170"/>
    </row>
    <row r="2309" spans="1:26">
      <c r="A2309" s="170"/>
      <c r="B2309" s="171"/>
      <c r="C2309" s="170"/>
      <c r="D2309" s="172"/>
      <c r="E2309" s="172"/>
      <c r="F2309" s="173"/>
      <c r="G2309" s="172"/>
      <c r="H2309" s="172"/>
      <c r="I2309" s="174"/>
      <c r="J2309" s="174"/>
      <c r="K2309" s="175"/>
      <c r="L2309" s="175"/>
      <c r="M2309" s="170"/>
      <c r="N2309" s="170"/>
      <c r="O2309" s="176"/>
      <c r="P2309" s="173"/>
      <c r="Q2309" s="177"/>
      <c r="R2309" s="178"/>
      <c r="S2309" s="178"/>
      <c r="T2309" s="179"/>
      <c r="U2309" s="179"/>
      <c r="V2309" s="179"/>
      <c r="W2309" s="176"/>
      <c r="X2309" s="180"/>
      <c r="Y2309" s="170"/>
      <c r="Z2309" s="170"/>
    </row>
    <row r="2310" spans="1:26">
      <c r="A2310" s="170"/>
      <c r="B2310" s="171"/>
      <c r="C2310" s="170"/>
      <c r="D2310" s="172"/>
      <c r="E2310" s="172"/>
      <c r="F2310" s="173"/>
      <c r="G2310" s="172"/>
      <c r="H2310" s="172"/>
      <c r="I2310" s="174"/>
      <c r="J2310" s="174"/>
      <c r="K2310" s="175"/>
      <c r="L2310" s="175"/>
      <c r="M2310" s="170"/>
      <c r="N2310" s="170"/>
      <c r="O2310" s="176"/>
      <c r="P2310" s="173"/>
      <c r="Q2310" s="177"/>
      <c r="R2310" s="178"/>
      <c r="S2310" s="178"/>
      <c r="T2310" s="179"/>
      <c r="U2310" s="179"/>
      <c r="V2310" s="179"/>
      <c r="W2310" s="176"/>
      <c r="X2310" s="180"/>
      <c r="Y2310" s="170"/>
      <c r="Z2310" s="170"/>
    </row>
    <row r="2311" spans="1:26">
      <c r="A2311" s="170"/>
      <c r="B2311" s="171"/>
      <c r="C2311" s="170"/>
      <c r="D2311" s="172"/>
      <c r="E2311" s="172"/>
      <c r="F2311" s="173"/>
      <c r="G2311" s="172"/>
      <c r="H2311" s="172"/>
      <c r="I2311" s="174"/>
      <c r="J2311" s="174"/>
      <c r="K2311" s="175"/>
      <c r="L2311" s="175"/>
      <c r="M2311" s="170"/>
      <c r="N2311" s="170"/>
      <c r="O2311" s="176"/>
      <c r="P2311" s="173"/>
      <c r="Q2311" s="177"/>
      <c r="R2311" s="178"/>
      <c r="S2311" s="178"/>
      <c r="T2311" s="179"/>
      <c r="U2311" s="179"/>
      <c r="V2311" s="179"/>
      <c r="W2311" s="176"/>
      <c r="X2311" s="180"/>
      <c r="Y2311" s="170"/>
      <c r="Z2311" s="170"/>
    </row>
    <row r="2312" spans="1:26">
      <c r="A2312" s="170"/>
      <c r="B2312" s="171"/>
      <c r="C2312" s="170"/>
      <c r="D2312" s="172"/>
      <c r="E2312" s="172"/>
      <c r="F2312" s="173"/>
      <c r="G2312" s="172"/>
      <c r="H2312" s="172"/>
      <c r="I2312" s="174"/>
      <c r="J2312" s="174"/>
      <c r="K2312" s="175"/>
      <c r="L2312" s="175"/>
      <c r="M2312" s="170"/>
      <c r="N2312" s="170"/>
      <c r="O2312" s="176"/>
      <c r="P2312" s="173"/>
      <c r="Q2312" s="177"/>
      <c r="R2312" s="178"/>
      <c r="S2312" s="178"/>
      <c r="T2312" s="179"/>
      <c r="U2312" s="179"/>
      <c r="V2312" s="179"/>
      <c r="W2312" s="176"/>
      <c r="X2312" s="180"/>
      <c r="Y2312" s="170"/>
      <c r="Z2312" s="170"/>
    </row>
    <row r="2313" spans="1:26">
      <c r="A2313" s="170"/>
      <c r="B2313" s="171"/>
      <c r="C2313" s="170"/>
      <c r="D2313" s="172"/>
      <c r="E2313" s="172"/>
      <c r="F2313" s="173"/>
      <c r="G2313" s="172"/>
      <c r="H2313" s="172"/>
      <c r="I2313" s="174"/>
      <c r="J2313" s="174"/>
      <c r="K2313" s="175"/>
      <c r="L2313" s="175"/>
      <c r="M2313" s="170"/>
      <c r="N2313" s="170"/>
      <c r="O2313" s="176"/>
      <c r="P2313" s="173"/>
      <c r="Q2313" s="177"/>
      <c r="R2313" s="178"/>
      <c r="S2313" s="178"/>
      <c r="T2313" s="179"/>
      <c r="U2313" s="179"/>
      <c r="V2313" s="179"/>
      <c r="W2313" s="176"/>
      <c r="X2313" s="180"/>
      <c r="Y2313" s="170"/>
      <c r="Z2313" s="170"/>
    </row>
    <row r="2314" spans="1:26">
      <c r="A2314" s="170"/>
      <c r="B2314" s="171"/>
      <c r="C2314" s="170"/>
      <c r="D2314" s="172"/>
      <c r="E2314" s="172"/>
      <c r="F2314" s="173"/>
      <c r="G2314" s="172"/>
      <c r="H2314" s="172"/>
      <c r="I2314" s="174"/>
      <c r="J2314" s="174"/>
      <c r="K2314" s="175"/>
      <c r="L2314" s="175"/>
      <c r="M2314" s="170"/>
      <c r="N2314" s="170"/>
      <c r="O2314" s="176"/>
      <c r="P2314" s="173"/>
      <c r="Q2314" s="177"/>
      <c r="R2314" s="178"/>
      <c r="S2314" s="178"/>
      <c r="T2314" s="179"/>
      <c r="U2314" s="179"/>
      <c r="V2314" s="179"/>
      <c r="W2314" s="176"/>
      <c r="X2314" s="180"/>
      <c r="Y2314" s="170"/>
      <c r="Z2314" s="170"/>
    </row>
    <row r="2315" spans="1:26">
      <c r="A2315" s="170"/>
      <c r="B2315" s="171"/>
      <c r="C2315" s="170"/>
      <c r="D2315" s="172"/>
      <c r="E2315" s="172"/>
      <c r="F2315" s="173"/>
      <c r="G2315" s="172"/>
      <c r="H2315" s="172"/>
      <c r="I2315" s="174"/>
      <c r="J2315" s="174"/>
      <c r="K2315" s="175"/>
      <c r="L2315" s="175"/>
      <c r="M2315" s="170"/>
      <c r="N2315" s="170"/>
      <c r="O2315" s="176"/>
      <c r="P2315" s="173"/>
      <c r="Q2315" s="177"/>
      <c r="R2315" s="178"/>
      <c r="S2315" s="178"/>
      <c r="T2315" s="179"/>
      <c r="U2315" s="179"/>
      <c r="V2315" s="179"/>
      <c r="W2315" s="176"/>
      <c r="X2315" s="180"/>
      <c r="Y2315" s="170"/>
      <c r="Z2315" s="170"/>
    </row>
    <row r="2316" spans="1:26">
      <c r="A2316" s="170"/>
      <c r="B2316" s="171"/>
      <c r="C2316" s="170"/>
      <c r="D2316" s="172"/>
      <c r="E2316" s="172"/>
      <c r="F2316" s="173"/>
      <c r="G2316" s="172"/>
      <c r="H2316" s="172"/>
      <c r="I2316" s="174"/>
      <c r="J2316" s="174"/>
      <c r="K2316" s="175"/>
      <c r="L2316" s="175"/>
      <c r="M2316" s="170"/>
      <c r="N2316" s="170"/>
      <c r="O2316" s="176"/>
      <c r="P2316" s="173"/>
      <c r="Q2316" s="177"/>
      <c r="R2316" s="178"/>
      <c r="S2316" s="178"/>
      <c r="T2316" s="179"/>
      <c r="U2316" s="179"/>
      <c r="V2316" s="179"/>
      <c r="W2316" s="176"/>
      <c r="X2316" s="180"/>
      <c r="Y2316" s="170"/>
      <c r="Z2316" s="170"/>
    </row>
    <row r="2317" spans="1:26">
      <c r="A2317" s="170"/>
      <c r="B2317" s="171"/>
      <c r="C2317" s="170"/>
      <c r="D2317" s="172"/>
      <c r="E2317" s="172"/>
      <c r="F2317" s="173"/>
      <c r="G2317" s="172"/>
      <c r="H2317" s="172"/>
      <c r="I2317" s="174"/>
      <c r="J2317" s="174"/>
      <c r="K2317" s="175"/>
      <c r="L2317" s="175"/>
      <c r="M2317" s="170"/>
      <c r="N2317" s="170"/>
      <c r="O2317" s="176"/>
      <c r="P2317" s="173"/>
      <c r="Q2317" s="177"/>
      <c r="R2317" s="178"/>
      <c r="S2317" s="178"/>
      <c r="T2317" s="179"/>
      <c r="U2317" s="179"/>
      <c r="V2317" s="179"/>
      <c r="W2317" s="176"/>
      <c r="X2317" s="180"/>
      <c r="Y2317" s="170"/>
      <c r="Z2317" s="170"/>
    </row>
    <row r="2318" spans="1:26">
      <c r="A2318" s="170"/>
      <c r="B2318" s="171"/>
      <c r="C2318" s="170"/>
      <c r="D2318" s="172"/>
      <c r="E2318" s="172"/>
      <c r="F2318" s="173"/>
      <c r="G2318" s="172"/>
      <c r="H2318" s="172"/>
      <c r="I2318" s="174"/>
      <c r="J2318" s="174"/>
      <c r="K2318" s="175"/>
      <c r="L2318" s="175"/>
      <c r="M2318" s="170"/>
      <c r="N2318" s="170"/>
      <c r="O2318" s="176"/>
      <c r="P2318" s="173"/>
      <c r="Q2318" s="177"/>
      <c r="R2318" s="178"/>
      <c r="S2318" s="178"/>
      <c r="T2318" s="179"/>
      <c r="U2318" s="179"/>
      <c r="V2318" s="179"/>
      <c r="W2318" s="176"/>
      <c r="X2318" s="180"/>
      <c r="Y2318" s="170"/>
      <c r="Z2318" s="170"/>
    </row>
    <row r="2319" spans="1:26">
      <c r="A2319" s="170"/>
      <c r="B2319" s="171"/>
      <c r="C2319" s="170"/>
      <c r="D2319" s="172"/>
      <c r="E2319" s="172"/>
      <c r="F2319" s="173"/>
      <c r="G2319" s="172"/>
      <c r="H2319" s="172"/>
      <c r="I2319" s="174"/>
      <c r="J2319" s="174"/>
      <c r="K2319" s="175"/>
      <c r="L2319" s="175"/>
      <c r="M2319" s="170"/>
      <c r="N2319" s="170"/>
      <c r="O2319" s="176"/>
      <c r="P2319" s="173"/>
      <c r="Q2319" s="177"/>
      <c r="R2319" s="178"/>
      <c r="S2319" s="178"/>
      <c r="T2319" s="179"/>
      <c r="U2319" s="179"/>
      <c r="V2319" s="179"/>
      <c r="W2319" s="176"/>
      <c r="X2319" s="180"/>
      <c r="Y2319" s="170"/>
      <c r="Z2319" s="170"/>
    </row>
    <row r="2320" spans="1:26">
      <c r="A2320" s="170"/>
      <c r="B2320" s="171"/>
      <c r="C2320" s="170"/>
      <c r="D2320" s="172"/>
      <c r="E2320" s="172"/>
      <c r="F2320" s="173"/>
      <c r="G2320" s="172"/>
      <c r="H2320" s="172"/>
      <c r="I2320" s="174"/>
      <c r="J2320" s="174"/>
      <c r="K2320" s="175"/>
      <c r="L2320" s="175"/>
      <c r="M2320" s="170"/>
      <c r="N2320" s="170"/>
      <c r="O2320" s="176"/>
      <c r="P2320" s="173"/>
      <c r="Q2320" s="177"/>
      <c r="R2320" s="178"/>
      <c r="S2320" s="178"/>
      <c r="T2320" s="179"/>
      <c r="U2320" s="179"/>
      <c r="V2320" s="179"/>
      <c r="W2320" s="176"/>
      <c r="X2320" s="180"/>
      <c r="Y2320" s="170"/>
      <c r="Z2320" s="170"/>
    </row>
    <row r="2321" spans="1:26">
      <c r="A2321" s="170"/>
      <c r="B2321" s="171"/>
      <c r="C2321" s="170"/>
      <c r="D2321" s="172"/>
      <c r="E2321" s="172"/>
      <c r="F2321" s="173"/>
      <c r="G2321" s="172"/>
      <c r="H2321" s="172"/>
      <c r="I2321" s="174"/>
      <c r="J2321" s="174"/>
      <c r="K2321" s="175"/>
      <c r="L2321" s="175"/>
      <c r="M2321" s="170"/>
      <c r="N2321" s="170"/>
      <c r="O2321" s="176"/>
      <c r="P2321" s="173"/>
      <c r="Q2321" s="177"/>
      <c r="R2321" s="178"/>
      <c r="S2321" s="178"/>
      <c r="T2321" s="179"/>
      <c r="U2321" s="179"/>
      <c r="V2321" s="179"/>
      <c r="W2321" s="176"/>
      <c r="X2321" s="180"/>
      <c r="Y2321" s="170"/>
      <c r="Z2321" s="170"/>
    </row>
    <row r="2322" spans="1:26">
      <c r="A2322" s="170"/>
      <c r="B2322" s="171"/>
      <c r="C2322" s="170"/>
      <c r="D2322" s="172"/>
      <c r="E2322" s="172"/>
      <c r="F2322" s="173"/>
      <c r="G2322" s="172"/>
      <c r="H2322" s="172"/>
      <c r="I2322" s="174"/>
      <c r="J2322" s="174"/>
      <c r="K2322" s="175"/>
      <c r="L2322" s="175"/>
      <c r="M2322" s="170"/>
      <c r="N2322" s="170"/>
      <c r="O2322" s="176"/>
      <c r="P2322" s="173"/>
      <c r="Q2322" s="177"/>
      <c r="R2322" s="178"/>
      <c r="S2322" s="178"/>
      <c r="T2322" s="179"/>
      <c r="U2322" s="179"/>
      <c r="V2322" s="179"/>
      <c r="W2322" s="176"/>
      <c r="X2322" s="180"/>
      <c r="Y2322" s="170"/>
      <c r="Z2322" s="170"/>
    </row>
    <row r="2323" spans="1:26">
      <c r="A2323" s="170"/>
      <c r="B2323" s="171"/>
      <c r="C2323" s="170"/>
      <c r="D2323" s="172"/>
      <c r="E2323" s="172"/>
      <c r="F2323" s="173"/>
      <c r="G2323" s="172"/>
      <c r="H2323" s="172"/>
      <c r="I2323" s="174"/>
      <c r="J2323" s="174"/>
      <c r="K2323" s="175"/>
      <c r="L2323" s="175"/>
      <c r="M2323" s="170"/>
      <c r="N2323" s="170"/>
      <c r="O2323" s="176"/>
      <c r="P2323" s="173"/>
      <c r="Q2323" s="177"/>
      <c r="R2323" s="178"/>
      <c r="S2323" s="178"/>
      <c r="T2323" s="179"/>
      <c r="U2323" s="179"/>
      <c r="V2323" s="179"/>
      <c r="W2323" s="176"/>
      <c r="X2323" s="180"/>
      <c r="Y2323" s="170"/>
      <c r="Z2323" s="170"/>
    </row>
    <row r="2324" spans="1:26">
      <c r="A2324" s="170"/>
      <c r="B2324" s="171"/>
      <c r="C2324" s="170"/>
      <c r="D2324" s="172"/>
      <c r="E2324" s="172"/>
      <c r="F2324" s="173"/>
      <c r="G2324" s="172"/>
      <c r="H2324" s="172"/>
      <c r="I2324" s="174"/>
      <c r="J2324" s="174"/>
      <c r="K2324" s="175"/>
      <c r="L2324" s="175"/>
      <c r="M2324" s="170"/>
      <c r="N2324" s="170"/>
      <c r="O2324" s="176"/>
      <c r="P2324" s="173"/>
      <c r="Q2324" s="177"/>
      <c r="R2324" s="178"/>
      <c r="S2324" s="178"/>
      <c r="T2324" s="179"/>
      <c r="U2324" s="179"/>
      <c r="V2324" s="179"/>
      <c r="W2324" s="176"/>
      <c r="X2324" s="180"/>
      <c r="Y2324" s="170"/>
      <c r="Z2324" s="170"/>
    </row>
    <row r="2325" spans="1:26">
      <c r="A2325" s="170"/>
      <c r="B2325" s="171"/>
      <c r="C2325" s="170"/>
      <c r="D2325" s="172"/>
      <c r="E2325" s="172"/>
      <c r="F2325" s="173"/>
      <c r="G2325" s="172"/>
      <c r="H2325" s="172"/>
      <c r="I2325" s="174"/>
      <c r="J2325" s="174"/>
      <c r="K2325" s="175"/>
      <c r="L2325" s="175"/>
      <c r="M2325" s="170"/>
      <c r="N2325" s="170"/>
      <c r="O2325" s="176"/>
      <c r="P2325" s="173"/>
      <c r="Q2325" s="177"/>
      <c r="R2325" s="178"/>
      <c r="S2325" s="178"/>
      <c r="T2325" s="179"/>
      <c r="U2325" s="179"/>
      <c r="V2325" s="179"/>
      <c r="W2325" s="176"/>
      <c r="X2325" s="180"/>
      <c r="Y2325" s="170"/>
      <c r="Z2325" s="170"/>
    </row>
    <row r="2326" spans="1:26">
      <c r="A2326" s="170"/>
      <c r="B2326" s="171"/>
      <c r="C2326" s="170"/>
      <c r="D2326" s="172"/>
      <c r="E2326" s="172"/>
      <c r="F2326" s="173"/>
      <c r="G2326" s="172"/>
      <c r="H2326" s="172"/>
      <c r="I2326" s="174"/>
      <c r="J2326" s="174"/>
      <c r="K2326" s="175"/>
      <c r="L2326" s="175"/>
      <c r="M2326" s="170"/>
      <c r="N2326" s="170"/>
      <c r="O2326" s="176"/>
      <c r="P2326" s="173"/>
      <c r="Q2326" s="177"/>
      <c r="R2326" s="178"/>
      <c r="S2326" s="178"/>
      <c r="T2326" s="179"/>
      <c r="U2326" s="179"/>
      <c r="V2326" s="179"/>
      <c r="W2326" s="176"/>
      <c r="X2326" s="180"/>
      <c r="Y2326" s="170"/>
      <c r="Z2326" s="170"/>
    </row>
    <row r="2327" spans="1:26">
      <c r="A2327" s="170"/>
      <c r="B2327" s="171"/>
      <c r="C2327" s="170"/>
      <c r="D2327" s="172"/>
      <c r="E2327" s="172"/>
      <c r="F2327" s="173"/>
      <c r="G2327" s="172"/>
      <c r="H2327" s="172"/>
      <c r="I2327" s="174"/>
      <c r="J2327" s="174"/>
      <c r="K2327" s="175"/>
      <c r="L2327" s="175"/>
      <c r="M2327" s="170"/>
      <c r="N2327" s="170"/>
      <c r="O2327" s="176"/>
      <c r="P2327" s="173"/>
      <c r="Q2327" s="177"/>
      <c r="R2327" s="178"/>
      <c r="S2327" s="178"/>
      <c r="T2327" s="179"/>
      <c r="U2327" s="179"/>
      <c r="V2327" s="179"/>
      <c r="W2327" s="176"/>
      <c r="X2327" s="180"/>
      <c r="Y2327" s="170"/>
      <c r="Z2327" s="170"/>
    </row>
    <row r="2328" spans="1:26">
      <c r="A2328" s="170"/>
      <c r="B2328" s="171"/>
      <c r="C2328" s="170"/>
      <c r="D2328" s="172"/>
      <c r="E2328" s="172"/>
      <c r="F2328" s="173"/>
      <c r="G2328" s="172"/>
      <c r="H2328" s="172"/>
      <c r="I2328" s="174"/>
      <c r="J2328" s="174"/>
      <c r="K2328" s="175"/>
      <c r="L2328" s="175"/>
      <c r="M2328" s="170"/>
      <c r="N2328" s="170"/>
      <c r="O2328" s="176"/>
      <c r="P2328" s="173"/>
      <c r="Q2328" s="177"/>
      <c r="R2328" s="178"/>
      <c r="S2328" s="178"/>
      <c r="T2328" s="179"/>
      <c r="U2328" s="179"/>
      <c r="V2328" s="179"/>
      <c r="W2328" s="176"/>
      <c r="X2328" s="180"/>
      <c r="Y2328" s="170"/>
      <c r="Z2328" s="170"/>
    </row>
    <row r="2329" spans="1:26">
      <c r="A2329" s="170"/>
      <c r="B2329" s="171"/>
      <c r="C2329" s="170"/>
      <c r="D2329" s="172"/>
      <c r="E2329" s="172"/>
      <c r="F2329" s="173"/>
      <c r="G2329" s="172"/>
      <c r="H2329" s="172"/>
      <c r="I2329" s="174"/>
      <c r="J2329" s="174"/>
      <c r="K2329" s="175"/>
      <c r="L2329" s="175"/>
      <c r="M2329" s="170"/>
      <c r="N2329" s="170"/>
      <c r="O2329" s="176"/>
      <c r="P2329" s="173"/>
      <c r="Q2329" s="177"/>
      <c r="R2329" s="178"/>
      <c r="S2329" s="178"/>
      <c r="T2329" s="179"/>
      <c r="U2329" s="179"/>
      <c r="V2329" s="179"/>
      <c r="W2329" s="176"/>
      <c r="X2329" s="180"/>
      <c r="Y2329" s="170"/>
      <c r="Z2329" s="170"/>
    </row>
    <row r="2330" spans="1:26">
      <c r="A2330" s="170"/>
      <c r="B2330" s="171"/>
      <c r="C2330" s="170"/>
      <c r="D2330" s="172"/>
      <c r="E2330" s="172"/>
      <c r="F2330" s="173"/>
      <c r="G2330" s="172"/>
      <c r="H2330" s="172"/>
      <c r="I2330" s="174"/>
      <c r="J2330" s="174"/>
      <c r="K2330" s="175"/>
      <c r="L2330" s="175"/>
      <c r="M2330" s="170"/>
      <c r="N2330" s="170"/>
      <c r="O2330" s="176"/>
      <c r="P2330" s="173"/>
      <c r="Q2330" s="177"/>
      <c r="R2330" s="178"/>
      <c r="S2330" s="178"/>
      <c r="T2330" s="179"/>
      <c r="U2330" s="179"/>
      <c r="V2330" s="179"/>
      <c r="W2330" s="176"/>
      <c r="X2330" s="180"/>
      <c r="Y2330" s="170"/>
      <c r="Z2330" s="170"/>
    </row>
    <row r="2331" spans="1:26">
      <c r="A2331" s="170"/>
      <c r="B2331" s="171"/>
      <c r="C2331" s="170"/>
      <c r="D2331" s="172"/>
      <c r="E2331" s="172"/>
      <c r="F2331" s="173"/>
      <c r="G2331" s="172"/>
      <c r="H2331" s="172"/>
      <c r="I2331" s="174"/>
      <c r="J2331" s="174"/>
      <c r="K2331" s="175"/>
      <c r="L2331" s="175"/>
      <c r="M2331" s="170"/>
      <c r="N2331" s="170"/>
      <c r="O2331" s="176"/>
      <c r="P2331" s="173"/>
      <c r="Q2331" s="177"/>
      <c r="R2331" s="178"/>
      <c r="S2331" s="178"/>
      <c r="T2331" s="179"/>
      <c r="U2331" s="179"/>
      <c r="V2331" s="179"/>
      <c r="W2331" s="176"/>
      <c r="X2331" s="180"/>
      <c r="Y2331" s="170"/>
      <c r="Z2331" s="170"/>
    </row>
    <row r="2332" spans="1:26">
      <c r="A2332" s="170"/>
      <c r="B2332" s="171"/>
      <c r="C2332" s="170"/>
      <c r="D2332" s="172"/>
      <c r="E2332" s="172"/>
      <c r="F2332" s="173"/>
      <c r="G2332" s="172"/>
      <c r="H2332" s="172"/>
      <c r="I2332" s="174"/>
      <c r="J2332" s="174"/>
      <c r="K2332" s="175"/>
      <c r="L2332" s="175"/>
      <c r="M2332" s="170"/>
      <c r="N2332" s="170"/>
      <c r="O2332" s="176"/>
      <c r="P2332" s="173"/>
      <c r="Q2332" s="177"/>
      <c r="R2332" s="178"/>
      <c r="S2332" s="178"/>
      <c r="T2332" s="179"/>
      <c r="U2332" s="179"/>
      <c r="V2332" s="179"/>
      <c r="W2332" s="176"/>
      <c r="X2332" s="180"/>
      <c r="Y2332" s="170"/>
      <c r="Z2332" s="170"/>
    </row>
    <row r="2333" spans="1:26">
      <c r="A2333" s="170"/>
      <c r="B2333" s="171"/>
      <c r="C2333" s="170"/>
      <c r="D2333" s="172"/>
      <c r="E2333" s="172"/>
      <c r="F2333" s="173"/>
      <c r="G2333" s="172"/>
      <c r="H2333" s="172"/>
      <c r="I2333" s="174"/>
      <c r="J2333" s="174"/>
      <c r="K2333" s="175"/>
      <c r="L2333" s="175"/>
      <c r="M2333" s="170"/>
      <c r="N2333" s="170"/>
      <c r="O2333" s="176"/>
      <c r="P2333" s="173"/>
      <c r="Q2333" s="177"/>
      <c r="R2333" s="178"/>
      <c r="S2333" s="178"/>
      <c r="T2333" s="179"/>
      <c r="U2333" s="179"/>
      <c r="V2333" s="179"/>
      <c r="W2333" s="176"/>
      <c r="X2333" s="180"/>
      <c r="Y2333" s="170"/>
      <c r="Z2333" s="170"/>
    </row>
    <row r="2334" spans="1:26">
      <c r="A2334" s="170"/>
      <c r="B2334" s="171"/>
      <c r="C2334" s="170"/>
      <c r="D2334" s="172"/>
      <c r="E2334" s="172"/>
      <c r="F2334" s="173"/>
      <c r="G2334" s="172"/>
      <c r="H2334" s="172"/>
      <c r="I2334" s="174"/>
      <c r="J2334" s="174"/>
      <c r="K2334" s="175"/>
      <c r="L2334" s="175"/>
      <c r="M2334" s="170"/>
      <c r="N2334" s="170"/>
      <c r="O2334" s="176"/>
      <c r="P2334" s="173"/>
      <c r="Q2334" s="177"/>
      <c r="R2334" s="178"/>
      <c r="S2334" s="178"/>
      <c r="T2334" s="179"/>
      <c r="U2334" s="179"/>
      <c r="V2334" s="179"/>
      <c r="W2334" s="176"/>
      <c r="X2334" s="180"/>
      <c r="Y2334" s="170"/>
      <c r="Z2334" s="170"/>
    </row>
    <row r="2335" spans="1:26">
      <c r="A2335" s="170"/>
      <c r="B2335" s="171"/>
      <c r="C2335" s="170"/>
      <c r="D2335" s="172"/>
      <c r="E2335" s="172"/>
      <c r="F2335" s="173"/>
      <c r="G2335" s="172"/>
      <c r="H2335" s="172"/>
      <c r="I2335" s="174"/>
      <c r="J2335" s="174"/>
      <c r="K2335" s="175"/>
      <c r="L2335" s="175"/>
      <c r="M2335" s="170"/>
      <c r="N2335" s="170"/>
      <c r="O2335" s="176"/>
      <c r="P2335" s="173"/>
      <c r="Q2335" s="177"/>
      <c r="R2335" s="178"/>
      <c r="S2335" s="178"/>
      <c r="T2335" s="179"/>
      <c r="U2335" s="179"/>
      <c r="V2335" s="179"/>
      <c r="W2335" s="176"/>
      <c r="X2335" s="180"/>
      <c r="Y2335" s="170"/>
      <c r="Z2335" s="170"/>
    </row>
    <row r="2336" spans="1:26">
      <c r="A2336" s="170"/>
      <c r="B2336" s="171"/>
      <c r="C2336" s="170"/>
      <c r="D2336" s="172"/>
      <c r="E2336" s="172"/>
      <c r="F2336" s="173"/>
      <c r="G2336" s="172"/>
      <c r="H2336" s="172"/>
      <c r="I2336" s="174"/>
      <c r="J2336" s="174"/>
      <c r="K2336" s="175"/>
      <c r="L2336" s="175"/>
      <c r="M2336" s="170"/>
      <c r="N2336" s="170"/>
      <c r="O2336" s="176"/>
      <c r="P2336" s="173"/>
      <c r="Q2336" s="177"/>
      <c r="R2336" s="178"/>
      <c r="S2336" s="178"/>
      <c r="T2336" s="179"/>
      <c r="U2336" s="179"/>
      <c r="V2336" s="179"/>
      <c r="W2336" s="176"/>
      <c r="X2336" s="180"/>
      <c r="Y2336" s="170"/>
      <c r="Z2336" s="170"/>
    </row>
    <row r="2337" spans="1:26">
      <c r="A2337" s="170"/>
      <c r="B2337" s="171"/>
      <c r="C2337" s="170"/>
      <c r="D2337" s="172"/>
      <c r="E2337" s="172"/>
      <c r="F2337" s="173"/>
      <c r="G2337" s="172"/>
      <c r="H2337" s="172"/>
      <c r="I2337" s="174"/>
      <c r="J2337" s="174"/>
      <c r="K2337" s="175"/>
      <c r="L2337" s="175"/>
      <c r="M2337" s="170"/>
      <c r="N2337" s="170"/>
      <c r="O2337" s="176"/>
      <c r="P2337" s="173"/>
      <c r="Q2337" s="177"/>
      <c r="R2337" s="178"/>
      <c r="S2337" s="178"/>
      <c r="T2337" s="179"/>
      <c r="U2337" s="179"/>
      <c r="V2337" s="179"/>
      <c r="W2337" s="176"/>
      <c r="X2337" s="180"/>
      <c r="Y2337" s="170"/>
      <c r="Z2337" s="170"/>
    </row>
    <row r="2338" spans="1:26">
      <c r="A2338" s="170"/>
      <c r="B2338" s="171"/>
      <c r="C2338" s="170"/>
      <c r="D2338" s="172"/>
      <c r="E2338" s="172"/>
      <c r="F2338" s="173"/>
      <c r="G2338" s="172"/>
      <c r="H2338" s="172"/>
      <c r="I2338" s="174"/>
      <c r="J2338" s="174"/>
      <c r="K2338" s="175"/>
      <c r="L2338" s="175"/>
      <c r="M2338" s="170"/>
      <c r="N2338" s="170"/>
      <c r="O2338" s="176"/>
      <c r="P2338" s="173"/>
      <c r="Q2338" s="177"/>
      <c r="R2338" s="178"/>
      <c r="S2338" s="178"/>
      <c r="T2338" s="179"/>
      <c r="U2338" s="179"/>
      <c r="V2338" s="179"/>
      <c r="W2338" s="176"/>
      <c r="X2338" s="180"/>
      <c r="Y2338" s="170"/>
      <c r="Z2338" s="170"/>
    </row>
    <row r="2339" spans="1:26">
      <c r="A2339" s="170"/>
      <c r="B2339" s="171"/>
      <c r="C2339" s="170"/>
      <c r="D2339" s="172"/>
      <c r="E2339" s="172"/>
      <c r="F2339" s="173"/>
      <c r="G2339" s="172"/>
      <c r="H2339" s="172"/>
      <c r="I2339" s="174"/>
      <c r="J2339" s="174"/>
      <c r="K2339" s="175"/>
      <c r="L2339" s="175"/>
      <c r="M2339" s="170"/>
      <c r="N2339" s="170"/>
      <c r="O2339" s="176"/>
      <c r="P2339" s="173"/>
      <c r="Q2339" s="177"/>
      <c r="R2339" s="178"/>
      <c r="S2339" s="178"/>
      <c r="T2339" s="179"/>
      <c r="U2339" s="179"/>
      <c r="V2339" s="179"/>
      <c r="W2339" s="176"/>
      <c r="X2339" s="180"/>
      <c r="Y2339" s="170"/>
      <c r="Z2339" s="170"/>
    </row>
    <row r="2340" spans="1:26">
      <c r="A2340" s="170"/>
      <c r="B2340" s="171"/>
      <c r="C2340" s="170"/>
      <c r="D2340" s="172"/>
      <c r="E2340" s="172"/>
      <c r="F2340" s="173"/>
      <c r="G2340" s="172"/>
      <c r="H2340" s="172"/>
      <c r="I2340" s="174"/>
      <c r="J2340" s="174"/>
      <c r="K2340" s="175"/>
      <c r="L2340" s="175"/>
      <c r="M2340" s="170"/>
      <c r="N2340" s="170"/>
      <c r="O2340" s="176"/>
      <c r="P2340" s="173"/>
      <c r="Q2340" s="177"/>
      <c r="R2340" s="178"/>
      <c r="S2340" s="178"/>
      <c r="T2340" s="179"/>
      <c r="U2340" s="179"/>
      <c r="V2340" s="179"/>
      <c r="W2340" s="176"/>
      <c r="X2340" s="180"/>
      <c r="Y2340" s="170"/>
      <c r="Z2340" s="170"/>
    </row>
    <row r="2341" spans="1:26">
      <c r="A2341" s="170"/>
      <c r="B2341" s="171"/>
      <c r="C2341" s="170"/>
      <c r="D2341" s="172"/>
      <c r="E2341" s="172"/>
      <c r="F2341" s="173"/>
      <c r="G2341" s="172"/>
      <c r="H2341" s="172"/>
      <c r="I2341" s="174"/>
      <c r="J2341" s="174"/>
      <c r="K2341" s="175"/>
      <c r="L2341" s="175"/>
      <c r="M2341" s="170"/>
      <c r="N2341" s="170"/>
      <c r="O2341" s="176"/>
      <c r="P2341" s="173"/>
      <c r="Q2341" s="177"/>
      <c r="R2341" s="178"/>
      <c r="S2341" s="178"/>
      <c r="T2341" s="179"/>
      <c r="U2341" s="179"/>
      <c r="V2341" s="179"/>
      <c r="W2341" s="176"/>
      <c r="X2341" s="180"/>
      <c r="Y2341" s="170"/>
      <c r="Z2341" s="170"/>
    </row>
    <row r="2342" spans="1:26">
      <c r="A2342" s="170"/>
      <c r="B2342" s="171"/>
      <c r="C2342" s="170"/>
      <c r="D2342" s="172"/>
      <c r="E2342" s="172"/>
      <c r="F2342" s="173"/>
      <c r="G2342" s="172"/>
      <c r="H2342" s="172"/>
      <c r="I2342" s="174"/>
      <c r="J2342" s="174"/>
      <c r="K2342" s="175"/>
      <c r="L2342" s="175"/>
      <c r="M2342" s="170"/>
      <c r="N2342" s="170"/>
      <c r="O2342" s="176"/>
      <c r="P2342" s="173"/>
      <c r="Q2342" s="177"/>
      <c r="R2342" s="178"/>
      <c r="S2342" s="178"/>
      <c r="T2342" s="179"/>
      <c r="U2342" s="179"/>
      <c r="V2342" s="179"/>
      <c r="W2342" s="176"/>
      <c r="X2342" s="180"/>
      <c r="Y2342" s="170"/>
      <c r="Z2342" s="170"/>
    </row>
    <row r="2343" spans="1:26">
      <c r="A2343" s="170"/>
      <c r="B2343" s="171"/>
      <c r="C2343" s="170"/>
      <c r="D2343" s="172"/>
      <c r="E2343" s="172"/>
      <c r="F2343" s="173"/>
      <c r="G2343" s="172"/>
      <c r="H2343" s="172"/>
      <c r="I2343" s="174"/>
      <c r="J2343" s="174"/>
      <c r="K2343" s="175"/>
      <c r="L2343" s="175"/>
      <c r="M2343" s="170"/>
      <c r="N2343" s="170"/>
      <c r="O2343" s="176"/>
      <c r="P2343" s="173"/>
      <c r="Q2343" s="177"/>
      <c r="R2343" s="178"/>
      <c r="S2343" s="178"/>
      <c r="T2343" s="179"/>
      <c r="U2343" s="179"/>
      <c r="V2343" s="179"/>
      <c r="W2343" s="176"/>
      <c r="X2343" s="180"/>
      <c r="Y2343" s="170"/>
      <c r="Z2343" s="170"/>
    </row>
    <row r="2344" spans="1:26">
      <c r="A2344" s="170"/>
      <c r="B2344" s="171"/>
      <c r="C2344" s="170"/>
      <c r="D2344" s="172"/>
      <c r="E2344" s="172"/>
      <c r="F2344" s="173"/>
      <c r="G2344" s="172"/>
      <c r="H2344" s="172"/>
      <c r="I2344" s="174"/>
      <c r="J2344" s="174"/>
      <c r="K2344" s="175"/>
      <c r="L2344" s="175"/>
      <c r="M2344" s="170"/>
      <c r="N2344" s="170"/>
      <c r="O2344" s="176"/>
      <c r="P2344" s="173"/>
      <c r="Q2344" s="177"/>
      <c r="R2344" s="178"/>
      <c r="S2344" s="178"/>
      <c r="T2344" s="179"/>
      <c r="U2344" s="179"/>
      <c r="V2344" s="179"/>
      <c r="W2344" s="176"/>
      <c r="X2344" s="180"/>
      <c r="Y2344" s="170"/>
      <c r="Z2344" s="170"/>
    </row>
    <row r="2345" spans="1:26">
      <c r="A2345" s="170"/>
      <c r="B2345" s="171"/>
      <c r="C2345" s="170"/>
      <c r="D2345" s="172"/>
      <c r="E2345" s="172"/>
      <c r="F2345" s="173"/>
      <c r="G2345" s="172"/>
      <c r="H2345" s="172"/>
      <c r="I2345" s="174"/>
      <c r="J2345" s="174"/>
      <c r="K2345" s="175"/>
      <c r="L2345" s="175"/>
      <c r="M2345" s="170"/>
      <c r="N2345" s="170"/>
      <c r="O2345" s="176"/>
      <c r="P2345" s="173"/>
      <c r="Q2345" s="177"/>
      <c r="R2345" s="178"/>
      <c r="S2345" s="178"/>
      <c r="T2345" s="179"/>
      <c r="U2345" s="179"/>
      <c r="V2345" s="179"/>
      <c r="W2345" s="176"/>
      <c r="X2345" s="180"/>
      <c r="Y2345" s="170"/>
      <c r="Z2345" s="170"/>
    </row>
    <row r="2346" spans="1:26">
      <c r="A2346" s="170"/>
      <c r="B2346" s="171"/>
      <c r="C2346" s="170"/>
      <c r="D2346" s="172"/>
      <c r="E2346" s="172"/>
      <c r="F2346" s="173"/>
      <c r="G2346" s="172"/>
      <c r="H2346" s="172"/>
      <c r="I2346" s="174"/>
      <c r="J2346" s="174"/>
      <c r="K2346" s="175"/>
      <c r="L2346" s="175"/>
      <c r="M2346" s="170"/>
      <c r="N2346" s="170"/>
      <c r="O2346" s="176"/>
      <c r="P2346" s="173"/>
      <c r="Q2346" s="177"/>
      <c r="R2346" s="178"/>
      <c r="S2346" s="178"/>
      <c r="T2346" s="179"/>
      <c r="U2346" s="179"/>
      <c r="V2346" s="179"/>
      <c r="W2346" s="176"/>
      <c r="X2346" s="180"/>
      <c r="Y2346" s="170"/>
      <c r="Z2346" s="170"/>
    </row>
    <row r="2347" spans="1:26">
      <c r="A2347" s="170"/>
      <c r="B2347" s="171"/>
      <c r="C2347" s="170"/>
      <c r="D2347" s="172"/>
      <c r="E2347" s="172"/>
      <c r="F2347" s="173"/>
      <c r="G2347" s="172"/>
      <c r="H2347" s="172"/>
      <c r="I2347" s="174"/>
      <c r="J2347" s="174"/>
      <c r="K2347" s="175"/>
      <c r="L2347" s="175"/>
      <c r="M2347" s="170"/>
      <c r="N2347" s="170"/>
      <c r="O2347" s="176"/>
      <c r="P2347" s="173"/>
      <c r="Q2347" s="177"/>
      <c r="R2347" s="178"/>
      <c r="S2347" s="178"/>
      <c r="T2347" s="179"/>
      <c r="U2347" s="179"/>
      <c r="V2347" s="179"/>
      <c r="W2347" s="176"/>
      <c r="X2347" s="180"/>
      <c r="Y2347" s="170"/>
      <c r="Z2347" s="170"/>
    </row>
    <row r="2348" spans="1:26">
      <c r="A2348" s="170"/>
      <c r="B2348" s="171"/>
      <c r="C2348" s="170"/>
      <c r="D2348" s="172"/>
      <c r="E2348" s="172"/>
      <c r="F2348" s="173"/>
      <c r="G2348" s="172"/>
      <c r="H2348" s="172"/>
      <c r="I2348" s="174"/>
      <c r="J2348" s="174"/>
      <c r="K2348" s="175"/>
      <c r="L2348" s="175"/>
      <c r="M2348" s="170"/>
      <c r="N2348" s="170"/>
      <c r="O2348" s="176"/>
      <c r="P2348" s="173"/>
      <c r="Q2348" s="177"/>
      <c r="R2348" s="178"/>
      <c r="S2348" s="178"/>
      <c r="T2348" s="179"/>
      <c r="U2348" s="179"/>
      <c r="V2348" s="179"/>
      <c r="W2348" s="176"/>
      <c r="X2348" s="180"/>
      <c r="Y2348" s="170"/>
      <c r="Z2348" s="170"/>
    </row>
    <row r="2349" spans="1:26">
      <c r="A2349" s="170"/>
      <c r="B2349" s="171"/>
      <c r="C2349" s="170"/>
      <c r="D2349" s="172"/>
      <c r="E2349" s="172"/>
      <c r="F2349" s="173"/>
      <c r="G2349" s="172"/>
      <c r="H2349" s="172"/>
      <c r="I2349" s="174"/>
      <c r="J2349" s="174"/>
      <c r="K2349" s="175"/>
      <c r="L2349" s="175"/>
      <c r="M2349" s="170"/>
      <c r="N2349" s="170"/>
      <c r="O2349" s="176"/>
      <c r="P2349" s="173"/>
      <c r="Q2349" s="177"/>
      <c r="R2349" s="178"/>
      <c r="S2349" s="178"/>
      <c r="T2349" s="179"/>
      <c r="U2349" s="179"/>
      <c r="V2349" s="179"/>
      <c r="W2349" s="176"/>
      <c r="X2349" s="180"/>
      <c r="Y2349" s="170"/>
      <c r="Z2349" s="170"/>
    </row>
    <row r="2350" spans="1:26">
      <c r="A2350" s="170"/>
      <c r="B2350" s="171"/>
      <c r="C2350" s="170"/>
      <c r="D2350" s="172"/>
      <c r="E2350" s="172"/>
      <c r="F2350" s="173"/>
      <c r="G2350" s="172"/>
      <c r="H2350" s="172"/>
      <c r="I2350" s="174"/>
      <c r="J2350" s="174"/>
      <c r="K2350" s="175"/>
      <c r="L2350" s="175"/>
      <c r="M2350" s="170"/>
      <c r="N2350" s="170"/>
      <c r="O2350" s="176"/>
      <c r="P2350" s="173"/>
      <c r="Q2350" s="177"/>
      <c r="R2350" s="178"/>
      <c r="S2350" s="178"/>
      <c r="T2350" s="179"/>
      <c r="U2350" s="179"/>
      <c r="V2350" s="179"/>
      <c r="W2350" s="176"/>
      <c r="X2350" s="180"/>
      <c r="Y2350" s="170"/>
      <c r="Z2350" s="170"/>
    </row>
    <row r="2351" spans="1:26">
      <c r="A2351" s="170"/>
      <c r="B2351" s="171"/>
      <c r="C2351" s="170"/>
      <c r="D2351" s="172"/>
      <c r="E2351" s="172"/>
      <c r="F2351" s="173"/>
      <c r="G2351" s="172"/>
      <c r="H2351" s="172"/>
      <c r="I2351" s="174"/>
      <c r="J2351" s="174"/>
      <c r="K2351" s="175"/>
      <c r="L2351" s="175"/>
      <c r="M2351" s="170"/>
      <c r="N2351" s="170"/>
      <c r="O2351" s="176"/>
      <c r="P2351" s="173"/>
      <c r="Q2351" s="177"/>
      <c r="R2351" s="178"/>
      <c r="S2351" s="178"/>
      <c r="T2351" s="179"/>
      <c r="U2351" s="179"/>
      <c r="V2351" s="179"/>
      <c r="W2351" s="176"/>
      <c r="X2351" s="180"/>
      <c r="Y2351" s="170"/>
      <c r="Z2351" s="170"/>
    </row>
    <row r="2352" spans="1:26">
      <c r="A2352" s="170"/>
      <c r="B2352" s="171"/>
      <c r="C2352" s="170"/>
      <c r="D2352" s="172"/>
      <c r="E2352" s="172"/>
      <c r="F2352" s="173"/>
      <c r="G2352" s="172"/>
      <c r="H2352" s="172"/>
      <c r="I2352" s="174"/>
      <c r="J2352" s="174"/>
      <c r="K2352" s="175"/>
      <c r="L2352" s="175"/>
      <c r="M2352" s="170"/>
      <c r="N2352" s="170"/>
      <c r="O2352" s="176"/>
      <c r="P2352" s="173"/>
      <c r="Q2352" s="177"/>
      <c r="R2352" s="178"/>
      <c r="S2352" s="178"/>
      <c r="T2352" s="179"/>
      <c r="U2352" s="179"/>
      <c r="V2352" s="179"/>
      <c r="W2352" s="176"/>
      <c r="X2352" s="180"/>
      <c r="Y2352" s="170"/>
      <c r="Z2352" s="170"/>
    </row>
    <row r="2353" spans="1:26">
      <c r="A2353" s="170"/>
      <c r="B2353" s="171"/>
      <c r="C2353" s="170"/>
      <c r="D2353" s="172"/>
      <c r="E2353" s="172"/>
      <c r="F2353" s="173"/>
      <c r="G2353" s="172"/>
      <c r="H2353" s="172"/>
      <c r="I2353" s="174"/>
      <c r="J2353" s="174"/>
      <c r="K2353" s="175"/>
      <c r="L2353" s="175"/>
      <c r="M2353" s="170"/>
      <c r="N2353" s="170"/>
      <c r="O2353" s="176"/>
      <c r="P2353" s="173"/>
      <c r="Q2353" s="177"/>
      <c r="R2353" s="178"/>
      <c r="S2353" s="178"/>
      <c r="T2353" s="179"/>
      <c r="U2353" s="179"/>
      <c r="V2353" s="179"/>
      <c r="W2353" s="176"/>
      <c r="X2353" s="180"/>
      <c r="Y2353" s="170"/>
      <c r="Z2353" s="170"/>
    </row>
    <row r="2354" spans="1:26">
      <c r="A2354" s="170"/>
      <c r="B2354" s="171"/>
      <c r="C2354" s="170"/>
      <c r="D2354" s="172"/>
      <c r="E2354" s="172"/>
      <c r="F2354" s="173"/>
      <c r="G2354" s="172"/>
      <c r="H2354" s="172"/>
      <c r="I2354" s="174"/>
      <c r="J2354" s="174"/>
      <c r="K2354" s="175"/>
      <c r="L2354" s="175"/>
      <c r="M2354" s="170"/>
      <c r="N2354" s="170"/>
      <c r="O2354" s="176"/>
      <c r="P2354" s="173"/>
      <c r="Q2354" s="177"/>
      <c r="R2354" s="178"/>
      <c r="S2354" s="178"/>
      <c r="T2354" s="179"/>
      <c r="U2354" s="179"/>
      <c r="V2354" s="179"/>
      <c r="W2354" s="176"/>
      <c r="X2354" s="180"/>
      <c r="Y2354" s="170"/>
      <c r="Z2354" s="170"/>
    </row>
    <row r="2355" spans="1:26">
      <c r="A2355" s="170"/>
      <c r="B2355" s="171"/>
      <c r="C2355" s="170"/>
      <c r="D2355" s="172"/>
      <c r="E2355" s="172"/>
      <c r="F2355" s="173"/>
      <c r="G2355" s="172"/>
      <c r="H2355" s="172"/>
      <c r="I2355" s="174"/>
      <c r="J2355" s="174"/>
      <c r="K2355" s="175"/>
      <c r="L2355" s="175"/>
      <c r="M2355" s="170"/>
      <c r="N2355" s="170"/>
      <c r="O2355" s="176"/>
      <c r="P2355" s="173"/>
      <c r="Q2355" s="177"/>
      <c r="R2355" s="178"/>
      <c r="S2355" s="178"/>
      <c r="T2355" s="179"/>
      <c r="U2355" s="179"/>
      <c r="V2355" s="179"/>
      <c r="W2355" s="176"/>
      <c r="X2355" s="180"/>
      <c r="Y2355" s="170"/>
      <c r="Z2355" s="170"/>
    </row>
    <row r="2356" spans="1:26">
      <c r="A2356" s="170"/>
      <c r="B2356" s="171"/>
      <c r="C2356" s="170"/>
      <c r="D2356" s="172"/>
      <c r="E2356" s="172"/>
      <c r="F2356" s="173"/>
      <c r="G2356" s="172"/>
      <c r="H2356" s="172"/>
      <c r="I2356" s="174"/>
      <c r="J2356" s="174"/>
      <c r="K2356" s="175"/>
      <c r="L2356" s="175"/>
      <c r="M2356" s="170"/>
      <c r="N2356" s="170"/>
      <c r="O2356" s="176"/>
      <c r="P2356" s="173"/>
      <c r="Q2356" s="177"/>
      <c r="R2356" s="178"/>
      <c r="S2356" s="178"/>
      <c r="T2356" s="179"/>
      <c r="U2356" s="179"/>
      <c r="V2356" s="179"/>
      <c r="W2356" s="176"/>
      <c r="X2356" s="180"/>
      <c r="Y2356" s="170"/>
      <c r="Z2356" s="170"/>
    </row>
    <row r="2357" spans="1:26">
      <c r="A2357" s="170"/>
      <c r="B2357" s="171"/>
      <c r="C2357" s="170"/>
      <c r="D2357" s="172"/>
      <c r="E2357" s="172"/>
      <c r="F2357" s="173"/>
      <c r="G2357" s="172"/>
      <c r="H2357" s="172"/>
      <c r="I2357" s="174"/>
      <c r="J2357" s="174"/>
      <c r="K2357" s="175"/>
      <c r="L2357" s="175"/>
      <c r="M2357" s="170"/>
      <c r="N2357" s="170"/>
      <c r="O2357" s="176"/>
      <c r="P2357" s="173"/>
      <c r="Q2357" s="177"/>
      <c r="R2357" s="178"/>
      <c r="S2357" s="178"/>
      <c r="T2357" s="179"/>
      <c r="U2357" s="179"/>
      <c r="V2357" s="179"/>
      <c r="W2357" s="176"/>
      <c r="X2357" s="180"/>
      <c r="Y2357" s="170"/>
      <c r="Z2357" s="170"/>
    </row>
    <row r="2358" spans="1:26">
      <c r="A2358" s="170"/>
      <c r="B2358" s="171"/>
      <c r="C2358" s="170"/>
      <c r="D2358" s="172"/>
      <c r="E2358" s="172"/>
      <c r="F2358" s="173"/>
      <c r="G2358" s="172"/>
      <c r="H2358" s="172"/>
      <c r="I2358" s="174"/>
      <c r="J2358" s="174"/>
      <c r="K2358" s="175"/>
      <c r="L2358" s="175"/>
      <c r="M2358" s="170"/>
      <c r="N2358" s="170"/>
      <c r="O2358" s="176"/>
      <c r="P2358" s="173"/>
      <c r="Q2358" s="177"/>
      <c r="R2358" s="178"/>
      <c r="S2358" s="178"/>
      <c r="T2358" s="179"/>
      <c r="U2358" s="179"/>
      <c r="V2358" s="179"/>
      <c r="W2358" s="176"/>
      <c r="X2358" s="180"/>
      <c r="Y2358" s="170"/>
      <c r="Z2358" s="170"/>
    </row>
    <row r="2359" spans="1:26">
      <c r="A2359" s="170"/>
      <c r="B2359" s="171"/>
      <c r="C2359" s="170"/>
      <c r="D2359" s="172"/>
      <c r="E2359" s="172"/>
      <c r="F2359" s="173"/>
      <c r="G2359" s="172"/>
      <c r="H2359" s="172"/>
      <c r="I2359" s="174"/>
      <c r="J2359" s="174"/>
      <c r="K2359" s="175"/>
      <c r="L2359" s="175"/>
      <c r="M2359" s="170"/>
      <c r="N2359" s="170"/>
      <c r="O2359" s="176"/>
      <c r="P2359" s="173"/>
      <c r="Q2359" s="177"/>
      <c r="R2359" s="178"/>
      <c r="S2359" s="178"/>
      <c r="T2359" s="179"/>
      <c r="U2359" s="179"/>
      <c r="V2359" s="179"/>
      <c r="W2359" s="176"/>
      <c r="X2359" s="180"/>
      <c r="Y2359" s="170"/>
      <c r="Z2359" s="170"/>
    </row>
    <row r="2360" spans="1:26">
      <c r="A2360" s="170"/>
      <c r="B2360" s="171"/>
      <c r="C2360" s="170"/>
      <c r="D2360" s="172"/>
      <c r="E2360" s="172"/>
      <c r="F2360" s="173"/>
      <c r="G2360" s="172"/>
      <c r="H2360" s="172"/>
      <c r="I2360" s="174"/>
      <c r="J2360" s="174"/>
      <c r="K2360" s="175"/>
      <c r="L2360" s="175"/>
      <c r="M2360" s="170"/>
      <c r="N2360" s="170"/>
      <c r="O2360" s="176"/>
      <c r="P2360" s="173"/>
      <c r="Q2360" s="177"/>
      <c r="R2360" s="178"/>
      <c r="S2360" s="178"/>
      <c r="T2360" s="179"/>
      <c r="U2360" s="179"/>
      <c r="V2360" s="179"/>
      <c r="W2360" s="176"/>
      <c r="X2360" s="180"/>
      <c r="Y2360" s="170"/>
      <c r="Z2360" s="170"/>
    </row>
    <row r="2361" spans="1:26">
      <c r="A2361" s="170"/>
      <c r="B2361" s="171"/>
      <c r="C2361" s="170"/>
      <c r="D2361" s="172"/>
      <c r="E2361" s="172"/>
      <c r="F2361" s="173"/>
      <c r="G2361" s="172"/>
      <c r="H2361" s="172"/>
      <c r="I2361" s="174"/>
      <c r="J2361" s="174"/>
      <c r="K2361" s="175"/>
      <c r="L2361" s="175"/>
      <c r="M2361" s="170"/>
      <c r="N2361" s="170"/>
      <c r="O2361" s="176"/>
      <c r="P2361" s="173"/>
      <c r="Q2361" s="177"/>
      <c r="R2361" s="178"/>
      <c r="S2361" s="178"/>
      <c r="T2361" s="179"/>
      <c r="U2361" s="179"/>
      <c r="V2361" s="179"/>
      <c r="W2361" s="176"/>
      <c r="X2361" s="180"/>
      <c r="Y2361" s="170"/>
      <c r="Z2361" s="170"/>
    </row>
    <row r="2362" spans="1:26">
      <c r="A2362" s="170"/>
      <c r="B2362" s="171"/>
      <c r="C2362" s="170"/>
      <c r="D2362" s="172"/>
      <c r="E2362" s="172"/>
      <c r="F2362" s="173"/>
      <c r="G2362" s="172"/>
      <c r="H2362" s="172"/>
      <c r="I2362" s="174"/>
      <c r="J2362" s="174"/>
      <c r="K2362" s="175"/>
      <c r="L2362" s="175"/>
      <c r="M2362" s="170"/>
      <c r="N2362" s="170"/>
      <c r="O2362" s="176"/>
      <c r="P2362" s="173"/>
      <c r="Q2362" s="177"/>
      <c r="R2362" s="178"/>
      <c r="S2362" s="178"/>
      <c r="T2362" s="179"/>
      <c r="U2362" s="179"/>
      <c r="V2362" s="179"/>
      <c r="W2362" s="176"/>
      <c r="X2362" s="180"/>
      <c r="Y2362" s="170"/>
      <c r="Z2362" s="170"/>
    </row>
    <row r="2363" spans="1:26">
      <c r="A2363" s="170"/>
      <c r="B2363" s="171"/>
      <c r="C2363" s="170"/>
      <c r="D2363" s="172"/>
      <c r="E2363" s="172"/>
      <c r="F2363" s="173"/>
      <c r="G2363" s="172"/>
      <c r="H2363" s="172"/>
      <c r="I2363" s="174"/>
      <c r="J2363" s="174"/>
      <c r="K2363" s="175"/>
      <c r="L2363" s="175"/>
      <c r="M2363" s="170"/>
      <c r="N2363" s="170"/>
      <c r="O2363" s="176"/>
      <c r="P2363" s="173"/>
      <c r="Q2363" s="177"/>
      <c r="R2363" s="178"/>
      <c r="S2363" s="178"/>
      <c r="T2363" s="179"/>
      <c r="U2363" s="179"/>
      <c r="V2363" s="179"/>
      <c r="W2363" s="176"/>
      <c r="X2363" s="180"/>
      <c r="Y2363" s="170"/>
      <c r="Z2363" s="170"/>
    </row>
    <row r="2364" spans="1:26">
      <c r="A2364" s="170"/>
      <c r="B2364" s="171"/>
      <c r="C2364" s="170"/>
      <c r="D2364" s="172"/>
      <c r="E2364" s="172"/>
      <c r="F2364" s="173"/>
      <c r="G2364" s="172"/>
      <c r="H2364" s="172"/>
      <c r="I2364" s="174"/>
      <c r="J2364" s="174"/>
      <c r="K2364" s="175"/>
      <c r="L2364" s="175"/>
      <c r="M2364" s="170"/>
      <c r="N2364" s="170"/>
      <c r="O2364" s="176"/>
      <c r="P2364" s="173"/>
      <c r="Q2364" s="177"/>
      <c r="R2364" s="178"/>
      <c r="S2364" s="178"/>
      <c r="T2364" s="179"/>
      <c r="U2364" s="179"/>
      <c r="V2364" s="179"/>
      <c r="W2364" s="176"/>
      <c r="X2364" s="180"/>
      <c r="Y2364" s="170"/>
      <c r="Z2364" s="170"/>
    </row>
    <row r="2365" spans="1:26">
      <c r="A2365" s="170"/>
      <c r="B2365" s="171"/>
      <c r="C2365" s="170"/>
      <c r="D2365" s="172"/>
      <c r="E2365" s="172"/>
      <c r="F2365" s="173"/>
      <c r="G2365" s="172"/>
      <c r="H2365" s="172"/>
      <c r="I2365" s="174"/>
      <c r="J2365" s="174"/>
      <c r="K2365" s="175"/>
      <c r="L2365" s="175"/>
      <c r="M2365" s="170"/>
      <c r="N2365" s="170"/>
      <c r="O2365" s="176"/>
      <c r="P2365" s="173"/>
      <c r="Q2365" s="177"/>
      <c r="R2365" s="178"/>
      <c r="S2365" s="178"/>
      <c r="T2365" s="179"/>
      <c r="U2365" s="179"/>
      <c r="V2365" s="179"/>
      <c r="W2365" s="176"/>
      <c r="X2365" s="180"/>
      <c r="Y2365" s="170"/>
      <c r="Z2365" s="170"/>
    </row>
    <row r="2366" spans="1:26">
      <c r="A2366" s="170"/>
      <c r="B2366" s="171"/>
      <c r="C2366" s="170"/>
      <c r="D2366" s="172"/>
      <c r="E2366" s="172"/>
      <c r="F2366" s="173"/>
      <c r="G2366" s="172"/>
      <c r="H2366" s="172"/>
      <c r="I2366" s="174"/>
      <c r="J2366" s="174"/>
      <c r="K2366" s="175"/>
      <c r="L2366" s="175"/>
      <c r="M2366" s="170"/>
      <c r="N2366" s="170"/>
      <c r="O2366" s="176"/>
      <c r="P2366" s="173"/>
      <c r="Q2366" s="177"/>
      <c r="R2366" s="178"/>
      <c r="S2366" s="178"/>
      <c r="T2366" s="179"/>
      <c r="U2366" s="179"/>
      <c r="V2366" s="179"/>
      <c r="W2366" s="176"/>
      <c r="X2366" s="180"/>
      <c r="Y2366" s="170"/>
      <c r="Z2366" s="170"/>
    </row>
    <row r="2367" spans="1:26">
      <c r="A2367" s="170"/>
      <c r="B2367" s="171"/>
      <c r="C2367" s="170"/>
      <c r="D2367" s="172"/>
      <c r="E2367" s="172"/>
      <c r="F2367" s="173"/>
      <c r="G2367" s="172"/>
      <c r="H2367" s="172"/>
      <c r="I2367" s="174"/>
      <c r="J2367" s="174"/>
      <c r="K2367" s="175"/>
      <c r="L2367" s="175"/>
      <c r="M2367" s="170"/>
      <c r="N2367" s="170"/>
      <c r="O2367" s="176"/>
      <c r="P2367" s="173"/>
      <c r="Q2367" s="177"/>
      <c r="R2367" s="178"/>
      <c r="S2367" s="178"/>
      <c r="T2367" s="179"/>
      <c r="U2367" s="179"/>
      <c r="V2367" s="179"/>
      <c r="W2367" s="176"/>
      <c r="X2367" s="180"/>
      <c r="Y2367" s="170"/>
      <c r="Z2367" s="170"/>
    </row>
    <row r="2368" spans="1:26">
      <c r="A2368" s="170"/>
      <c r="B2368" s="171"/>
      <c r="C2368" s="170"/>
      <c r="D2368" s="172"/>
      <c r="E2368" s="172"/>
      <c r="F2368" s="173"/>
      <c r="G2368" s="172"/>
      <c r="H2368" s="172"/>
      <c r="I2368" s="174"/>
      <c r="J2368" s="174"/>
      <c r="K2368" s="175"/>
      <c r="L2368" s="175"/>
      <c r="M2368" s="170"/>
      <c r="N2368" s="170"/>
      <c r="O2368" s="176"/>
      <c r="P2368" s="173"/>
      <c r="Q2368" s="177"/>
      <c r="R2368" s="178"/>
      <c r="S2368" s="178"/>
      <c r="T2368" s="179"/>
      <c r="U2368" s="179"/>
      <c r="V2368" s="179"/>
      <c r="W2368" s="176"/>
      <c r="X2368" s="180"/>
      <c r="Y2368" s="170"/>
      <c r="Z2368" s="170"/>
    </row>
    <row r="2369" spans="1:26">
      <c r="A2369" s="170"/>
      <c r="B2369" s="171"/>
      <c r="C2369" s="170"/>
      <c r="D2369" s="172"/>
      <c r="E2369" s="172"/>
      <c r="F2369" s="173"/>
      <c r="G2369" s="172"/>
      <c r="H2369" s="172"/>
      <c r="I2369" s="174"/>
      <c r="J2369" s="174"/>
      <c r="K2369" s="175"/>
      <c r="L2369" s="175"/>
      <c r="M2369" s="170"/>
      <c r="N2369" s="170"/>
      <c r="O2369" s="176"/>
      <c r="P2369" s="173"/>
      <c r="Q2369" s="177"/>
      <c r="R2369" s="178"/>
      <c r="S2369" s="178"/>
      <c r="T2369" s="179"/>
      <c r="U2369" s="179"/>
      <c r="V2369" s="179"/>
      <c r="W2369" s="176"/>
      <c r="X2369" s="180"/>
      <c r="Y2369" s="170"/>
      <c r="Z2369" s="170"/>
    </row>
    <row r="2370" spans="1:26">
      <c r="A2370" s="170"/>
      <c r="B2370" s="171"/>
      <c r="C2370" s="170"/>
      <c r="D2370" s="172"/>
      <c r="E2370" s="172"/>
      <c r="F2370" s="173"/>
      <c r="G2370" s="172"/>
      <c r="H2370" s="172"/>
      <c r="I2370" s="174"/>
      <c r="J2370" s="174"/>
      <c r="K2370" s="175"/>
      <c r="L2370" s="175"/>
      <c r="M2370" s="170"/>
      <c r="N2370" s="170"/>
      <c r="O2370" s="176"/>
      <c r="P2370" s="173"/>
      <c r="Q2370" s="177"/>
      <c r="R2370" s="178"/>
      <c r="S2370" s="178"/>
      <c r="T2370" s="179"/>
      <c r="U2370" s="179"/>
      <c r="V2370" s="179"/>
      <c r="W2370" s="176"/>
      <c r="X2370" s="180"/>
      <c r="Y2370" s="170"/>
      <c r="Z2370" s="170"/>
    </row>
    <row r="2371" spans="1:26">
      <c r="A2371" s="170"/>
      <c r="B2371" s="171"/>
      <c r="C2371" s="170"/>
      <c r="D2371" s="172"/>
      <c r="E2371" s="172"/>
      <c r="F2371" s="173"/>
      <c r="G2371" s="172"/>
      <c r="H2371" s="172"/>
      <c r="I2371" s="174"/>
      <c r="J2371" s="174"/>
      <c r="K2371" s="175"/>
      <c r="L2371" s="175"/>
      <c r="M2371" s="170"/>
      <c r="N2371" s="170"/>
      <c r="O2371" s="176"/>
      <c r="P2371" s="173"/>
      <c r="Q2371" s="177"/>
      <c r="R2371" s="178"/>
      <c r="S2371" s="178"/>
      <c r="T2371" s="179"/>
      <c r="U2371" s="179"/>
      <c r="V2371" s="179"/>
      <c r="W2371" s="176"/>
      <c r="X2371" s="180"/>
      <c r="Y2371" s="170"/>
      <c r="Z2371" s="170"/>
    </row>
    <row r="2372" spans="1:26">
      <c r="A2372" s="170"/>
      <c r="B2372" s="171"/>
      <c r="C2372" s="170"/>
      <c r="D2372" s="172"/>
      <c r="E2372" s="172"/>
      <c r="F2372" s="173"/>
      <c r="G2372" s="172"/>
      <c r="H2372" s="172"/>
      <c r="I2372" s="174"/>
      <c r="J2372" s="174"/>
      <c r="K2372" s="175"/>
      <c r="L2372" s="175"/>
      <c r="M2372" s="170"/>
      <c r="N2372" s="170"/>
      <c r="O2372" s="176"/>
      <c r="P2372" s="173"/>
      <c r="Q2372" s="177"/>
      <c r="R2372" s="178"/>
      <c r="S2372" s="178"/>
      <c r="T2372" s="179"/>
      <c r="U2372" s="179"/>
      <c r="V2372" s="179"/>
      <c r="W2372" s="176"/>
      <c r="X2372" s="180"/>
      <c r="Y2372" s="170"/>
      <c r="Z2372" s="170"/>
    </row>
  </sheetData>
  <mergeCells count="694">
    <mergeCell ref="K1213:K1214"/>
    <mergeCell ref="L1213:L1214"/>
    <mergeCell ref="E1213:E1214"/>
    <mergeCell ref="I1234:I1237"/>
    <mergeCell ref="J1234:J1237"/>
    <mergeCell ref="F1239:F1240"/>
    <mergeCell ref="E1216:E1217"/>
    <mergeCell ref="E1244:E1245"/>
    <mergeCell ref="F1244:F1245"/>
    <mergeCell ref="G1244:G1245"/>
    <mergeCell ref="H1244:H1245"/>
    <mergeCell ref="I1244:I1245"/>
    <mergeCell ref="J1244:J1245"/>
    <mergeCell ref="E1194:E1195"/>
    <mergeCell ref="F1194:F1195"/>
    <mergeCell ref="D1194:D1195"/>
    <mergeCell ref="G1194:G1195"/>
    <mergeCell ref="H1194:H1195"/>
    <mergeCell ref="I1194:I1195"/>
    <mergeCell ref="E1197:E1198"/>
    <mergeCell ref="F1197:F1198"/>
    <mergeCell ref="F1202:F1203"/>
    <mergeCell ref="G1202:G1203"/>
    <mergeCell ref="H1202:H1203"/>
    <mergeCell ref="I1197:I1198"/>
    <mergeCell ref="D1202:D1203"/>
    <mergeCell ref="E1207:E1208"/>
    <mergeCell ref="H1207:H1208"/>
    <mergeCell ref="D1213:D1214"/>
    <mergeCell ref="D1216:D1217"/>
    <mergeCell ref="E1202:E1203"/>
    <mergeCell ref="D1222:D1223"/>
    <mergeCell ref="E1222:E1223"/>
    <mergeCell ref="F1222:F1223"/>
    <mergeCell ref="G1222:G1223"/>
    <mergeCell ref="H1222:H1223"/>
    <mergeCell ref="D1207:D1208"/>
    <mergeCell ref="J1106:J1107"/>
    <mergeCell ref="H1108:H1109"/>
    <mergeCell ref="I1108:I1109"/>
    <mergeCell ref="H1106:H1107"/>
    <mergeCell ref="F1213:F1214"/>
    <mergeCell ref="G1213:G1214"/>
    <mergeCell ref="H1213:H1214"/>
    <mergeCell ref="I1216:I1217"/>
    <mergeCell ref="H1216:H1217"/>
    <mergeCell ref="J1216:J1217"/>
    <mergeCell ref="F1216:F1217"/>
    <mergeCell ref="G1216:G1217"/>
    <mergeCell ref="F1207:F1208"/>
    <mergeCell ref="G1207:G1208"/>
    <mergeCell ref="I1207:I1208"/>
    <mergeCell ref="J1207:J1208"/>
    <mergeCell ref="I1202:I1203"/>
    <mergeCell ref="J1202:J1203"/>
    <mergeCell ref="G1197:G1198"/>
    <mergeCell ref="H1197:H1198"/>
    <mergeCell ref="J1197:J1198"/>
    <mergeCell ref="E1173:E1176"/>
    <mergeCell ref="F1173:F1176"/>
    <mergeCell ref="D1173:D1176"/>
    <mergeCell ref="D1178:D1179"/>
    <mergeCell ref="D1186:D1188"/>
    <mergeCell ref="E1186:E1188"/>
    <mergeCell ref="H1078:H1079"/>
    <mergeCell ref="I1078:I1079"/>
    <mergeCell ref="I1106:I1107"/>
    <mergeCell ref="F1084:F1085"/>
    <mergeCell ref="G1084:G1085"/>
    <mergeCell ref="J1178:J1179"/>
    <mergeCell ref="F1186:F1188"/>
    <mergeCell ref="G1186:G1188"/>
    <mergeCell ref="D1192:D1193"/>
    <mergeCell ref="E1192:E1193"/>
    <mergeCell ref="F1192:F1193"/>
    <mergeCell ref="G1192:G1193"/>
    <mergeCell ref="H1192:H1193"/>
    <mergeCell ref="I1192:I1193"/>
    <mergeCell ref="J1192:J1193"/>
    <mergeCell ref="E1178:E1179"/>
    <mergeCell ref="G1178:G1179"/>
    <mergeCell ref="H1186:H1188"/>
    <mergeCell ref="I1186:I1188"/>
    <mergeCell ref="J1186:J1188"/>
    <mergeCell ref="J1194:J1195"/>
    <mergeCell ref="Y1194:Y1195"/>
    <mergeCell ref="E1239:E1240"/>
    <mergeCell ref="G1239:G1240"/>
    <mergeCell ref="G1165:G1167"/>
    <mergeCell ref="H1165:H1167"/>
    <mergeCell ref="E1171:E1172"/>
    <mergeCell ref="F1171:F1172"/>
    <mergeCell ref="E1168:E1169"/>
    <mergeCell ref="F1168:F1169"/>
    <mergeCell ref="G1168:G1169"/>
    <mergeCell ref="H1168:H1169"/>
    <mergeCell ref="H1178:H1179"/>
    <mergeCell ref="I1178:I1179"/>
    <mergeCell ref="I1168:I1169"/>
    <mergeCell ref="J1168:J1169"/>
    <mergeCell ref="G1173:G1176"/>
    <mergeCell ref="H1173:H1176"/>
    <mergeCell ref="I1173:I1176"/>
    <mergeCell ref="J1173:J1176"/>
    <mergeCell ref="Y1296:Y1302"/>
    <mergeCell ref="Y1313:Y1314"/>
    <mergeCell ref="G1296:G1302"/>
    <mergeCell ref="H1296:H1302"/>
    <mergeCell ref="E1308:E1311"/>
    <mergeCell ref="F1308:F1311"/>
    <mergeCell ref="G1308:G1311"/>
    <mergeCell ref="H1308:H1311"/>
    <mergeCell ref="P1222:P1223"/>
    <mergeCell ref="Y1222:Y1223"/>
    <mergeCell ref="Y1229:Y1233"/>
    <mergeCell ref="Y1234:Y1237"/>
    <mergeCell ref="J1222:J1223"/>
    <mergeCell ref="I1222:I1223"/>
    <mergeCell ref="E1229:E1233"/>
    <mergeCell ref="F1229:F1233"/>
    <mergeCell ref="G1229:G1233"/>
    <mergeCell ref="H1229:H1233"/>
    <mergeCell ref="I1229:I1233"/>
    <mergeCell ref="J1229:J1233"/>
    <mergeCell ref="Y1151:Y1152"/>
    <mergeCell ref="D1151:D1152"/>
    <mergeCell ref="E1151:E1152"/>
    <mergeCell ref="F1151:F1152"/>
    <mergeCell ref="I1151:I1152"/>
    <mergeCell ref="G1171:G1172"/>
    <mergeCell ref="H1171:H1172"/>
    <mergeCell ref="I1171:I1172"/>
    <mergeCell ref="J1171:J1172"/>
    <mergeCell ref="E1161:E1162"/>
    <mergeCell ref="F1161:F1162"/>
    <mergeCell ref="G1151:G1152"/>
    <mergeCell ref="H1151:H1152"/>
    <mergeCell ref="D1161:D1162"/>
    <mergeCell ref="D1165:D1167"/>
    <mergeCell ref="D1171:D1172"/>
    <mergeCell ref="D1168:D1169"/>
    <mergeCell ref="J1151:J1152"/>
    <mergeCell ref="G1161:G1162"/>
    <mergeCell ref="H1161:H1162"/>
    <mergeCell ref="O1134:O1135"/>
    <mergeCell ref="O1136:O1137"/>
    <mergeCell ref="E1134:E1135"/>
    <mergeCell ref="F1134:F1135"/>
    <mergeCell ref="G1134:G1135"/>
    <mergeCell ref="D1136:D1137"/>
    <mergeCell ref="H1134:H1135"/>
    <mergeCell ref="I1134:I1135"/>
    <mergeCell ref="D1134:D1135"/>
    <mergeCell ref="Y1120:Y1122"/>
    <mergeCell ref="D1120:D1122"/>
    <mergeCell ref="E1120:E1122"/>
    <mergeCell ref="F1120:F1122"/>
    <mergeCell ref="G1120:G1122"/>
    <mergeCell ref="H1120:H1122"/>
    <mergeCell ref="I1120:I1122"/>
    <mergeCell ref="O1126:O1127"/>
    <mergeCell ref="D1126:D1127"/>
    <mergeCell ref="E1126:E1127"/>
    <mergeCell ref="F1126:F1127"/>
    <mergeCell ref="G1126:G1127"/>
    <mergeCell ref="H1126:H1127"/>
    <mergeCell ref="I1126:I1127"/>
    <mergeCell ref="E1336:E1338"/>
    <mergeCell ref="F1336:F1338"/>
    <mergeCell ref="E1285:E1286"/>
    <mergeCell ref="E1290:E1293"/>
    <mergeCell ref="E1313:E1314"/>
    <mergeCell ref="F1313:F1314"/>
    <mergeCell ref="G1313:G1314"/>
    <mergeCell ref="H1313:H1314"/>
    <mergeCell ref="H1325:H1326"/>
    <mergeCell ref="J1271:J1272"/>
    <mergeCell ref="J1277:J1279"/>
    <mergeCell ref="P1277:P1279"/>
    <mergeCell ref="J1282:J1283"/>
    <mergeCell ref="J1285:J1286"/>
    <mergeCell ref="J1290:J1293"/>
    <mergeCell ref="J1296:J1302"/>
    <mergeCell ref="E1325:E1326"/>
    <mergeCell ref="E1329:E1330"/>
    <mergeCell ref="F1329:F1330"/>
    <mergeCell ref="G1329:G1330"/>
    <mergeCell ref="H1329:H1330"/>
    <mergeCell ref="E1146:E1147"/>
    <mergeCell ref="D1155:D1156"/>
    <mergeCell ref="E1155:E1156"/>
    <mergeCell ref="E1165:E1167"/>
    <mergeCell ref="F1165:F1167"/>
    <mergeCell ref="I1165:I1167"/>
    <mergeCell ref="J1165:J1167"/>
    <mergeCell ref="F1155:F1156"/>
    <mergeCell ref="G1155:G1156"/>
    <mergeCell ref="H1155:H1156"/>
    <mergeCell ref="I1155:I1156"/>
    <mergeCell ref="J1155:J1156"/>
    <mergeCell ref="I1161:I1162"/>
    <mergeCell ref="J1161:J1162"/>
    <mergeCell ref="F1146:F1147"/>
    <mergeCell ref="H1146:H1147"/>
    <mergeCell ref="I1146:I1147"/>
    <mergeCell ref="J1146:J1147"/>
    <mergeCell ref="G1146:G1147"/>
    <mergeCell ref="H1136:H1137"/>
    <mergeCell ref="I1136:I1137"/>
    <mergeCell ref="J1108:J1109"/>
    <mergeCell ref="J1120:J1122"/>
    <mergeCell ref="J1126:J1127"/>
    <mergeCell ref="J1134:J1135"/>
    <mergeCell ref="E1136:E1137"/>
    <mergeCell ref="E1140:E1141"/>
    <mergeCell ref="J1140:J1141"/>
    <mergeCell ref="J1136:J1137"/>
    <mergeCell ref="F1136:F1137"/>
    <mergeCell ref="G1136:G1137"/>
    <mergeCell ref="E1108:E1109"/>
    <mergeCell ref="F1108:F1109"/>
    <mergeCell ref="F1140:F1141"/>
    <mergeCell ref="G1140:G1141"/>
    <mergeCell ref="I1094:I1095"/>
    <mergeCell ref="J1094:J1095"/>
    <mergeCell ref="C1094:C1095"/>
    <mergeCell ref="H1094:H1095"/>
    <mergeCell ref="J1071:J1072"/>
    <mergeCell ref="B1069:B1070"/>
    <mergeCell ref="J1078:J1079"/>
    <mergeCell ref="G1108:G1109"/>
    <mergeCell ref="G1113:G1114"/>
    <mergeCell ref="H1113:H1114"/>
    <mergeCell ref="I1113:I1114"/>
    <mergeCell ref="J1113:J1114"/>
    <mergeCell ref="D1113:D1114"/>
    <mergeCell ref="E1113:E1114"/>
    <mergeCell ref="F1113:F1114"/>
    <mergeCell ref="D1084:D1085"/>
    <mergeCell ref="E1084:E1085"/>
    <mergeCell ref="E1106:E1107"/>
    <mergeCell ref="F1106:F1107"/>
    <mergeCell ref="G1106:G1107"/>
    <mergeCell ref="D1106:D1107"/>
    <mergeCell ref="D1108:D1109"/>
    <mergeCell ref="I1069:I1070"/>
    <mergeCell ref="E1071:E1072"/>
    <mergeCell ref="H1074:H1075"/>
    <mergeCell ref="H1084:H1085"/>
    <mergeCell ref="I1084:I1085"/>
    <mergeCell ref="J1084:J1085"/>
    <mergeCell ref="I1074:I1075"/>
    <mergeCell ref="J1074:J1075"/>
    <mergeCell ref="I1066:I1067"/>
    <mergeCell ref="B1066:B1067"/>
    <mergeCell ref="F1069:F1070"/>
    <mergeCell ref="G1069:G1070"/>
    <mergeCell ref="D1069:D1070"/>
    <mergeCell ref="D1071:D1072"/>
    <mergeCell ref="B1071:B1072"/>
    <mergeCell ref="E1078:E1079"/>
    <mergeCell ref="F1071:F1072"/>
    <mergeCell ref="G1071:G1072"/>
    <mergeCell ref="H1071:H1072"/>
    <mergeCell ref="I1071:I1072"/>
    <mergeCell ref="E1069:E1070"/>
    <mergeCell ref="J1069:J1070"/>
    <mergeCell ref="H1069:H1070"/>
    <mergeCell ref="F1078:F1079"/>
    <mergeCell ref="G1078:G1079"/>
    <mergeCell ref="E1094:E1095"/>
    <mergeCell ref="F1094:F1095"/>
    <mergeCell ref="G1094:G1095"/>
    <mergeCell ref="E1074:E1075"/>
    <mergeCell ref="F1074:F1075"/>
    <mergeCell ref="B1074:B1075"/>
    <mergeCell ref="C1074:C1075"/>
    <mergeCell ref="D1074:D1075"/>
    <mergeCell ref="B1078:B1079"/>
    <mergeCell ref="D1078:D1079"/>
    <mergeCell ref="G1074:G1075"/>
    <mergeCell ref="B1262:B1263"/>
    <mergeCell ref="B1264:B1265"/>
    <mergeCell ref="C1264:C1265"/>
    <mergeCell ref="D1264:D1265"/>
    <mergeCell ref="B1267:B1268"/>
    <mergeCell ref="C1267:C1268"/>
    <mergeCell ref="D1267:D1268"/>
    <mergeCell ref="B1269:B1270"/>
    <mergeCell ref="D1094:D1095"/>
    <mergeCell ref="D1140:D1141"/>
    <mergeCell ref="D1146:D1147"/>
    <mergeCell ref="B1155:B1156"/>
    <mergeCell ref="B1161:B1162"/>
    <mergeCell ref="B1120:B1122"/>
    <mergeCell ref="B1126:B1127"/>
    <mergeCell ref="B1134:B1135"/>
    <mergeCell ref="B1136:B1137"/>
    <mergeCell ref="B1140:B1141"/>
    <mergeCell ref="B1146:B1147"/>
    <mergeCell ref="B1151:B1152"/>
    <mergeCell ref="B1222:B1223"/>
    <mergeCell ref="B1229:B1233"/>
    <mergeCell ref="B1165:B1167"/>
    <mergeCell ref="B1168:B1169"/>
    <mergeCell ref="C1269:C1270"/>
    <mergeCell ref="D1269:D1270"/>
    <mergeCell ref="D1234:D1237"/>
    <mergeCell ref="D1239:D1240"/>
    <mergeCell ref="D1248:D1249"/>
    <mergeCell ref="D1262:D1263"/>
    <mergeCell ref="C1296:C1298"/>
    <mergeCell ref="D1296:D1302"/>
    <mergeCell ref="C1300:C1302"/>
    <mergeCell ref="D1244:D1245"/>
    <mergeCell ref="C1290:C1291"/>
    <mergeCell ref="D1290:D1293"/>
    <mergeCell ref="C1244:C1245"/>
    <mergeCell ref="B1094:B1095"/>
    <mergeCell ref="B1084:B1085"/>
    <mergeCell ref="B1106:B1107"/>
    <mergeCell ref="C1106:C1107"/>
    <mergeCell ref="B1108:B1109"/>
    <mergeCell ref="B1113:B1114"/>
    <mergeCell ref="C1113:C1114"/>
    <mergeCell ref="D1252:D1253"/>
    <mergeCell ref="D1254:D1255"/>
    <mergeCell ref="C1229:C1233"/>
    <mergeCell ref="B1239:B1240"/>
    <mergeCell ref="B1254:B1255"/>
    <mergeCell ref="B1244:B1245"/>
    <mergeCell ref="B1252:B1253"/>
    <mergeCell ref="B1248:B1249"/>
    <mergeCell ref="B1171:B1172"/>
    <mergeCell ref="B1173:B1176"/>
    <mergeCell ref="C1173:C1176"/>
    <mergeCell ref="B1178:B1179"/>
    <mergeCell ref="B1186:B1188"/>
    <mergeCell ref="D1197:D1198"/>
    <mergeCell ref="D1229:D1233"/>
    <mergeCell ref="B1367:B1368"/>
    <mergeCell ref="B1369:B1371"/>
    <mergeCell ref="D1308:D1311"/>
    <mergeCell ref="B1308:B1311"/>
    <mergeCell ref="B1353:B1354"/>
    <mergeCell ref="D1353:D1354"/>
    <mergeCell ref="D1329:D1330"/>
    <mergeCell ref="D1336:D1338"/>
    <mergeCell ref="B1336:B1338"/>
    <mergeCell ref="B1347:B1348"/>
    <mergeCell ref="D1347:D1348"/>
    <mergeCell ref="D1367:D1368"/>
    <mergeCell ref="D1369:D1371"/>
    <mergeCell ref="B1216:B1217"/>
    <mergeCell ref="B1234:B1237"/>
    <mergeCell ref="C1234:C1237"/>
    <mergeCell ref="B1192:B1193"/>
    <mergeCell ref="B1194:B1195"/>
    <mergeCell ref="B1197:B1198"/>
    <mergeCell ref="B1202:B1203"/>
    <mergeCell ref="B1207:B1208"/>
    <mergeCell ref="B1213:B1214"/>
    <mergeCell ref="C1216:C1217"/>
    <mergeCell ref="B1318:B1319"/>
    <mergeCell ref="D1282:D1283"/>
    <mergeCell ref="D1285:D1286"/>
    <mergeCell ref="D1325:D1326"/>
    <mergeCell ref="B1325:B1326"/>
    <mergeCell ref="B1329:B1330"/>
    <mergeCell ref="B1296:B1302"/>
    <mergeCell ref="B1313:B1314"/>
    <mergeCell ref="D1318:D1319"/>
    <mergeCell ref="B1290:B1293"/>
    <mergeCell ref="B1271:B1272"/>
    <mergeCell ref="C1271:C1272"/>
    <mergeCell ref="D1271:D1272"/>
    <mergeCell ref="B1277:B1279"/>
    <mergeCell ref="D1277:D1279"/>
    <mergeCell ref="B1282:B1283"/>
    <mergeCell ref="B1285:B1286"/>
    <mergeCell ref="D1313:D1314"/>
    <mergeCell ref="D1316:D1317"/>
    <mergeCell ref="B1316:B1317"/>
    <mergeCell ref="G1234:G1237"/>
    <mergeCell ref="H1234:H1237"/>
    <mergeCell ref="H1140:H1141"/>
    <mergeCell ref="I1140:I1141"/>
    <mergeCell ref="I1271:I1272"/>
    <mergeCell ref="F1271:F1272"/>
    <mergeCell ref="G1271:G1272"/>
    <mergeCell ref="I1248:I1249"/>
    <mergeCell ref="I1267:I1268"/>
    <mergeCell ref="F1254:F1255"/>
    <mergeCell ref="G1254:G1255"/>
    <mergeCell ref="H1254:H1255"/>
    <mergeCell ref="I1254:I1255"/>
    <mergeCell ref="F1262:F1263"/>
    <mergeCell ref="G1262:G1263"/>
    <mergeCell ref="H1262:H1263"/>
    <mergeCell ref="I1262:I1263"/>
    <mergeCell ref="G1264:G1265"/>
    <mergeCell ref="H1264:H1265"/>
    <mergeCell ref="H1271:H1272"/>
    <mergeCell ref="H1267:H1268"/>
    <mergeCell ref="F1264:F1265"/>
    <mergeCell ref="F1267:F1268"/>
    <mergeCell ref="F1178:F1179"/>
    <mergeCell ref="H1269:H1270"/>
    <mergeCell ref="I1269:I1270"/>
    <mergeCell ref="J1269:J1270"/>
    <mergeCell ref="F1269:F1270"/>
    <mergeCell ref="G1269:G1270"/>
    <mergeCell ref="H1252:H1253"/>
    <mergeCell ref="I1252:I1253"/>
    <mergeCell ref="J1252:J1253"/>
    <mergeCell ref="J1254:J1255"/>
    <mergeCell ref="J1262:J1263"/>
    <mergeCell ref="J1267:J1268"/>
    <mergeCell ref="G1267:G1268"/>
    <mergeCell ref="J1308:J1311"/>
    <mergeCell ref="I1313:I1314"/>
    <mergeCell ref="J1313:J1314"/>
    <mergeCell ref="J1316:J1317"/>
    <mergeCell ref="J1318:J1319"/>
    <mergeCell ref="H1239:H1240"/>
    <mergeCell ref="I1239:I1240"/>
    <mergeCell ref="J1239:J1240"/>
    <mergeCell ref="E1234:E1237"/>
    <mergeCell ref="F1234:F1237"/>
    <mergeCell ref="E1248:E1249"/>
    <mergeCell ref="F1248:F1249"/>
    <mergeCell ref="G1248:G1249"/>
    <mergeCell ref="H1248:H1249"/>
    <mergeCell ref="J1248:J1249"/>
    <mergeCell ref="E1271:E1272"/>
    <mergeCell ref="E1252:E1253"/>
    <mergeCell ref="E1254:E1255"/>
    <mergeCell ref="E1262:E1263"/>
    <mergeCell ref="E1264:E1265"/>
    <mergeCell ref="E1267:E1268"/>
    <mergeCell ref="E1269:E1270"/>
    <mergeCell ref="F1252:F1253"/>
    <mergeCell ref="G1252:G1253"/>
    <mergeCell ref="I1316:I1317"/>
    <mergeCell ref="I1318:I1319"/>
    <mergeCell ref="E1318:E1319"/>
    <mergeCell ref="F1318:F1319"/>
    <mergeCell ref="G1318:G1319"/>
    <mergeCell ref="H1318:H1319"/>
    <mergeCell ref="I1290:I1293"/>
    <mergeCell ref="I1296:I1302"/>
    <mergeCell ref="I1308:I1311"/>
    <mergeCell ref="E1296:E1302"/>
    <mergeCell ref="F1296:F1302"/>
    <mergeCell ref="F1325:F1326"/>
    <mergeCell ref="G1325:G1326"/>
    <mergeCell ref="I1325:I1326"/>
    <mergeCell ref="J1325:J1326"/>
    <mergeCell ref="I1329:I1330"/>
    <mergeCell ref="J1329:J1330"/>
    <mergeCell ref="G1336:G1338"/>
    <mergeCell ref="H1336:H1338"/>
    <mergeCell ref="I1336:I1338"/>
    <mergeCell ref="J1336:J1338"/>
    <mergeCell ref="E1277:E1279"/>
    <mergeCell ref="F1277:F1279"/>
    <mergeCell ref="G1277:G1279"/>
    <mergeCell ref="H1277:H1279"/>
    <mergeCell ref="I1277:I1279"/>
    <mergeCell ref="E1282:E1283"/>
    <mergeCell ref="F1282:F1283"/>
    <mergeCell ref="I1282:I1283"/>
    <mergeCell ref="F1290:F1293"/>
    <mergeCell ref="G1290:G1293"/>
    <mergeCell ref="G1282:G1283"/>
    <mergeCell ref="H1282:H1283"/>
    <mergeCell ref="I1285:I1286"/>
    <mergeCell ref="F1285:F1286"/>
    <mergeCell ref="G1285:G1286"/>
    <mergeCell ref="H1285:H1286"/>
    <mergeCell ref="H1290:H1293"/>
    <mergeCell ref="E1353:E1354"/>
    <mergeCell ref="F1353:F1354"/>
    <mergeCell ref="E1347:E1348"/>
    <mergeCell ref="F1347:F1348"/>
    <mergeCell ref="G1347:G1348"/>
    <mergeCell ref="H1347:H1348"/>
    <mergeCell ref="E1369:E1371"/>
    <mergeCell ref="F1369:F1371"/>
    <mergeCell ref="G1369:G1371"/>
    <mergeCell ref="G1353:G1354"/>
    <mergeCell ref="G1038:G1039"/>
    <mergeCell ref="H1061:H1063"/>
    <mergeCell ref="H1066:H1067"/>
    <mergeCell ref="D1066:D1067"/>
    <mergeCell ref="E1066:E1067"/>
    <mergeCell ref="F1066:F1067"/>
    <mergeCell ref="G1066:G1067"/>
    <mergeCell ref="J1066:J1067"/>
    <mergeCell ref="H1369:H1371"/>
    <mergeCell ref="J1369:J1371"/>
    <mergeCell ref="I1369:I1371"/>
    <mergeCell ref="H1353:H1354"/>
    <mergeCell ref="I1353:I1354"/>
    <mergeCell ref="I1347:I1348"/>
    <mergeCell ref="J1347:J1348"/>
    <mergeCell ref="J1353:J1354"/>
    <mergeCell ref="E1367:E1368"/>
    <mergeCell ref="F1367:F1368"/>
    <mergeCell ref="G1367:G1368"/>
    <mergeCell ref="H1367:H1368"/>
    <mergeCell ref="E1316:E1317"/>
    <mergeCell ref="F1316:F1317"/>
    <mergeCell ref="G1316:G1317"/>
    <mergeCell ref="H1316:H1317"/>
    <mergeCell ref="D1061:D1063"/>
    <mergeCell ref="E1061:E1063"/>
    <mergeCell ref="F1061:F1063"/>
    <mergeCell ref="G1061:G1063"/>
    <mergeCell ref="I1061:I1063"/>
    <mergeCell ref="J1061:J1063"/>
    <mergeCell ref="B1061:B1063"/>
    <mergeCell ref="F1021:F1022"/>
    <mergeCell ref="G1021:G1022"/>
    <mergeCell ref="B1021:B1022"/>
    <mergeCell ref="D1021:D1022"/>
    <mergeCell ref="D1024:D1027"/>
    <mergeCell ref="E1024:E1027"/>
    <mergeCell ref="F1024:F1027"/>
    <mergeCell ref="E1038:E1039"/>
    <mergeCell ref="F1038:F1039"/>
    <mergeCell ref="D1038:D1039"/>
    <mergeCell ref="B1038:B1039"/>
    <mergeCell ref="B1049:B1050"/>
    <mergeCell ref="D1049:D1050"/>
    <mergeCell ref="E1049:E1050"/>
    <mergeCell ref="F1049:F1050"/>
    <mergeCell ref="G1049:G1050"/>
    <mergeCell ref="B1029:B1030"/>
    <mergeCell ref="E1055:E1056"/>
    <mergeCell ref="F1055:F1056"/>
    <mergeCell ref="D1057:D1058"/>
    <mergeCell ref="B1055:B1056"/>
    <mergeCell ref="B1057:B1058"/>
    <mergeCell ref="E1057:E1058"/>
    <mergeCell ref="F1057:F1058"/>
    <mergeCell ref="G1057:G1058"/>
    <mergeCell ref="D1055:D1056"/>
    <mergeCell ref="G1055:G1056"/>
    <mergeCell ref="E1016:E1018"/>
    <mergeCell ref="E1021:E1022"/>
    <mergeCell ref="J1021:J1022"/>
    <mergeCell ref="J1019:J1020"/>
    <mergeCell ref="B1024:B1027"/>
    <mergeCell ref="B1032:B1033"/>
    <mergeCell ref="C1032:C1033"/>
    <mergeCell ref="D1032:D1033"/>
    <mergeCell ref="E1032:E1033"/>
    <mergeCell ref="F1032:F1033"/>
    <mergeCell ref="E1019:E1020"/>
    <mergeCell ref="F1019:F1020"/>
    <mergeCell ref="B1016:B1018"/>
    <mergeCell ref="C1016:C1018"/>
    <mergeCell ref="D1016:D1018"/>
    <mergeCell ref="F1016:F1018"/>
    <mergeCell ref="B1019:B1020"/>
    <mergeCell ref="C1029:C1030"/>
    <mergeCell ref="D1029:D1030"/>
    <mergeCell ref="E1029:E1030"/>
    <mergeCell ref="F1029:F1030"/>
    <mergeCell ref="G1029:G1030"/>
    <mergeCell ref="H1021:H1022"/>
    <mergeCell ref="I1021:I1022"/>
    <mergeCell ref="I1016:I1018"/>
    <mergeCell ref="I1019:I1020"/>
    <mergeCell ref="I1024:I1027"/>
    <mergeCell ref="J1024:J1027"/>
    <mergeCell ref="I1032:I1033"/>
    <mergeCell ref="J1032:J1033"/>
    <mergeCell ref="G1019:G1020"/>
    <mergeCell ref="G1016:G1018"/>
    <mergeCell ref="G1024:G1027"/>
    <mergeCell ref="G1032:G1033"/>
    <mergeCell ref="H1016:H1018"/>
    <mergeCell ref="H1019:H1020"/>
    <mergeCell ref="H1024:H1027"/>
    <mergeCell ref="H1032:H1033"/>
    <mergeCell ref="J1016:J1018"/>
    <mergeCell ref="B999:B1000"/>
    <mergeCell ref="B1003:B1004"/>
    <mergeCell ref="H1008:H1009"/>
    <mergeCell ref="I1008:I1009"/>
    <mergeCell ref="D1012:D1013"/>
    <mergeCell ref="E1012:E1013"/>
    <mergeCell ref="D999:D1000"/>
    <mergeCell ref="E999:E1000"/>
    <mergeCell ref="F999:F1000"/>
    <mergeCell ref="G999:G1000"/>
    <mergeCell ref="H999:H1000"/>
    <mergeCell ref="F1012:F1013"/>
    <mergeCell ref="G1012:G1013"/>
    <mergeCell ref="J954:J955"/>
    <mergeCell ref="P954:P955"/>
    <mergeCell ref="E956:E957"/>
    <mergeCell ref="F956:F957"/>
    <mergeCell ref="D954:D955"/>
    <mergeCell ref="D956:D957"/>
    <mergeCell ref="B960:B962"/>
    <mergeCell ref="C960:C962"/>
    <mergeCell ref="D960:D962"/>
    <mergeCell ref="E960:E962"/>
    <mergeCell ref="F960:F962"/>
    <mergeCell ref="G960:G962"/>
    <mergeCell ref="G956:G957"/>
    <mergeCell ref="H956:H957"/>
    <mergeCell ref="B954:B955"/>
    <mergeCell ref="E954:E955"/>
    <mergeCell ref="F954:F955"/>
    <mergeCell ref="G954:G955"/>
    <mergeCell ref="H954:H955"/>
    <mergeCell ref="I954:I955"/>
    <mergeCell ref="B956:B957"/>
    <mergeCell ref="C1003:C1004"/>
    <mergeCell ref="D1003:D1004"/>
    <mergeCell ref="D1008:D1009"/>
    <mergeCell ref="E1008:E1009"/>
    <mergeCell ref="F1008:F1009"/>
    <mergeCell ref="G1008:G1009"/>
    <mergeCell ref="D990:D992"/>
    <mergeCell ref="E990:E992"/>
    <mergeCell ref="D994:D995"/>
    <mergeCell ref="E994:E995"/>
    <mergeCell ref="E1003:E1004"/>
    <mergeCell ref="F1003:F1004"/>
    <mergeCell ref="G1003:G1004"/>
    <mergeCell ref="I1029:I1030"/>
    <mergeCell ref="J1029:J1030"/>
    <mergeCell ref="H1049:H1050"/>
    <mergeCell ref="J985:J986"/>
    <mergeCell ref="L985:L986"/>
    <mergeCell ref="B985:B986"/>
    <mergeCell ref="D985:D986"/>
    <mergeCell ref="E985:E986"/>
    <mergeCell ref="F985:F986"/>
    <mergeCell ref="G985:G986"/>
    <mergeCell ref="H1012:H1013"/>
    <mergeCell ref="I1012:I1013"/>
    <mergeCell ref="F990:F992"/>
    <mergeCell ref="G990:G992"/>
    <mergeCell ref="F994:F995"/>
    <mergeCell ref="G994:G995"/>
    <mergeCell ref="H990:H992"/>
    <mergeCell ref="I990:I992"/>
    <mergeCell ref="B1012:B1013"/>
    <mergeCell ref="B990:B992"/>
    <mergeCell ref="B994:B995"/>
    <mergeCell ref="B1008:B1009"/>
    <mergeCell ref="I1003:I1004"/>
    <mergeCell ref="J1003:J1004"/>
    <mergeCell ref="Y1012:Y1013"/>
    <mergeCell ref="Y1024:Y1027"/>
    <mergeCell ref="Y1061:Y1063"/>
    <mergeCell ref="H985:H986"/>
    <mergeCell ref="I985:I986"/>
    <mergeCell ref="I994:I995"/>
    <mergeCell ref="J994:J995"/>
    <mergeCell ref="J1012:J1013"/>
    <mergeCell ref="J990:J992"/>
    <mergeCell ref="J1008:J1009"/>
    <mergeCell ref="H1029:H1030"/>
    <mergeCell ref="H1038:H1039"/>
    <mergeCell ref="I1038:I1039"/>
    <mergeCell ref="J1038:J1039"/>
    <mergeCell ref="I1049:I1050"/>
    <mergeCell ref="J1049:J1050"/>
    <mergeCell ref="H1057:H1058"/>
    <mergeCell ref="H1055:H1056"/>
    <mergeCell ref="I1055:I1056"/>
    <mergeCell ref="J1055:J1056"/>
    <mergeCell ref="H994:H995"/>
    <mergeCell ref="H1003:H1004"/>
    <mergeCell ref="I1057:I1058"/>
    <mergeCell ref="J1057:J1058"/>
    <mergeCell ref="J960:J962"/>
    <mergeCell ref="M960:M962"/>
    <mergeCell ref="W960:X962"/>
    <mergeCell ref="S960:S962"/>
    <mergeCell ref="I956:I957"/>
    <mergeCell ref="J956:J957"/>
    <mergeCell ref="P956:P957"/>
    <mergeCell ref="Y960:Y962"/>
    <mergeCell ref="H960:H962"/>
    <mergeCell ref="I960:I962"/>
    <mergeCell ref="N960:N962"/>
  </mergeCells>
  <conditionalFormatting sqref="A1:U944 V2:BJ944">
    <cfRule type="expression" dxfId="33" priority="3">
      <formula>$V1:$V201="Done"</formula>
    </cfRule>
    <cfRule type="expression" dxfId="32" priority="7">
      <formula>$V1:$V201="TFI"</formula>
    </cfRule>
  </conditionalFormatting>
  <conditionalFormatting sqref="A1:U944 V2:BL944">
    <cfRule type="expression" dxfId="31" priority="1">
      <formula>$V1:$V201="Back"</formula>
    </cfRule>
    <cfRule type="expression" dxfId="30" priority="2">
      <formula>$V1:$V201="inwh"</formula>
    </cfRule>
  </conditionalFormatting>
  <conditionalFormatting sqref="A1:BL944">
    <cfRule type="expression" dxfId="29" priority="4">
      <formula>$V1:$V201="Ondel"</formula>
    </cfRule>
    <cfRule type="expression" dxfId="28" priority="34">
      <formula>$V1:$V201="BKSI"</formula>
    </cfRule>
    <cfRule type="expression" dxfId="27" priority="31">
      <formula>$V1:$V201="Valid"</formula>
    </cfRule>
    <cfRule type="expression" dxfId="26" priority="32">
      <formula>$V1:$V201="PRB"</formula>
    </cfRule>
    <cfRule type="expression" dxfId="25" priority="33">
      <formula>$V1:$V201="Blm"</formula>
    </cfRule>
  </conditionalFormatting>
  <conditionalFormatting sqref="B1:BJ1 A1:A424 S60 S78 I115:J116 J350 J425 E426:E427 G426:G427 F426:F436 I517:J518 R697 E777:J784 J850 H884:J885 E903:J903">
    <cfRule type="expression" dxfId="24" priority="5">
      <formula>$V1:$V312="TFI"</formula>
    </cfRule>
    <cfRule type="expression" dxfId="23" priority="6">
      <formula>$V1:$V964="Done"</formula>
    </cfRule>
    <cfRule type="expression" dxfId="22" priority="29">
      <formula>$V1:$V964="inwh"</formula>
    </cfRule>
    <cfRule type="expression" dxfId="21" priority="30">
      <formula>$V1:$V312="ondel"</formula>
    </cfRule>
  </conditionalFormatting>
  <conditionalFormatting sqref="E426:E427 G426:G427 F426:F436 I115:J116 R697 J850 H884:J885 B1:BJ1 A1:A424 S60 S78 J350 J425 I517:J518 E777:J784 E903:J903">
    <cfRule type="expression" dxfId="20" priority="28">
      <formula>$V1:$V964="Back"</formula>
    </cfRule>
  </conditionalFormatting>
  <conditionalFormatting sqref="E426:E427 G426:G427 F426:F436">
    <cfRule type="expression" dxfId="19" priority="22">
      <formula>$V426:$V585="Ondel"</formula>
    </cfRule>
    <cfRule type="expression" dxfId="18" priority="23">
      <formula>$V426:$V724="TFI"</formula>
    </cfRule>
    <cfRule type="expression" dxfId="17" priority="24">
      <formula>$V426:$V2703="Back"</formula>
    </cfRule>
    <cfRule type="expression" dxfId="16" priority="25">
      <formula>$V426:$V2703="inwh"</formula>
    </cfRule>
    <cfRule type="expression" dxfId="15" priority="26">
      <formula>$V426:$V724="ondel"</formula>
    </cfRule>
    <cfRule type="expression" dxfId="14" priority="27">
      <formula>$V426:$V2703="Done"</formula>
    </cfRule>
    <cfRule type="expression" dxfId="13" priority="19">
      <formula>$V426:$V585="Back"</formula>
    </cfRule>
    <cfRule type="expression" dxfId="12" priority="20">
      <formula>$V426:$V585="Done"</formula>
    </cfRule>
    <cfRule type="expression" dxfId="11" priority="21">
      <formula>$V426:$V585="inwh"</formula>
    </cfRule>
    <cfRule type="expression" dxfId="10" priority="18">
      <formula>$V426:$V585="TFI"</formula>
    </cfRule>
  </conditionalFormatting>
  <conditionalFormatting sqref="I115 J115:J116 R697 J850 I884 J884:J885">
    <cfRule type="expression" dxfId="9" priority="8">
      <formula>$V115:$V329="TFI"</formula>
    </cfRule>
    <cfRule type="expression" dxfId="8" priority="9">
      <formula>$V115:$V329="Back"</formula>
    </cfRule>
    <cfRule type="expression" dxfId="7" priority="10">
      <formula>$V115:$V329="Done"</formula>
    </cfRule>
    <cfRule type="expression" dxfId="6" priority="11">
      <formula>$V115:$V329="inwh"</formula>
    </cfRule>
    <cfRule type="expression" dxfId="5" priority="12">
      <formula>$V115:$V329="Ondel"</formula>
    </cfRule>
    <cfRule type="expression" dxfId="4" priority="13">
      <formula>$V115:$V433="TFI"</formula>
    </cfRule>
    <cfRule type="expression" dxfId="3" priority="14">
      <formula>$V115:$V2464="Back"</formula>
    </cfRule>
    <cfRule type="expression" dxfId="2" priority="15">
      <formula>$V115:$V2464="inwh"</formula>
    </cfRule>
    <cfRule type="expression" dxfId="1" priority="16">
      <formula>$V115:$V433="ondel"</formula>
    </cfRule>
    <cfRule type="expression" dxfId="0" priority="17">
      <formula>$V115:$V2464="Done"</formula>
    </cfRule>
  </conditionalFormatting>
  <dataValidations count="7">
    <dataValidation type="list" allowBlank="1" showErrorMessage="1" sqref="S946 S1296:S1319 S1330:S1372" xr:uid="{00000000-0002-0000-0100-000000000000}">
      <formula1>"Di Lokasi Muat,Di Perjalanan,Sudah Dipaketkan,Di Finance,Bongkar,Belum Kembali / Belum Dipaketkan,Doc Di CAM  BEKASI ,Doc Bermasalah "</formula1>
    </dataValidation>
    <dataValidation type="list" allowBlank="1" showErrorMessage="1" sqref="O946:O1126 O1128:O1134 O1136 O1138:O1372" xr:uid="{00000000-0002-0000-0100-000001000000}">
      <formula1>"1.,2.,3.,4."</formula1>
    </dataValidation>
    <dataValidation type="list" allowBlank="1" showErrorMessage="1" sqref="Q946:Q1372" xr:uid="{00000000-0002-0000-0100-000002000000}">
      <formula1>"Adel,Hamid"</formula1>
    </dataValidation>
    <dataValidation type="list" allowBlank="1" showErrorMessage="1" sqref="V946:V1372" xr:uid="{00000000-0002-0000-0100-000003000000}">
      <formula1>"1.,2."</formula1>
    </dataValidation>
    <dataValidation type="list" allowBlank="1" showErrorMessage="1" sqref="U2:U944" xr:uid="{00000000-0002-0000-0100-000004000000}">
      <formula1>"In Warehouse,On Delivery,Delivered,POD di terima Admin,POD di terima Finance,POD Bermasalah,POD Di Bekasi,Valided Team Accounting,POD  Belum Kembali"</formula1>
    </dataValidation>
    <dataValidation type="list" allowBlank="1" showErrorMessage="1" sqref="R946:R1372 T946:U1372" xr:uid="{00000000-0002-0000-0100-000005000000}">
      <formula1>"1.,2.,3."</formula1>
    </dataValidation>
    <dataValidation type="list" allowBlank="1" showErrorMessage="1" sqref="S947:S960 S963:S1295 S1320:S1329" xr:uid="{00000000-0002-0000-0100-000006000000}">
      <formula1>"Di Lokasi Muat,Di Perjalanan,Sudah Dipaketkan,Di Finance,Bongkar,Belum Kembali / Belum Dipaketkan,Doc  Bermasalah,Doc di Bekasi,Luar Pulau 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contoh juli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CAMLOG IT</cp:lastModifiedBy>
  <dcterms:modified xsi:type="dcterms:W3CDTF">2026-08-07T07:27:25Z</dcterms:modified>
</cp:coreProperties>
</file>